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petree\Desktop\Cross Bronx Expressway\Tool\"/>
    </mc:Choice>
  </mc:AlternateContent>
  <xr:revisionPtr revIDLastSave="0" documentId="13_ncr:1_{128E6F0A-603C-4E22-84B4-A47509A8ADA5}" xr6:coauthVersionLast="47" xr6:coauthVersionMax="47" xr10:uidLastSave="{00000000-0000-0000-0000-000000000000}"/>
  <bookViews>
    <workbookView xWindow="28680" yWindow="-120" windowWidth="29040" windowHeight="15840" tabRatio="811" xr2:uid="{00000000-000D-0000-FFFF-FFFF00000000}"/>
  </bookViews>
  <sheets>
    <sheet name="BasicInput" sheetId="1" r:id="rId1"/>
    <sheet name="Basic" sheetId="2" r:id="rId2"/>
    <sheet name="Ramps" sheetId="3" r:id="rId3"/>
    <sheet name="Weave" sheetId="5" r:id="rId4"/>
    <sheet name="DropDowns" sheetId="4" r:id="rId5"/>
    <sheet name="Existing PM" sheetId="15" r:id="rId6"/>
  </sheets>
  <functionGroups builtInGroupCount="19"/>
  <definedNames>
    <definedName name="_xlnm.Print_Area" localSheetId="5">'Existing PM'!$A$1:$X$70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35" i="15" l="1"/>
  <c r="N35" i="15"/>
  <c r="M35" i="15"/>
  <c r="L35" i="15"/>
  <c r="K67" i="15"/>
  <c r="BX12" i="3"/>
  <c r="BX11" i="3"/>
  <c r="K53" i="15"/>
  <c r="BX10" i="3"/>
  <c r="K49" i="15"/>
  <c r="K46" i="15"/>
  <c r="BX9" i="3"/>
  <c r="K42" i="15"/>
  <c r="K36" i="15"/>
  <c r="K31" i="15"/>
  <c r="J31" i="15" s="1"/>
  <c r="K25" i="15"/>
  <c r="J25" i="15" s="1"/>
  <c r="K23" i="15"/>
  <c r="K11" i="15"/>
  <c r="CE8" i="3" l="1"/>
  <c r="CE9" i="3"/>
  <c r="CE10" i="3"/>
  <c r="CE16" i="3"/>
  <c r="N28" i="15"/>
  <c r="N10" i="15"/>
  <c r="O10" i="15"/>
  <c r="N14" i="15"/>
  <c r="O14" i="15"/>
  <c r="I49" i="15"/>
  <c r="H49" i="15" s="1"/>
  <c r="I67" i="15"/>
  <c r="H67" i="15" s="1"/>
  <c r="I53" i="15"/>
  <c r="H53" i="15" s="1"/>
  <c r="J53" i="15"/>
  <c r="O28" i="15"/>
  <c r="J67" i="15"/>
  <c r="J49" i="15"/>
  <c r="I25" i="15"/>
  <c r="H25" i="15" s="1"/>
  <c r="I31" i="15"/>
  <c r="H31" i="15" s="1"/>
  <c r="J36" i="15"/>
  <c r="I36" i="15"/>
  <c r="H36" i="15" s="1"/>
  <c r="I42" i="15"/>
  <c r="H42" i="15" s="1"/>
  <c r="I46" i="15"/>
  <c r="H46" i="15" s="1"/>
  <c r="J46" i="15"/>
  <c r="J42" i="15"/>
  <c r="J23" i="15"/>
  <c r="I23" i="15"/>
  <c r="H23" i="15" s="1"/>
  <c r="I11" i="15"/>
  <c r="H11" i="15" s="1"/>
  <c r="J11" i="15"/>
  <c r="X67" i="15"/>
  <c r="W67" i="15"/>
  <c r="V67" i="15"/>
  <c r="U67" i="15"/>
  <c r="X53" i="15"/>
  <c r="W53" i="15"/>
  <c r="V53" i="15"/>
  <c r="U53" i="15"/>
  <c r="X49" i="15"/>
  <c r="W49" i="15"/>
  <c r="V49" i="15"/>
  <c r="U49" i="15"/>
  <c r="X46" i="15"/>
  <c r="W46" i="15"/>
  <c r="V46" i="15"/>
  <c r="U46" i="15"/>
  <c r="X42" i="15"/>
  <c r="W42" i="15"/>
  <c r="V42" i="15"/>
  <c r="U42" i="15"/>
  <c r="T65" i="15" l="1"/>
  <c r="O66" i="15" s="1"/>
  <c r="S65" i="15"/>
  <c r="N66" i="15" s="1"/>
  <c r="R65" i="15"/>
  <c r="Q65" i="15"/>
  <c r="P65" i="15"/>
  <c r="T63" i="15"/>
  <c r="S63" i="15"/>
  <c r="R63" i="15"/>
  <c r="Q63" i="15"/>
  <c r="P63" i="15"/>
  <c r="T61" i="15"/>
  <c r="S61" i="15"/>
  <c r="R61" i="15"/>
  <c r="Q61" i="15"/>
  <c r="P61" i="15"/>
  <c r="T59" i="15"/>
  <c r="S59" i="15"/>
  <c r="R59" i="15"/>
  <c r="Q59" i="15"/>
  <c r="P59" i="15"/>
  <c r="T57" i="15"/>
  <c r="S57" i="15"/>
  <c r="N58" i="15" s="1"/>
  <c r="R57" i="15"/>
  <c r="Q57" i="15"/>
  <c r="P57" i="15"/>
  <c r="T55" i="15"/>
  <c r="S55" i="15"/>
  <c r="R55" i="15"/>
  <c r="Q55" i="15"/>
  <c r="P55" i="15"/>
  <c r="T51" i="15"/>
  <c r="R51" i="15"/>
  <c r="S51" i="15"/>
  <c r="Q51" i="15"/>
  <c r="P51" i="15"/>
  <c r="T44" i="15"/>
  <c r="S44" i="15"/>
  <c r="R44" i="15"/>
  <c r="Q44" i="15"/>
  <c r="P44" i="15"/>
  <c r="T40" i="15"/>
  <c r="S40" i="15"/>
  <c r="R40" i="15"/>
  <c r="Q40" i="15"/>
  <c r="P40" i="15"/>
  <c r="O64" i="15" l="1"/>
  <c r="N64" i="15"/>
  <c r="O58" i="15"/>
  <c r="O68" i="15"/>
  <c r="N68" i="15"/>
  <c r="M68" i="15"/>
  <c r="L68" i="15"/>
  <c r="O62" i="15"/>
  <c r="N62" i="15"/>
  <c r="M62" i="15"/>
  <c r="L62" i="15"/>
  <c r="O60" i="15"/>
  <c r="N60" i="15"/>
  <c r="M60" i="15"/>
  <c r="L60" i="15"/>
  <c r="O56" i="15"/>
  <c r="N56" i="15"/>
  <c r="M56" i="15"/>
  <c r="L56" i="15"/>
  <c r="O54" i="15"/>
  <c r="N54" i="15"/>
  <c r="M54" i="15"/>
  <c r="L54" i="15"/>
  <c r="O52" i="15"/>
  <c r="N52" i="15"/>
  <c r="M52" i="15"/>
  <c r="L52" i="15"/>
  <c r="O50" i="15"/>
  <c r="N50" i="15"/>
  <c r="M50" i="15"/>
  <c r="L50" i="15"/>
  <c r="O48" i="15"/>
  <c r="N48" i="15"/>
  <c r="M48" i="15"/>
  <c r="L48" i="15"/>
  <c r="O47" i="15"/>
  <c r="N47" i="15"/>
  <c r="M47" i="15"/>
  <c r="L47" i="15"/>
  <c r="O45" i="15"/>
  <c r="N45" i="15"/>
  <c r="M45" i="15"/>
  <c r="L45" i="15"/>
  <c r="O43" i="15"/>
  <c r="N43" i="15"/>
  <c r="M43" i="15"/>
  <c r="L43" i="15"/>
  <c r="O41" i="15"/>
  <c r="N41" i="15"/>
  <c r="M41" i="15"/>
  <c r="L41" i="15"/>
  <c r="X18" i="2"/>
  <c r="T16" i="3"/>
  <c r="T15" i="3"/>
  <c r="X17" i="2"/>
  <c r="T14" i="3"/>
  <c r="X16" i="2"/>
  <c r="T13" i="3"/>
  <c r="T12" i="3"/>
  <c r="X15" i="2"/>
  <c r="T11" i="3"/>
  <c r="X14" i="2"/>
  <c r="X13" i="2"/>
  <c r="T10" i="3"/>
  <c r="X12" i="2"/>
  <c r="BL9" i="5"/>
  <c r="X11" i="2"/>
  <c r="X10" i="2"/>
  <c r="X9" i="2"/>
  <c r="T9" i="3"/>
  <c r="X8" i="2"/>
  <c r="BL7" i="5"/>
  <c r="X7" i="2"/>
  <c r="T8" i="3"/>
  <c r="U18" i="2"/>
  <c r="U17" i="2"/>
  <c r="U16" i="2"/>
  <c r="U15" i="2"/>
  <c r="U14" i="2"/>
  <c r="U11" i="2"/>
  <c r="U13" i="2"/>
  <c r="U12" i="2"/>
  <c r="U10" i="2"/>
  <c r="U9" i="2"/>
  <c r="U8" i="2"/>
  <c r="U7" i="2"/>
  <c r="CC10" i="2"/>
  <c r="CD10" i="2" s="1"/>
  <c r="CB10" i="2"/>
  <c r="AS10" i="2"/>
  <c r="AT7" i="5" l="1"/>
  <c r="AY7" i="5"/>
  <c r="AT9" i="5"/>
  <c r="AY9" i="5"/>
  <c r="BJ12" i="3"/>
  <c r="BX13" i="3"/>
  <c r="CE11" i="3"/>
  <c r="BJ16" i="3"/>
  <c r="CE15" i="3"/>
  <c r="BJ9" i="3"/>
  <c r="BJ10" i="3"/>
  <c r="BJ13" i="3"/>
  <c r="BX14" i="3"/>
  <c r="CE12" i="3"/>
  <c r="AT11" i="5"/>
  <c r="AY11" i="5"/>
  <c r="AB10" i="5"/>
  <c r="BL11" i="5"/>
  <c r="AY8" i="5"/>
  <c r="AT10" i="5"/>
  <c r="AY10" i="5"/>
  <c r="BL10" i="5"/>
  <c r="BJ14" i="3"/>
  <c r="BX15" i="3"/>
  <c r="CE13" i="3"/>
  <c r="BJ8" i="3"/>
  <c r="AB7" i="5"/>
  <c r="AB9" i="5"/>
  <c r="BJ11" i="3"/>
  <c r="BJ15" i="3"/>
  <c r="BX16" i="3"/>
  <c r="CE14" i="3"/>
  <c r="AS18" i="2"/>
  <c r="CB18" i="2"/>
  <c r="CC18" i="2"/>
  <c r="CD18" i="2" s="1"/>
  <c r="CB7" i="2"/>
  <c r="DK12" i="5"/>
  <c r="DL12" i="5"/>
  <c r="DK13" i="5"/>
  <c r="DL13" i="5"/>
  <c r="DK14" i="5"/>
  <c r="DL14" i="5"/>
  <c r="DK15" i="5"/>
  <c r="DL15" i="5"/>
  <c r="DK16" i="5"/>
  <c r="DL16" i="5"/>
  <c r="DK17" i="5"/>
  <c r="DL17" i="5"/>
  <c r="DK18" i="5"/>
  <c r="DL18" i="5"/>
  <c r="DK19" i="5"/>
  <c r="DL19" i="5"/>
  <c r="DK20" i="5"/>
  <c r="DL20" i="5"/>
  <c r="DK21" i="5"/>
  <c r="DL21" i="5"/>
  <c r="DK22" i="5"/>
  <c r="DL22" i="5"/>
  <c r="DK23" i="5"/>
  <c r="DL23" i="5"/>
  <c r="DK24" i="5"/>
  <c r="DL24" i="5"/>
  <c r="DK25" i="5"/>
  <c r="DL25" i="5"/>
  <c r="DK26" i="5"/>
  <c r="DL26" i="5"/>
  <c r="DK27" i="5"/>
  <c r="DL27" i="5"/>
  <c r="DK28" i="5"/>
  <c r="DL28" i="5"/>
  <c r="DK29" i="5"/>
  <c r="DL29" i="5"/>
  <c r="DK30" i="5"/>
  <c r="DL30" i="5"/>
  <c r="DK31" i="5"/>
  <c r="DL31" i="5"/>
  <c r="DK32" i="5"/>
  <c r="DL32" i="5"/>
  <c r="DK33" i="5"/>
  <c r="DL33" i="5"/>
  <c r="DK34" i="5"/>
  <c r="DL34" i="5"/>
  <c r="DK35" i="5"/>
  <c r="DL35" i="5"/>
  <c r="DK36" i="5"/>
  <c r="DL36" i="5"/>
  <c r="DK37" i="5"/>
  <c r="DL37" i="5"/>
  <c r="DK38" i="5"/>
  <c r="DL38" i="5"/>
  <c r="DK39" i="5"/>
  <c r="DL39" i="5"/>
  <c r="DK40" i="5"/>
  <c r="DL40" i="5"/>
  <c r="DK41" i="5"/>
  <c r="DL41" i="5"/>
  <c r="DK42" i="5"/>
  <c r="DL42" i="5"/>
  <c r="DK43" i="5"/>
  <c r="DL43" i="5"/>
  <c r="DK44" i="5"/>
  <c r="DL44" i="5"/>
  <c r="DK45" i="5"/>
  <c r="DL45" i="5"/>
  <c r="DK46" i="5"/>
  <c r="DL46" i="5"/>
  <c r="DK47" i="5"/>
  <c r="DL47" i="5"/>
  <c r="DK48" i="5"/>
  <c r="DL48" i="5"/>
  <c r="DK49" i="5"/>
  <c r="DL49" i="5"/>
  <c r="DK50" i="5"/>
  <c r="DL50" i="5"/>
  <c r="DK51" i="5"/>
  <c r="DL51" i="5"/>
  <c r="DK52" i="5"/>
  <c r="DL52" i="5"/>
  <c r="DK53" i="5"/>
  <c r="DL53" i="5"/>
  <c r="DK54" i="5"/>
  <c r="DL54" i="5"/>
  <c r="DK55" i="5"/>
  <c r="DL55" i="5"/>
  <c r="DK56" i="5"/>
  <c r="DL56" i="5"/>
  <c r="DK57" i="5"/>
  <c r="DL57" i="5"/>
  <c r="DK58" i="5"/>
  <c r="DL58" i="5"/>
  <c r="DK59" i="5"/>
  <c r="DL59" i="5"/>
  <c r="DK60" i="5"/>
  <c r="DL60" i="5"/>
  <c r="DK61" i="5"/>
  <c r="DL61" i="5"/>
  <c r="DK62" i="5"/>
  <c r="DL62" i="5"/>
  <c r="DK63" i="5"/>
  <c r="DL63" i="5"/>
  <c r="DK64" i="5"/>
  <c r="DL64" i="5"/>
  <c r="DK65" i="5"/>
  <c r="DL65" i="5"/>
  <c r="DK66" i="5"/>
  <c r="DL66" i="5"/>
  <c r="DK67" i="5"/>
  <c r="DL67" i="5"/>
  <c r="DK68" i="5"/>
  <c r="DL68" i="5"/>
  <c r="DK69" i="5"/>
  <c r="DL69" i="5"/>
  <c r="DK70" i="5"/>
  <c r="DL70" i="5"/>
  <c r="DK71" i="5"/>
  <c r="DL71" i="5"/>
  <c r="DK72" i="5"/>
  <c r="DL72" i="5"/>
  <c r="DK73" i="5"/>
  <c r="DL73" i="5"/>
  <c r="DK74" i="5"/>
  <c r="DL74" i="5"/>
  <c r="DK75" i="5"/>
  <c r="DL75" i="5"/>
  <c r="DK76" i="5"/>
  <c r="DL76" i="5"/>
  <c r="DK77" i="5"/>
  <c r="DL77" i="5"/>
  <c r="DK78" i="5"/>
  <c r="DL78" i="5"/>
  <c r="DK79" i="5"/>
  <c r="DL79" i="5"/>
  <c r="DK80" i="5"/>
  <c r="DL80" i="5"/>
  <c r="DK81" i="5"/>
  <c r="DL81" i="5"/>
  <c r="DK82" i="5"/>
  <c r="DL82" i="5"/>
  <c r="DK83" i="5"/>
  <c r="DL83" i="5"/>
  <c r="DK84" i="5"/>
  <c r="DL84" i="5"/>
  <c r="DK85" i="5"/>
  <c r="DL85" i="5"/>
  <c r="DK86" i="5"/>
  <c r="DL86" i="5"/>
  <c r="DK87" i="5"/>
  <c r="DL87" i="5"/>
  <c r="DK88" i="5"/>
  <c r="DL88" i="5"/>
  <c r="DK89" i="5"/>
  <c r="DL89" i="5"/>
  <c r="DK90" i="5"/>
  <c r="DL90" i="5"/>
  <c r="DK91" i="5"/>
  <c r="DL91" i="5"/>
  <c r="DK92" i="5"/>
  <c r="DL92" i="5"/>
  <c r="DK93" i="5"/>
  <c r="DL93" i="5"/>
  <c r="DK94" i="5"/>
  <c r="DL94" i="5"/>
  <c r="DK95" i="5"/>
  <c r="DL95" i="5"/>
  <c r="DK96" i="5"/>
  <c r="DL96" i="5"/>
  <c r="DK97" i="5"/>
  <c r="DL97" i="5"/>
  <c r="DK98" i="5"/>
  <c r="DL98" i="5"/>
  <c r="DK99" i="5"/>
  <c r="DL99" i="5"/>
  <c r="DK100" i="5"/>
  <c r="DL100" i="5"/>
  <c r="DK101" i="5"/>
  <c r="DL101" i="5"/>
  <c r="DK102" i="5"/>
  <c r="DL102" i="5"/>
  <c r="DK103" i="5"/>
  <c r="DL103" i="5"/>
  <c r="DK104" i="5"/>
  <c r="DL104" i="5"/>
  <c r="DK105" i="5"/>
  <c r="DL105" i="5"/>
  <c r="DK106" i="5"/>
  <c r="DL106" i="5"/>
  <c r="DK107" i="5"/>
  <c r="DL107" i="5"/>
  <c r="DK108" i="5"/>
  <c r="DL108" i="5"/>
  <c r="DK109" i="5"/>
  <c r="DL109" i="5"/>
  <c r="DK110" i="5"/>
  <c r="DL110" i="5"/>
  <c r="DK111" i="5"/>
  <c r="DL111" i="5"/>
  <c r="DK112" i="5"/>
  <c r="DL112" i="5"/>
  <c r="DK113" i="5"/>
  <c r="DL113" i="5"/>
  <c r="DK114" i="5"/>
  <c r="DL114" i="5"/>
  <c r="DK115" i="5"/>
  <c r="DL115" i="5"/>
  <c r="DK116" i="5"/>
  <c r="DL116" i="5"/>
  <c r="DK117" i="5"/>
  <c r="DL117" i="5"/>
  <c r="DK118" i="5"/>
  <c r="DL118" i="5"/>
  <c r="DK119" i="5"/>
  <c r="DL119" i="5"/>
  <c r="DK120" i="5"/>
  <c r="DL120" i="5"/>
  <c r="DK121" i="5"/>
  <c r="DL121" i="5"/>
  <c r="DK122" i="5"/>
  <c r="DL122" i="5"/>
  <c r="DK123" i="5"/>
  <c r="DL123" i="5"/>
  <c r="DK124" i="5"/>
  <c r="DL124" i="5"/>
  <c r="DK125" i="5"/>
  <c r="DL125" i="5"/>
  <c r="DK126" i="5"/>
  <c r="DL126" i="5"/>
  <c r="DK127" i="5"/>
  <c r="DL127" i="5"/>
  <c r="DK128" i="5"/>
  <c r="DL128" i="5"/>
  <c r="DK129" i="5"/>
  <c r="DL129" i="5"/>
  <c r="DK130" i="5"/>
  <c r="DL130" i="5"/>
  <c r="DK131" i="5"/>
  <c r="DL131" i="5"/>
  <c r="DK132" i="5"/>
  <c r="DL132" i="5"/>
  <c r="DK133" i="5"/>
  <c r="DL133" i="5"/>
  <c r="DK134" i="5"/>
  <c r="DL134" i="5"/>
  <c r="DK135" i="5"/>
  <c r="DL135" i="5"/>
  <c r="DK136" i="5"/>
  <c r="DL136" i="5"/>
  <c r="DK137" i="5"/>
  <c r="DL137" i="5"/>
  <c r="DK138" i="5"/>
  <c r="DL138" i="5"/>
  <c r="DK139" i="5"/>
  <c r="DL139" i="5"/>
  <c r="DK140" i="5"/>
  <c r="DL140" i="5"/>
  <c r="DK141" i="5"/>
  <c r="DL141" i="5"/>
  <c r="DK142" i="5"/>
  <c r="DL142" i="5"/>
  <c r="DK143" i="5"/>
  <c r="DL143" i="5"/>
  <c r="DK144" i="5"/>
  <c r="DL144" i="5"/>
  <c r="DK145" i="5"/>
  <c r="DL145" i="5"/>
  <c r="DK146" i="5"/>
  <c r="DL146" i="5"/>
  <c r="DK147" i="5"/>
  <c r="DL147" i="5"/>
  <c r="DK148" i="5"/>
  <c r="DL148" i="5"/>
  <c r="DK149" i="5"/>
  <c r="DL149" i="5"/>
  <c r="DK150" i="5"/>
  <c r="DL150" i="5"/>
  <c r="DK151" i="5"/>
  <c r="DL151" i="5"/>
  <c r="DK152" i="5"/>
  <c r="DL152" i="5"/>
  <c r="DK153" i="5"/>
  <c r="DL153" i="5"/>
  <c r="DK154" i="5"/>
  <c r="DL154" i="5"/>
  <c r="DK155" i="5"/>
  <c r="DL155" i="5"/>
  <c r="DK156" i="5"/>
  <c r="DL156" i="5"/>
  <c r="DK157" i="5"/>
  <c r="DL157" i="5"/>
  <c r="DK158" i="5"/>
  <c r="DL158" i="5"/>
  <c r="DK159" i="5"/>
  <c r="DL159" i="5"/>
  <c r="DK160" i="5"/>
  <c r="DL160" i="5"/>
  <c r="DK161" i="5"/>
  <c r="DL161" i="5"/>
  <c r="DK162" i="5"/>
  <c r="DL162" i="5"/>
  <c r="DK163" i="5"/>
  <c r="DL163" i="5"/>
  <c r="DK164" i="5"/>
  <c r="DL164" i="5"/>
  <c r="DK165" i="5"/>
  <c r="DL165" i="5"/>
  <c r="DK166" i="5"/>
  <c r="DL166" i="5"/>
  <c r="DK167" i="5"/>
  <c r="DL167" i="5"/>
  <c r="DK168" i="5"/>
  <c r="DL168" i="5"/>
  <c r="DK169" i="5"/>
  <c r="DL169" i="5"/>
  <c r="DK170" i="5"/>
  <c r="DL170" i="5"/>
  <c r="DK171" i="5"/>
  <c r="DL171" i="5"/>
  <c r="DK172" i="5"/>
  <c r="DL172" i="5"/>
  <c r="DK173" i="5"/>
  <c r="DL173" i="5"/>
  <c r="DK174" i="5"/>
  <c r="DL174" i="5"/>
  <c r="DK175" i="5"/>
  <c r="DL175" i="5"/>
  <c r="DK176" i="5"/>
  <c r="DL176" i="5"/>
  <c r="DK177" i="5"/>
  <c r="DL177" i="5"/>
  <c r="DK178" i="5"/>
  <c r="DL178" i="5"/>
  <c r="DK179" i="5"/>
  <c r="DL179" i="5"/>
  <c r="DK180" i="5"/>
  <c r="DL180" i="5"/>
  <c r="DK181" i="5"/>
  <c r="DL181" i="5"/>
  <c r="DK182" i="5"/>
  <c r="DL182" i="5"/>
  <c r="DK183" i="5"/>
  <c r="DL183" i="5"/>
  <c r="DK184" i="5"/>
  <c r="DL184" i="5"/>
  <c r="DK185" i="5"/>
  <c r="DL185" i="5"/>
  <c r="DK186" i="5"/>
  <c r="DL186" i="5"/>
  <c r="DK187" i="5"/>
  <c r="DL187" i="5"/>
  <c r="DK188" i="5"/>
  <c r="DL188" i="5"/>
  <c r="DK189" i="5"/>
  <c r="DL189" i="5"/>
  <c r="DK190" i="5"/>
  <c r="DL190" i="5"/>
  <c r="DK191" i="5"/>
  <c r="DL191" i="5"/>
  <c r="DK192" i="5"/>
  <c r="DL192" i="5"/>
  <c r="DK193" i="5"/>
  <c r="DL193" i="5"/>
  <c r="DK194" i="5"/>
  <c r="DL194" i="5"/>
  <c r="DK195" i="5"/>
  <c r="DL195" i="5"/>
  <c r="DK196" i="5"/>
  <c r="DL196" i="5"/>
  <c r="DK197" i="5"/>
  <c r="DL197" i="5"/>
  <c r="DK198" i="5"/>
  <c r="DL198" i="5"/>
  <c r="DK199" i="5"/>
  <c r="DL199" i="5"/>
  <c r="DK200" i="5"/>
  <c r="DL200" i="5"/>
  <c r="DK201" i="5"/>
  <c r="DL201" i="5"/>
  <c r="DK202" i="5"/>
  <c r="DL202" i="5"/>
  <c r="DK203" i="5"/>
  <c r="DL203" i="5"/>
  <c r="DK204" i="5"/>
  <c r="DL204" i="5"/>
  <c r="DK205" i="5"/>
  <c r="DL205" i="5"/>
  <c r="DK206" i="5"/>
  <c r="DL206" i="5"/>
  <c r="DK207" i="5"/>
  <c r="DL207" i="5"/>
  <c r="DK208" i="5"/>
  <c r="DL208" i="5"/>
  <c r="DK209" i="5"/>
  <c r="DL209" i="5"/>
  <c r="DK210" i="5"/>
  <c r="DL210" i="5"/>
  <c r="DK211" i="5"/>
  <c r="DL211" i="5"/>
  <c r="DK212" i="5"/>
  <c r="DL212" i="5"/>
  <c r="DK213" i="5"/>
  <c r="DL213" i="5"/>
  <c r="DK214" i="5"/>
  <c r="DL214" i="5"/>
  <c r="DK215" i="5"/>
  <c r="DL215" i="5"/>
  <c r="DK216" i="5"/>
  <c r="DL216" i="5"/>
  <c r="DK217" i="5"/>
  <c r="DL217" i="5"/>
  <c r="DK218" i="5"/>
  <c r="DL218" i="5"/>
  <c r="DK219" i="5"/>
  <c r="DL219" i="5"/>
  <c r="DK220" i="5"/>
  <c r="DL220" i="5"/>
  <c r="DK221" i="5"/>
  <c r="DL221" i="5"/>
  <c r="DK222" i="5"/>
  <c r="DL222" i="5"/>
  <c r="DK223" i="5"/>
  <c r="DL223" i="5"/>
  <c r="DK224" i="5"/>
  <c r="DL224" i="5"/>
  <c r="DK225" i="5"/>
  <c r="DL225" i="5"/>
  <c r="DK226" i="5"/>
  <c r="DL226" i="5"/>
  <c r="DK227" i="5"/>
  <c r="DL227" i="5"/>
  <c r="DK228" i="5"/>
  <c r="DL228" i="5"/>
  <c r="DK229" i="5"/>
  <c r="DL229" i="5"/>
  <c r="DK230" i="5"/>
  <c r="DL230" i="5"/>
  <c r="DK231" i="5"/>
  <c r="DL231" i="5"/>
  <c r="DK232" i="5"/>
  <c r="DL232" i="5"/>
  <c r="DK233" i="5"/>
  <c r="DL233" i="5"/>
  <c r="DK234" i="5"/>
  <c r="DL234" i="5"/>
  <c r="DK235" i="5"/>
  <c r="DL235" i="5"/>
  <c r="DK236" i="5"/>
  <c r="DL236" i="5"/>
  <c r="DK237" i="5"/>
  <c r="DL237" i="5"/>
  <c r="DK238" i="5"/>
  <c r="DL238" i="5"/>
  <c r="DK239" i="5"/>
  <c r="DL239" i="5"/>
  <c r="DK240" i="5"/>
  <c r="DL240" i="5"/>
  <c r="DK241" i="5"/>
  <c r="DL241" i="5"/>
  <c r="DK242" i="5"/>
  <c r="DL242" i="5"/>
  <c r="DK243" i="5"/>
  <c r="DL243" i="5"/>
  <c r="DK244" i="5"/>
  <c r="DL244" i="5"/>
  <c r="DK245" i="5"/>
  <c r="DL245" i="5"/>
  <c r="DK246" i="5"/>
  <c r="DL246" i="5"/>
  <c r="DK247" i="5"/>
  <c r="DL247" i="5"/>
  <c r="DK248" i="5"/>
  <c r="DL248" i="5"/>
  <c r="DK249" i="5"/>
  <c r="DL249" i="5"/>
  <c r="DK250" i="5"/>
  <c r="DL250" i="5"/>
  <c r="DK251" i="5"/>
  <c r="DL251" i="5"/>
  <c r="DK252" i="5"/>
  <c r="DL252" i="5"/>
  <c r="DK253" i="5"/>
  <c r="DL253" i="5"/>
  <c r="DK254" i="5"/>
  <c r="DL254" i="5"/>
  <c r="DK255" i="5"/>
  <c r="DL255" i="5"/>
  <c r="DK256" i="5"/>
  <c r="DL256" i="5"/>
  <c r="DK257" i="5"/>
  <c r="DL257" i="5"/>
  <c r="DK258" i="5"/>
  <c r="DL258" i="5"/>
  <c r="DK259" i="5"/>
  <c r="DL259" i="5"/>
  <c r="DK260" i="5"/>
  <c r="DL260" i="5"/>
  <c r="DK261" i="5"/>
  <c r="DL261" i="5"/>
  <c r="DK262" i="5"/>
  <c r="DL262" i="5"/>
  <c r="DK263" i="5"/>
  <c r="DL263" i="5"/>
  <c r="DK264" i="5"/>
  <c r="DL264" i="5"/>
  <c r="DK265" i="5"/>
  <c r="DL265" i="5"/>
  <c r="DK266" i="5"/>
  <c r="DL266" i="5"/>
  <c r="DK267" i="5"/>
  <c r="DL267" i="5"/>
  <c r="DK268" i="5"/>
  <c r="DL268" i="5"/>
  <c r="DK269" i="5"/>
  <c r="DL269" i="5"/>
  <c r="DK270" i="5"/>
  <c r="DL270" i="5"/>
  <c r="DK271" i="5"/>
  <c r="DL271" i="5"/>
  <c r="DK272" i="5"/>
  <c r="DL272" i="5"/>
  <c r="DK273" i="5"/>
  <c r="DL273" i="5"/>
  <c r="DK274" i="5"/>
  <c r="DL274" i="5"/>
  <c r="DK275" i="5"/>
  <c r="DL275" i="5"/>
  <c r="DK276" i="5"/>
  <c r="DL276" i="5"/>
  <c r="DK277" i="5"/>
  <c r="DL277" i="5"/>
  <c r="DK278" i="5"/>
  <c r="DL278" i="5"/>
  <c r="DK279" i="5"/>
  <c r="DL279" i="5"/>
  <c r="DK280" i="5"/>
  <c r="DL280" i="5"/>
  <c r="DK281" i="5"/>
  <c r="DL281" i="5"/>
  <c r="DK282" i="5"/>
  <c r="DL282" i="5"/>
  <c r="DK283" i="5"/>
  <c r="DL283" i="5"/>
  <c r="DK284" i="5"/>
  <c r="DL284" i="5"/>
  <c r="DK285" i="5"/>
  <c r="DL285" i="5"/>
  <c r="DK286" i="5"/>
  <c r="DL286" i="5"/>
  <c r="DK287" i="5"/>
  <c r="DL287" i="5"/>
  <c r="DK288" i="5"/>
  <c r="DL288" i="5"/>
  <c r="DK289" i="5"/>
  <c r="DL289" i="5"/>
  <c r="DK290" i="5"/>
  <c r="DL290" i="5"/>
  <c r="DK291" i="5"/>
  <c r="DL291" i="5"/>
  <c r="DK292" i="5"/>
  <c r="DL292" i="5"/>
  <c r="DK293" i="5"/>
  <c r="DL293" i="5"/>
  <c r="DK294" i="5"/>
  <c r="DL294" i="5"/>
  <c r="DK295" i="5"/>
  <c r="DL295" i="5"/>
  <c r="DK296" i="5"/>
  <c r="DL296" i="5"/>
  <c r="DK297" i="5"/>
  <c r="DL297" i="5"/>
  <c r="DK298" i="5"/>
  <c r="DL298" i="5"/>
  <c r="DK299" i="5"/>
  <c r="DL299" i="5"/>
  <c r="DK300" i="5"/>
  <c r="DL300" i="5"/>
  <c r="DK301" i="5"/>
  <c r="DL301" i="5"/>
  <c r="DK302" i="5"/>
  <c r="DL302" i="5"/>
  <c r="DK303" i="5"/>
  <c r="DL303" i="5"/>
  <c r="DK304" i="5"/>
  <c r="DL304" i="5"/>
  <c r="DK305" i="5"/>
  <c r="DL305" i="5"/>
  <c r="DK306" i="5"/>
  <c r="DL306" i="5"/>
  <c r="DK307" i="5"/>
  <c r="DL307" i="5"/>
  <c r="DK308" i="5"/>
  <c r="DL308" i="5"/>
  <c r="DK309" i="5"/>
  <c r="DL309" i="5"/>
  <c r="DK310" i="5"/>
  <c r="DL310" i="5"/>
  <c r="DK311" i="5"/>
  <c r="DL311" i="5"/>
  <c r="DK312" i="5"/>
  <c r="DL312" i="5"/>
  <c r="DK313" i="5"/>
  <c r="DL313" i="5"/>
  <c r="DK314" i="5"/>
  <c r="DL314" i="5"/>
  <c r="DK315" i="5"/>
  <c r="DL315" i="5"/>
  <c r="DK316" i="5"/>
  <c r="DL316" i="5"/>
  <c r="DK317" i="5"/>
  <c r="DL317" i="5"/>
  <c r="DK318" i="5"/>
  <c r="DL318" i="5"/>
  <c r="DK319" i="5"/>
  <c r="DL319" i="5"/>
  <c r="DK320" i="5"/>
  <c r="DL320" i="5"/>
  <c r="DK321" i="5"/>
  <c r="DL321" i="5"/>
  <c r="DK322" i="5"/>
  <c r="DL322" i="5"/>
  <c r="DK323" i="5"/>
  <c r="DL323" i="5"/>
  <c r="DK324" i="5"/>
  <c r="DL324" i="5"/>
  <c r="DK325" i="5"/>
  <c r="DL325" i="5"/>
  <c r="DK326" i="5"/>
  <c r="DL326" i="5"/>
  <c r="DK327" i="5"/>
  <c r="DL327" i="5"/>
  <c r="DK328" i="5"/>
  <c r="DL328" i="5"/>
  <c r="DK329" i="5"/>
  <c r="DL329" i="5"/>
  <c r="DK330" i="5"/>
  <c r="DL330" i="5"/>
  <c r="DK331" i="5"/>
  <c r="DL331" i="5"/>
  <c r="DK332" i="5"/>
  <c r="DL332" i="5"/>
  <c r="DK333" i="5"/>
  <c r="DL333" i="5"/>
  <c r="DK334" i="5"/>
  <c r="DL334" i="5"/>
  <c r="DK335" i="5"/>
  <c r="DL335" i="5"/>
  <c r="DK336" i="5"/>
  <c r="DL336" i="5"/>
  <c r="DK337" i="5"/>
  <c r="DL337" i="5"/>
  <c r="DK338" i="5"/>
  <c r="DL338" i="5"/>
  <c r="DK339" i="5"/>
  <c r="DL339" i="5"/>
  <c r="DK340" i="5"/>
  <c r="DL340" i="5"/>
  <c r="DK341" i="5"/>
  <c r="DL341" i="5"/>
  <c r="DK342" i="5"/>
  <c r="DL342" i="5"/>
  <c r="DK343" i="5"/>
  <c r="DL343" i="5"/>
  <c r="DK344" i="5"/>
  <c r="DL344" i="5"/>
  <c r="DK345" i="5"/>
  <c r="DL345" i="5"/>
  <c r="DK346" i="5"/>
  <c r="DL346" i="5"/>
  <c r="DK347" i="5"/>
  <c r="DL347" i="5"/>
  <c r="DK348" i="5"/>
  <c r="DL348" i="5"/>
  <c r="DK349" i="5"/>
  <c r="DL349" i="5"/>
  <c r="DK350" i="5"/>
  <c r="DL350" i="5"/>
  <c r="DK351" i="5"/>
  <c r="DL351" i="5"/>
  <c r="DK352" i="5"/>
  <c r="DL352" i="5"/>
  <c r="DK353" i="5"/>
  <c r="DL353" i="5"/>
  <c r="DK354" i="5"/>
  <c r="DL354" i="5"/>
  <c r="DK355" i="5"/>
  <c r="DL355" i="5"/>
  <c r="DK356" i="5"/>
  <c r="DL356" i="5"/>
  <c r="DK357" i="5"/>
  <c r="DL357" i="5"/>
  <c r="DK358" i="5"/>
  <c r="DL358" i="5"/>
  <c r="DK359" i="5"/>
  <c r="DL359" i="5"/>
  <c r="DK360" i="5"/>
  <c r="DL360" i="5"/>
  <c r="DK361" i="5"/>
  <c r="DL361" i="5"/>
  <c r="DK362" i="5"/>
  <c r="DL362" i="5"/>
  <c r="DK363" i="5"/>
  <c r="DL363" i="5"/>
  <c r="DK364" i="5"/>
  <c r="DL364" i="5"/>
  <c r="DK365" i="5"/>
  <c r="DL365" i="5"/>
  <c r="DK366" i="5"/>
  <c r="DL366" i="5"/>
  <c r="DK367" i="5"/>
  <c r="DL367" i="5"/>
  <c r="DK368" i="5"/>
  <c r="DL368" i="5"/>
  <c r="DK369" i="5"/>
  <c r="DL369" i="5"/>
  <c r="DK370" i="5"/>
  <c r="DL370" i="5"/>
  <c r="DK371" i="5"/>
  <c r="DL371" i="5"/>
  <c r="DK372" i="5"/>
  <c r="DL372" i="5"/>
  <c r="DK373" i="5"/>
  <c r="DL373" i="5"/>
  <c r="DK374" i="5"/>
  <c r="DL374" i="5"/>
  <c r="DK375" i="5"/>
  <c r="DL375" i="5"/>
  <c r="DK376" i="5"/>
  <c r="DL376" i="5"/>
  <c r="DK377" i="5"/>
  <c r="DL377" i="5"/>
  <c r="DK378" i="5"/>
  <c r="DL378" i="5"/>
  <c r="DK379" i="5"/>
  <c r="DL379" i="5"/>
  <c r="DK380" i="5"/>
  <c r="DL380" i="5"/>
  <c r="DK381" i="5"/>
  <c r="DL381" i="5"/>
  <c r="DK382" i="5"/>
  <c r="DL382" i="5"/>
  <c r="DK383" i="5"/>
  <c r="DL383" i="5"/>
  <c r="DK384" i="5"/>
  <c r="DL384" i="5"/>
  <c r="DK385" i="5"/>
  <c r="DL385" i="5"/>
  <c r="DK386" i="5"/>
  <c r="DL386" i="5"/>
  <c r="DK387" i="5"/>
  <c r="DL387" i="5"/>
  <c r="DK388" i="5"/>
  <c r="DL388" i="5"/>
  <c r="DK389" i="5"/>
  <c r="DL389" i="5"/>
  <c r="DK390" i="5"/>
  <c r="DL390" i="5"/>
  <c r="DK391" i="5"/>
  <c r="DL391" i="5"/>
  <c r="DK392" i="5"/>
  <c r="DL392" i="5"/>
  <c r="DK393" i="5"/>
  <c r="DL393" i="5"/>
  <c r="DK394" i="5"/>
  <c r="DL394" i="5"/>
  <c r="DK395" i="5"/>
  <c r="DL395" i="5"/>
  <c r="DK396" i="5"/>
  <c r="DL396" i="5"/>
  <c r="DK397" i="5"/>
  <c r="DL397" i="5"/>
  <c r="DK398" i="5"/>
  <c r="DL398" i="5"/>
  <c r="DK399" i="5"/>
  <c r="DL399" i="5"/>
  <c r="DK400" i="5"/>
  <c r="DL400" i="5"/>
  <c r="DK401" i="5"/>
  <c r="DL401" i="5"/>
  <c r="DK402" i="5"/>
  <c r="DL402" i="5"/>
  <c r="DK403" i="5"/>
  <c r="DL403" i="5"/>
  <c r="DK404" i="5"/>
  <c r="DL404" i="5"/>
  <c r="DK405" i="5"/>
  <c r="DL405" i="5"/>
  <c r="DK406" i="5"/>
  <c r="DL406" i="5"/>
  <c r="DK407" i="5"/>
  <c r="DL407" i="5"/>
  <c r="DK408" i="5"/>
  <c r="DL408" i="5"/>
  <c r="DK409" i="5"/>
  <c r="DL409" i="5"/>
  <c r="DK410" i="5"/>
  <c r="DL410" i="5"/>
  <c r="DK411" i="5"/>
  <c r="DL411" i="5"/>
  <c r="DK412" i="5"/>
  <c r="DL412" i="5"/>
  <c r="DK413" i="5"/>
  <c r="DL413" i="5"/>
  <c r="DK414" i="5"/>
  <c r="DL414" i="5"/>
  <c r="DK415" i="5"/>
  <c r="DL415" i="5"/>
  <c r="DK416" i="5"/>
  <c r="DL416" i="5"/>
  <c r="DK417" i="5"/>
  <c r="DL417" i="5"/>
  <c r="DK418" i="5"/>
  <c r="DL418" i="5"/>
  <c r="DK419" i="5"/>
  <c r="DL419" i="5"/>
  <c r="DK420" i="5"/>
  <c r="DL420" i="5"/>
  <c r="DK421" i="5"/>
  <c r="DL421" i="5"/>
  <c r="DK422" i="5"/>
  <c r="DL422" i="5"/>
  <c r="DK423" i="5"/>
  <c r="DL423" i="5"/>
  <c r="DK424" i="5"/>
  <c r="DL424" i="5"/>
  <c r="DK425" i="5"/>
  <c r="DL425" i="5"/>
  <c r="DK426" i="5"/>
  <c r="DL426" i="5"/>
  <c r="DK427" i="5"/>
  <c r="DL427" i="5"/>
  <c r="DK428" i="5"/>
  <c r="DL428" i="5"/>
  <c r="DK429" i="5"/>
  <c r="DL429" i="5"/>
  <c r="DK430" i="5"/>
  <c r="DL430" i="5"/>
  <c r="DK431" i="5"/>
  <c r="DL431" i="5"/>
  <c r="DK432" i="5"/>
  <c r="DL432" i="5"/>
  <c r="DK433" i="5"/>
  <c r="DL433" i="5"/>
  <c r="DK434" i="5"/>
  <c r="DL434" i="5"/>
  <c r="DK435" i="5"/>
  <c r="DL435" i="5"/>
  <c r="DK436" i="5"/>
  <c r="DL436" i="5"/>
  <c r="DK437" i="5"/>
  <c r="DL437" i="5"/>
  <c r="DK438" i="5"/>
  <c r="DL438" i="5"/>
  <c r="DK439" i="5"/>
  <c r="DL439" i="5"/>
  <c r="DK440" i="5"/>
  <c r="DL440" i="5"/>
  <c r="DK441" i="5"/>
  <c r="DL441" i="5"/>
  <c r="DK442" i="5"/>
  <c r="DL442" i="5"/>
  <c r="DK443" i="5"/>
  <c r="DL443" i="5"/>
  <c r="DK444" i="5"/>
  <c r="DL444" i="5"/>
  <c r="DK445" i="5"/>
  <c r="DL445" i="5"/>
  <c r="DK446" i="5"/>
  <c r="DL446" i="5"/>
  <c r="DK447" i="5"/>
  <c r="DL447" i="5"/>
  <c r="DK448" i="5"/>
  <c r="DL448" i="5"/>
  <c r="DK449" i="5"/>
  <c r="DL449" i="5"/>
  <c r="DK450" i="5"/>
  <c r="DL450" i="5"/>
  <c r="DK451" i="5"/>
  <c r="DL451" i="5"/>
  <c r="DK452" i="5"/>
  <c r="DL452" i="5"/>
  <c r="DK453" i="5"/>
  <c r="DL453" i="5"/>
  <c r="DK454" i="5"/>
  <c r="DL454" i="5"/>
  <c r="DK455" i="5"/>
  <c r="DL455" i="5"/>
  <c r="DK456" i="5"/>
  <c r="DL456" i="5"/>
  <c r="DK457" i="5"/>
  <c r="DL457" i="5"/>
  <c r="DK458" i="5"/>
  <c r="DL458" i="5"/>
  <c r="DK459" i="5"/>
  <c r="DL459" i="5"/>
  <c r="DK460" i="5"/>
  <c r="DL460" i="5"/>
  <c r="DK461" i="5"/>
  <c r="DL461" i="5"/>
  <c r="DK462" i="5"/>
  <c r="DL462" i="5"/>
  <c r="DK463" i="5"/>
  <c r="DL463" i="5"/>
  <c r="DK464" i="5"/>
  <c r="DL464" i="5"/>
  <c r="DK465" i="5"/>
  <c r="DL465" i="5"/>
  <c r="DK466" i="5"/>
  <c r="DL466" i="5"/>
  <c r="DK467" i="5"/>
  <c r="DL467" i="5"/>
  <c r="DK468" i="5"/>
  <c r="DL468" i="5"/>
  <c r="DK469" i="5"/>
  <c r="DL469" i="5"/>
  <c r="DK470" i="5"/>
  <c r="DL470" i="5"/>
  <c r="DK471" i="5"/>
  <c r="DL471" i="5"/>
  <c r="DK472" i="5"/>
  <c r="DL472" i="5"/>
  <c r="DK473" i="5"/>
  <c r="DL473" i="5"/>
  <c r="DK474" i="5"/>
  <c r="DL474" i="5"/>
  <c r="DK475" i="5"/>
  <c r="DL475" i="5"/>
  <c r="DK476" i="5"/>
  <c r="DL476" i="5"/>
  <c r="DK477" i="5"/>
  <c r="DL477" i="5"/>
  <c r="DK478" i="5"/>
  <c r="DL478" i="5"/>
  <c r="DK479" i="5"/>
  <c r="DL479" i="5"/>
  <c r="DK480" i="5"/>
  <c r="DL480" i="5"/>
  <c r="DK481" i="5"/>
  <c r="DL481" i="5"/>
  <c r="DK482" i="5"/>
  <c r="DL482" i="5"/>
  <c r="DK483" i="5"/>
  <c r="DL483" i="5"/>
  <c r="DK484" i="5"/>
  <c r="DL484" i="5"/>
  <c r="DK485" i="5"/>
  <c r="DL485" i="5"/>
  <c r="DK486" i="5"/>
  <c r="DL486" i="5"/>
  <c r="DK487" i="5"/>
  <c r="DL487" i="5"/>
  <c r="DK488" i="5"/>
  <c r="DL488" i="5"/>
  <c r="DK489" i="5"/>
  <c r="DL489" i="5"/>
  <c r="DK490" i="5"/>
  <c r="DL490" i="5"/>
  <c r="DK491" i="5"/>
  <c r="DL491" i="5"/>
  <c r="DK492" i="5"/>
  <c r="DL492" i="5"/>
  <c r="DK493" i="5"/>
  <c r="DL493" i="5"/>
  <c r="DK494" i="5"/>
  <c r="DL494" i="5"/>
  <c r="DK495" i="5"/>
  <c r="DL495" i="5"/>
  <c r="DK496" i="5"/>
  <c r="DL496" i="5"/>
  <c r="DK497" i="5"/>
  <c r="DL497" i="5"/>
  <c r="DK498" i="5"/>
  <c r="DL498" i="5"/>
  <c r="DK499" i="5"/>
  <c r="DL499" i="5"/>
  <c r="DK500" i="5"/>
  <c r="DL500" i="5"/>
  <c r="DK501" i="5"/>
  <c r="DL501" i="5"/>
  <c r="DK502" i="5"/>
  <c r="DL502" i="5"/>
  <c r="DK503" i="5"/>
  <c r="DL503" i="5"/>
  <c r="DK504" i="5"/>
  <c r="DL504" i="5"/>
  <c r="DK505" i="5"/>
  <c r="DL505" i="5"/>
  <c r="DK506" i="5"/>
  <c r="DL506" i="5"/>
  <c r="DK507" i="5"/>
  <c r="DL507" i="5"/>
  <c r="DK508" i="5"/>
  <c r="DL508" i="5"/>
  <c r="DK509" i="5"/>
  <c r="DL509" i="5"/>
  <c r="DK510" i="5"/>
  <c r="DL510" i="5"/>
  <c r="DK511" i="5"/>
  <c r="DL511" i="5"/>
  <c r="DK512" i="5"/>
  <c r="DL512" i="5"/>
  <c r="DK513" i="5"/>
  <c r="DL513" i="5"/>
  <c r="DK514" i="5"/>
  <c r="DL514" i="5"/>
  <c r="DK515" i="5"/>
  <c r="DL515" i="5"/>
  <c r="DK516" i="5"/>
  <c r="DL516" i="5"/>
  <c r="DK517" i="5"/>
  <c r="DL517" i="5"/>
  <c r="DK518" i="5"/>
  <c r="DL518" i="5"/>
  <c r="DK519" i="5"/>
  <c r="DL519" i="5"/>
  <c r="DK520" i="5"/>
  <c r="DL520" i="5"/>
  <c r="DK521" i="5"/>
  <c r="DL521" i="5"/>
  <c r="DK522" i="5"/>
  <c r="DL522" i="5"/>
  <c r="DK523" i="5"/>
  <c r="DL523" i="5"/>
  <c r="DK524" i="5"/>
  <c r="DL524" i="5"/>
  <c r="DK525" i="5"/>
  <c r="DL525" i="5"/>
  <c r="DK526" i="5"/>
  <c r="DL526" i="5"/>
  <c r="DK527" i="5"/>
  <c r="DL527" i="5"/>
  <c r="DK528" i="5"/>
  <c r="DL528" i="5"/>
  <c r="DK529" i="5"/>
  <c r="DL529" i="5"/>
  <c r="DK530" i="5"/>
  <c r="DL530" i="5"/>
  <c r="DK531" i="5"/>
  <c r="DL531" i="5"/>
  <c r="DK532" i="5"/>
  <c r="DL532" i="5"/>
  <c r="DK533" i="5"/>
  <c r="DL533" i="5"/>
  <c r="DK534" i="5"/>
  <c r="DL534" i="5"/>
  <c r="DK535" i="5"/>
  <c r="DL535" i="5"/>
  <c r="DK536" i="5"/>
  <c r="DL536" i="5"/>
  <c r="DK537" i="5"/>
  <c r="DL537" i="5"/>
  <c r="DK538" i="5"/>
  <c r="DL538" i="5"/>
  <c r="DK539" i="5"/>
  <c r="DL539" i="5"/>
  <c r="DK540" i="5"/>
  <c r="DL540" i="5"/>
  <c r="DK541" i="5"/>
  <c r="DL541" i="5"/>
  <c r="DK542" i="5"/>
  <c r="DL542" i="5"/>
  <c r="DK543" i="5"/>
  <c r="DL543" i="5"/>
  <c r="DK544" i="5"/>
  <c r="DL544" i="5"/>
  <c r="DK545" i="5"/>
  <c r="DL545" i="5"/>
  <c r="DK546" i="5"/>
  <c r="DL546" i="5"/>
  <c r="DK547" i="5"/>
  <c r="DL547" i="5"/>
  <c r="DK548" i="5"/>
  <c r="DL548" i="5"/>
  <c r="DK549" i="5"/>
  <c r="DL549" i="5"/>
  <c r="DK550" i="5"/>
  <c r="DL550" i="5"/>
  <c r="DK551" i="5"/>
  <c r="DL551" i="5"/>
  <c r="DK552" i="5"/>
  <c r="DL552" i="5"/>
  <c r="DK553" i="5"/>
  <c r="DL553" i="5"/>
  <c r="DK554" i="5"/>
  <c r="DL554" i="5"/>
  <c r="DK555" i="5"/>
  <c r="DL555" i="5"/>
  <c r="DK556" i="5"/>
  <c r="DL556" i="5"/>
  <c r="DK557" i="5"/>
  <c r="DL557" i="5"/>
  <c r="DK558" i="5"/>
  <c r="DL558" i="5"/>
  <c r="DK559" i="5"/>
  <c r="DL559" i="5"/>
  <c r="DK560" i="5"/>
  <c r="DL560" i="5"/>
  <c r="DK561" i="5"/>
  <c r="DL561" i="5"/>
  <c r="DK562" i="5"/>
  <c r="DL562" i="5"/>
  <c r="DK563" i="5"/>
  <c r="DL563" i="5"/>
  <c r="DK564" i="5"/>
  <c r="DL564" i="5"/>
  <c r="DK565" i="5"/>
  <c r="DL565" i="5"/>
  <c r="DK566" i="5"/>
  <c r="DL566" i="5"/>
  <c r="DK567" i="5"/>
  <c r="DL567" i="5"/>
  <c r="DK568" i="5"/>
  <c r="DL568" i="5"/>
  <c r="DK569" i="5"/>
  <c r="DL569" i="5"/>
  <c r="DK570" i="5"/>
  <c r="DL570" i="5"/>
  <c r="DK571" i="5"/>
  <c r="DL571" i="5"/>
  <c r="DK572" i="5"/>
  <c r="DL572" i="5"/>
  <c r="DK573" i="5"/>
  <c r="DL573" i="5"/>
  <c r="DK574" i="5"/>
  <c r="DL574" i="5"/>
  <c r="DK575" i="5"/>
  <c r="DL575" i="5"/>
  <c r="DK576" i="5"/>
  <c r="DL576" i="5"/>
  <c r="DK577" i="5"/>
  <c r="DL577" i="5"/>
  <c r="DK578" i="5"/>
  <c r="DL578" i="5"/>
  <c r="DK579" i="5"/>
  <c r="DL579" i="5"/>
  <c r="DK580" i="5"/>
  <c r="DL580" i="5"/>
  <c r="DK581" i="5"/>
  <c r="DL581" i="5"/>
  <c r="DK582" i="5"/>
  <c r="DL582" i="5"/>
  <c r="DK583" i="5"/>
  <c r="DL583" i="5"/>
  <c r="DK584" i="5"/>
  <c r="DL584" i="5"/>
  <c r="DK585" i="5"/>
  <c r="DL585" i="5"/>
  <c r="DK586" i="5"/>
  <c r="DL586" i="5"/>
  <c r="DK587" i="5"/>
  <c r="DL587" i="5"/>
  <c r="DK588" i="5"/>
  <c r="DL588" i="5"/>
  <c r="DK589" i="5"/>
  <c r="DL589" i="5"/>
  <c r="DK590" i="5"/>
  <c r="DL590" i="5"/>
  <c r="DK591" i="5"/>
  <c r="DL591" i="5"/>
  <c r="DK592" i="5"/>
  <c r="DL592" i="5"/>
  <c r="DK593" i="5"/>
  <c r="DL593" i="5"/>
  <c r="DK594" i="5"/>
  <c r="DL594" i="5"/>
  <c r="DK595" i="5"/>
  <c r="DL595" i="5"/>
  <c r="DK596" i="5"/>
  <c r="DL596" i="5"/>
  <c r="DK597" i="5"/>
  <c r="DL597" i="5"/>
  <c r="DK598" i="5"/>
  <c r="DL598" i="5"/>
  <c r="DK599" i="5"/>
  <c r="DL599" i="5"/>
  <c r="DK600" i="5"/>
  <c r="DL600" i="5"/>
  <c r="DK601" i="5"/>
  <c r="DL601" i="5"/>
  <c r="DK602" i="5"/>
  <c r="DL602" i="5"/>
  <c r="DK603" i="5"/>
  <c r="DL603" i="5"/>
  <c r="DK604" i="5"/>
  <c r="DL604" i="5"/>
  <c r="DK605" i="5"/>
  <c r="DL605" i="5"/>
  <c r="DK606" i="5"/>
  <c r="DL606" i="5"/>
  <c r="DK607" i="5"/>
  <c r="DL607" i="5"/>
  <c r="DK608" i="5"/>
  <c r="DL608" i="5"/>
  <c r="DK609" i="5"/>
  <c r="DL609" i="5"/>
  <c r="DK610" i="5"/>
  <c r="DL610" i="5"/>
  <c r="DK611" i="5"/>
  <c r="DL611" i="5"/>
  <c r="DK612" i="5"/>
  <c r="DL612" i="5"/>
  <c r="DK613" i="5"/>
  <c r="DL613" i="5"/>
  <c r="DK614" i="5"/>
  <c r="DL614" i="5"/>
  <c r="DK615" i="5"/>
  <c r="DL615" i="5"/>
  <c r="DK616" i="5"/>
  <c r="DL616" i="5"/>
  <c r="DK617" i="5"/>
  <c r="DL617" i="5"/>
  <c r="DK618" i="5"/>
  <c r="DL618" i="5"/>
  <c r="DK619" i="5"/>
  <c r="DL619" i="5"/>
  <c r="DK620" i="5"/>
  <c r="DL620" i="5"/>
  <c r="DK621" i="5"/>
  <c r="DL621" i="5"/>
  <c r="DK622" i="5"/>
  <c r="DL622" i="5"/>
  <c r="DK623" i="5"/>
  <c r="DL623" i="5"/>
  <c r="DK624" i="5"/>
  <c r="DL624" i="5"/>
  <c r="DK625" i="5"/>
  <c r="DL625" i="5"/>
  <c r="DK626" i="5"/>
  <c r="DL626" i="5"/>
  <c r="DK627" i="5"/>
  <c r="DL627" i="5"/>
  <c r="DK628" i="5"/>
  <c r="DL628" i="5"/>
  <c r="DK629" i="5"/>
  <c r="DL629" i="5"/>
  <c r="DK630" i="5"/>
  <c r="DL630" i="5"/>
  <c r="DK631" i="5"/>
  <c r="DL631" i="5"/>
  <c r="DK632" i="5"/>
  <c r="DL632" i="5"/>
  <c r="DK633" i="5"/>
  <c r="DL633" i="5"/>
  <c r="DK634" i="5"/>
  <c r="DL634" i="5"/>
  <c r="DK635" i="5"/>
  <c r="DL635" i="5"/>
  <c r="DK636" i="5"/>
  <c r="DL636" i="5"/>
  <c r="DK637" i="5"/>
  <c r="DL637" i="5"/>
  <c r="DK638" i="5"/>
  <c r="DL638" i="5"/>
  <c r="DK639" i="5"/>
  <c r="DL639" i="5"/>
  <c r="DK640" i="5"/>
  <c r="DL640" i="5"/>
  <c r="DK641" i="5"/>
  <c r="DL641" i="5"/>
  <c r="DK642" i="5"/>
  <c r="DL642" i="5"/>
  <c r="DK643" i="5"/>
  <c r="DL643" i="5"/>
  <c r="DK644" i="5"/>
  <c r="DL644" i="5"/>
  <c r="DK645" i="5"/>
  <c r="DL645" i="5"/>
  <c r="DK646" i="5"/>
  <c r="DL646" i="5"/>
  <c r="DK647" i="5"/>
  <c r="DL647" i="5"/>
  <c r="DK648" i="5"/>
  <c r="DL648" i="5"/>
  <c r="DK649" i="5"/>
  <c r="DL649" i="5"/>
  <c r="DK650" i="5"/>
  <c r="DL650" i="5"/>
  <c r="DK651" i="5"/>
  <c r="DL651" i="5"/>
  <c r="DK652" i="5"/>
  <c r="DL652" i="5"/>
  <c r="DK653" i="5"/>
  <c r="DL653" i="5"/>
  <c r="DK654" i="5"/>
  <c r="DL654" i="5"/>
  <c r="DK655" i="5"/>
  <c r="DL655" i="5"/>
  <c r="DK656" i="5"/>
  <c r="DL656" i="5"/>
  <c r="DK657" i="5"/>
  <c r="DL657" i="5"/>
  <c r="DK658" i="5"/>
  <c r="DL658" i="5"/>
  <c r="DK659" i="5"/>
  <c r="DL659" i="5"/>
  <c r="DK660" i="5"/>
  <c r="DL660" i="5"/>
  <c r="DK661" i="5"/>
  <c r="DL661" i="5"/>
  <c r="DK662" i="5"/>
  <c r="DL662" i="5"/>
  <c r="DK663" i="5"/>
  <c r="DL663" i="5"/>
  <c r="DK664" i="5"/>
  <c r="DL664" i="5"/>
  <c r="DK665" i="5"/>
  <c r="DL665" i="5"/>
  <c r="DK666" i="5"/>
  <c r="DL666" i="5"/>
  <c r="DK667" i="5"/>
  <c r="DL667" i="5"/>
  <c r="DK668" i="5"/>
  <c r="DL668" i="5"/>
  <c r="DK669" i="5"/>
  <c r="DL669" i="5"/>
  <c r="DK670" i="5"/>
  <c r="DL670" i="5"/>
  <c r="DK671" i="5"/>
  <c r="DL671" i="5"/>
  <c r="DK672" i="5"/>
  <c r="DL672" i="5"/>
  <c r="DK673" i="5"/>
  <c r="DL673" i="5"/>
  <c r="DK674" i="5"/>
  <c r="DL674" i="5"/>
  <c r="DK675" i="5"/>
  <c r="DL675" i="5"/>
  <c r="DK676" i="5"/>
  <c r="DL676" i="5"/>
  <c r="DK677" i="5"/>
  <c r="DL677" i="5"/>
  <c r="DK678" i="5"/>
  <c r="DL678" i="5"/>
  <c r="DK679" i="5"/>
  <c r="DL679" i="5"/>
  <c r="DK680" i="5"/>
  <c r="DL680" i="5"/>
  <c r="DK681" i="5"/>
  <c r="DL681" i="5"/>
  <c r="DK682" i="5"/>
  <c r="DL682" i="5"/>
  <c r="DK683" i="5"/>
  <c r="DL683" i="5"/>
  <c r="DK684" i="5"/>
  <c r="DL684" i="5"/>
  <c r="DK685" i="5"/>
  <c r="DL685" i="5"/>
  <c r="DK686" i="5"/>
  <c r="DL686" i="5"/>
  <c r="DK687" i="5"/>
  <c r="DL687" i="5"/>
  <c r="DK688" i="5"/>
  <c r="DL688" i="5"/>
  <c r="DK689" i="5"/>
  <c r="DL689" i="5"/>
  <c r="DK690" i="5"/>
  <c r="DL690" i="5"/>
  <c r="DK691" i="5"/>
  <c r="DL691" i="5"/>
  <c r="DK692" i="5"/>
  <c r="DL692" i="5"/>
  <c r="DK693" i="5"/>
  <c r="DL693" i="5"/>
  <c r="DK694" i="5"/>
  <c r="DL694" i="5"/>
  <c r="DK695" i="5"/>
  <c r="DL695" i="5"/>
  <c r="DK696" i="5"/>
  <c r="DL696" i="5"/>
  <c r="DK697" i="5"/>
  <c r="DL697" i="5"/>
  <c r="DK698" i="5"/>
  <c r="DL698" i="5"/>
  <c r="DK699" i="5"/>
  <c r="DL699" i="5"/>
  <c r="DK700" i="5"/>
  <c r="DL700" i="5"/>
  <c r="DK701" i="5"/>
  <c r="DL701" i="5"/>
  <c r="DK702" i="5"/>
  <c r="DL702" i="5"/>
  <c r="DK703" i="5"/>
  <c r="DL703" i="5"/>
  <c r="DK704" i="5"/>
  <c r="DL704" i="5"/>
  <c r="DK705" i="5"/>
  <c r="DL705" i="5"/>
  <c r="DK706" i="5"/>
  <c r="DL706" i="5"/>
  <c r="DK707" i="5"/>
  <c r="DL707" i="5"/>
  <c r="DK708" i="5"/>
  <c r="DL708" i="5"/>
  <c r="DK709" i="5"/>
  <c r="DL709" i="5"/>
  <c r="DK710" i="5"/>
  <c r="DL710" i="5"/>
  <c r="DK711" i="5"/>
  <c r="DL711" i="5"/>
  <c r="DK712" i="5"/>
  <c r="DL712" i="5"/>
  <c r="DK713" i="5"/>
  <c r="DL713" i="5"/>
  <c r="DK714" i="5"/>
  <c r="DL714" i="5"/>
  <c r="DK715" i="5"/>
  <c r="DL715" i="5"/>
  <c r="DK716" i="5"/>
  <c r="DL716" i="5"/>
  <c r="DK717" i="5"/>
  <c r="DL717" i="5"/>
  <c r="DK718" i="5"/>
  <c r="DL718" i="5"/>
  <c r="DK719" i="5"/>
  <c r="DL719" i="5"/>
  <c r="DK720" i="5"/>
  <c r="DL720" i="5"/>
  <c r="DK721" i="5"/>
  <c r="DL721" i="5"/>
  <c r="DK722" i="5"/>
  <c r="DL722" i="5"/>
  <c r="DK723" i="5"/>
  <c r="DL723" i="5"/>
  <c r="DK724" i="5"/>
  <c r="DL724" i="5"/>
  <c r="DK725" i="5"/>
  <c r="DL725" i="5"/>
  <c r="DK726" i="5"/>
  <c r="DL726" i="5"/>
  <c r="DK727" i="5"/>
  <c r="DL727" i="5"/>
  <c r="DK728" i="5"/>
  <c r="DL728" i="5"/>
  <c r="DK729" i="5"/>
  <c r="DL729" i="5"/>
  <c r="DK730" i="5"/>
  <c r="DL730" i="5"/>
  <c r="DK731" i="5"/>
  <c r="DL731" i="5"/>
  <c r="DK732" i="5"/>
  <c r="DL732" i="5"/>
  <c r="DK733" i="5"/>
  <c r="DL733" i="5"/>
  <c r="DK734" i="5"/>
  <c r="DL734" i="5"/>
  <c r="DK735" i="5"/>
  <c r="DL735" i="5"/>
  <c r="DK736" i="5"/>
  <c r="DL736" i="5"/>
  <c r="DK737" i="5"/>
  <c r="DL737" i="5"/>
  <c r="DK738" i="5"/>
  <c r="DL738" i="5"/>
  <c r="DK739" i="5"/>
  <c r="DL739" i="5"/>
  <c r="DK740" i="5"/>
  <c r="DL740" i="5"/>
  <c r="DK741" i="5"/>
  <c r="DL741" i="5"/>
  <c r="DK742" i="5"/>
  <c r="DL742" i="5"/>
  <c r="DK743" i="5"/>
  <c r="DL743" i="5"/>
  <c r="DK744" i="5"/>
  <c r="DL744" i="5"/>
  <c r="DK745" i="5"/>
  <c r="DL745" i="5"/>
  <c r="DK746" i="5"/>
  <c r="DL746" i="5"/>
  <c r="DK747" i="5"/>
  <c r="DL747" i="5"/>
  <c r="DK748" i="5"/>
  <c r="DL748" i="5"/>
  <c r="DK749" i="5"/>
  <c r="DL749" i="5"/>
  <c r="DK750" i="5"/>
  <c r="DL750" i="5"/>
  <c r="DK751" i="5"/>
  <c r="DL751" i="5"/>
  <c r="DK752" i="5"/>
  <c r="DL752" i="5"/>
  <c r="DK753" i="5"/>
  <c r="DL753" i="5"/>
  <c r="DK754" i="5"/>
  <c r="DL754" i="5"/>
  <c r="DK755" i="5"/>
  <c r="DL755" i="5"/>
  <c r="DK756" i="5"/>
  <c r="DL756" i="5"/>
  <c r="DK757" i="5"/>
  <c r="DL757" i="5"/>
  <c r="DK758" i="5"/>
  <c r="DL758" i="5"/>
  <c r="DK759" i="5"/>
  <c r="DL759" i="5"/>
  <c r="DK760" i="5"/>
  <c r="DL760" i="5"/>
  <c r="DK761" i="5"/>
  <c r="DL761" i="5"/>
  <c r="DK762" i="5"/>
  <c r="DL762" i="5"/>
  <c r="DK763" i="5"/>
  <c r="DL763" i="5"/>
  <c r="DK764" i="5"/>
  <c r="DL764" i="5"/>
  <c r="DK765" i="5"/>
  <c r="DL765" i="5"/>
  <c r="DK766" i="5"/>
  <c r="DL766" i="5"/>
  <c r="DK767" i="5"/>
  <c r="DL767" i="5"/>
  <c r="DK768" i="5"/>
  <c r="DL768" i="5"/>
  <c r="DK769" i="5"/>
  <c r="DL769" i="5"/>
  <c r="DK770" i="5"/>
  <c r="DL770" i="5"/>
  <c r="DK771" i="5"/>
  <c r="DL771" i="5"/>
  <c r="DK772" i="5"/>
  <c r="DL772" i="5"/>
  <c r="DK773" i="5"/>
  <c r="DL773" i="5"/>
  <c r="DK774" i="5"/>
  <c r="DL774" i="5"/>
  <c r="DK775" i="5"/>
  <c r="DL775" i="5"/>
  <c r="DK776" i="5"/>
  <c r="DL776" i="5"/>
  <c r="DK777" i="5"/>
  <c r="DL777" i="5"/>
  <c r="DK778" i="5"/>
  <c r="DL778" i="5"/>
  <c r="DK779" i="5"/>
  <c r="DL779" i="5"/>
  <c r="DK780" i="5"/>
  <c r="DL780" i="5"/>
  <c r="DK781" i="5"/>
  <c r="DL781" i="5"/>
  <c r="DK782" i="5"/>
  <c r="DL782" i="5"/>
  <c r="DK783" i="5"/>
  <c r="DL783" i="5"/>
  <c r="DK784" i="5"/>
  <c r="DL784" i="5"/>
  <c r="DK785" i="5"/>
  <c r="DL785" i="5"/>
  <c r="DK786" i="5"/>
  <c r="DL786" i="5"/>
  <c r="DK787" i="5"/>
  <c r="DL787" i="5"/>
  <c r="DK788" i="5"/>
  <c r="DL788" i="5"/>
  <c r="DK789" i="5"/>
  <c r="DL789" i="5"/>
  <c r="DK790" i="5"/>
  <c r="DL790" i="5"/>
  <c r="DK791" i="5"/>
  <c r="DL791" i="5"/>
  <c r="DK792" i="5"/>
  <c r="DL792" i="5"/>
  <c r="DK793" i="5"/>
  <c r="DL793" i="5"/>
  <c r="DK794" i="5"/>
  <c r="DL794" i="5"/>
  <c r="DK795" i="5"/>
  <c r="DL795" i="5"/>
  <c r="DK796" i="5"/>
  <c r="DL796" i="5"/>
  <c r="DK797" i="5"/>
  <c r="DL797" i="5"/>
  <c r="DK798" i="5"/>
  <c r="DL798" i="5"/>
  <c r="DK799" i="5"/>
  <c r="DL799" i="5"/>
  <c r="DK800" i="5"/>
  <c r="DL800" i="5"/>
  <c r="DK801" i="5"/>
  <c r="DL801" i="5"/>
  <c r="DK802" i="5"/>
  <c r="DL802" i="5"/>
  <c r="DK803" i="5"/>
  <c r="DL803" i="5"/>
  <c r="DK804" i="5"/>
  <c r="DL804" i="5"/>
  <c r="DK805" i="5"/>
  <c r="DL805" i="5"/>
  <c r="DK806" i="5"/>
  <c r="DL806" i="5"/>
  <c r="DK807" i="5"/>
  <c r="DL807" i="5"/>
  <c r="DK808" i="5"/>
  <c r="DL808" i="5"/>
  <c r="DK809" i="5"/>
  <c r="DL809" i="5"/>
  <c r="DK810" i="5"/>
  <c r="DL810" i="5"/>
  <c r="DK811" i="5"/>
  <c r="DL811" i="5"/>
  <c r="DK812" i="5"/>
  <c r="DL812" i="5"/>
  <c r="DK813" i="5"/>
  <c r="DL813" i="5"/>
  <c r="DK814" i="5"/>
  <c r="DL814" i="5"/>
  <c r="DK815" i="5"/>
  <c r="DL815" i="5"/>
  <c r="DK816" i="5"/>
  <c r="DL816" i="5"/>
  <c r="DK817" i="5"/>
  <c r="DL817" i="5"/>
  <c r="DK818" i="5"/>
  <c r="DL818" i="5"/>
  <c r="DK819" i="5"/>
  <c r="DL819" i="5"/>
  <c r="DK820" i="5"/>
  <c r="DL820" i="5"/>
  <c r="DK821" i="5"/>
  <c r="DL821" i="5"/>
  <c r="DK822" i="5"/>
  <c r="DL822" i="5"/>
  <c r="DK823" i="5"/>
  <c r="DL823" i="5"/>
  <c r="DK824" i="5"/>
  <c r="DL824" i="5"/>
  <c r="DK825" i="5"/>
  <c r="DL825" i="5"/>
  <c r="DK826" i="5"/>
  <c r="DL826" i="5"/>
  <c r="DK827" i="5"/>
  <c r="DL827" i="5"/>
  <c r="DK828" i="5"/>
  <c r="DL828" i="5"/>
  <c r="DK829" i="5"/>
  <c r="DL829" i="5"/>
  <c r="DK830" i="5"/>
  <c r="DL830" i="5"/>
  <c r="DK831" i="5"/>
  <c r="DL831" i="5"/>
  <c r="DK832" i="5"/>
  <c r="DL832" i="5"/>
  <c r="DK833" i="5"/>
  <c r="DL833" i="5"/>
  <c r="DK834" i="5"/>
  <c r="DL834" i="5"/>
  <c r="DK835" i="5"/>
  <c r="DL835" i="5"/>
  <c r="DK836" i="5"/>
  <c r="DL836" i="5"/>
  <c r="DK837" i="5"/>
  <c r="DL837" i="5"/>
  <c r="DK838" i="5"/>
  <c r="DL838" i="5"/>
  <c r="DK839" i="5"/>
  <c r="DL839" i="5"/>
  <c r="DK840" i="5"/>
  <c r="DL840" i="5"/>
  <c r="DK841" i="5"/>
  <c r="DL841" i="5"/>
  <c r="DK842" i="5"/>
  <c r="DL842" i="5"/>
  <c r="DK843" i="5"/>
  <c r="DL843" i="5"/>
  <c r="DK844" i="5"/>
  <c r="DL844" i="5"/>
  <c r="DK845" i="5"/>
  <c r="DL845" i="5"/>
  <c r="DK846" i="5"/>
  <c r="DL846" i="5"/>
  <c r="DK847" i="5"/>
  <c r="DL847" i="5"/>
  <c r="DK848" i="5"/>
  <c r="DL848" i="5"/>
  <c r="DK849" i="5"/>
  <c r="DL849" i="5"/>
  <c r="DK850" i="5"/>
  <c r="DL850" i="5"/>
  <c r="DK851" i="5"/>
  <c r="DL851" i="5"/>
  <c r="DK852" i="5"/>
  <c r="DL852" i="5"/>
  <c r="DK853" i="5"/>
  <c r="DL853" i="5"/>
  <c r="DK854" i="5"/>
  <c r="DL854" i="5"/>
  <c r="DK855" i="5"/>
  <c r="DL855" i="5"/>
  <c r="DK856" i="5"/>
  <c r="DL856" i="5"/>
  <c r="DK857" i="5"/>
  <c r="DL857" i="5"/>
  <c r="DK858" i="5"/>
  <c r="DL858" i="5"/>
  <c r="DK859" i="5"/>
  <c r="DL859" i="5"/>
  <c r="DK860" i="5"/>
  <c r="DL860" i="5"/>
  <c r="DK861" i="5"/>
  <c r="DL861" i="5"/>
  <c r="DK862" i="5"/>
  <c r="DL862" i="5"/>
  <c r="DK863" i="5"/>
  <c r="DL863" i="5"/>
  <c r="DK864" i="5"/>
  <c r="DL864" i="5"/>
  <c r="DK865" i="5"/>
  <c r="DL865" i="5"/>
  <c r="DK866" i="5"/>
  <c r="DL866" i="5"/>
  <c r="DK867" i="5"/>
  <c r="DL867" i="5"/>
  <c r="DK868" i="5"/>
  <c r="DL868" i="5"/>
  <c r="DK869" i="5"/>
  <c r="DL869" i="5"/>
  <c r="DK870" i="5"/>
  <c r="DL870" i="5"/>
  <c r="DK871" i="5"/>
  <c r="DL871" i="5"/>
  <c r="DK872" i="5"/>
  <c r="DL872" i="5"/>
  <c r="DK873" i="5"/>
  <c r="DL873" i="5"/>
  <c r="DK874" i="5"/>
  <c r="DL874" i="5"/>
  <c r="DK875" i="5"/>
  <c r="DL875" i="5"/>
  <c r="DK876" i="5"/>
  <c r="DL876" i="5"/>
  <c r="DK877" i="5"/>
  <c r="DL877" i="5"/>
  <c r="DK878" i="5"/>
  <c r="DL878" i="5"/>
  <c r="DK879" i="5"/>
  <c r="DL879" i="5"/>
  <c r="DK880" i="5"/>
  <c r="DL880" i="5"/>
  <c r="DK881" i="5"/>
  <c r="DL881" i="5"/>
  <c r="DK882" i="5"/>
  <c r="DL882" i="5"/>
  <c r="DK883" i="5"/>
  <c r="DL883" i="5"/>
  <c r="DK884" i="5"/>
  <c r="DL884" i="5"/>
  <c r="DK885" i="5"/>
  <c r="DL885" i="5"/>
  <c r="DK886" i="5"/>
  <c r="DL886" i="5"/>
  <c r="DK887" i="5"/>
  <c r="DL887" i="5"/>
  <c r="DK888" i="5"/>
  <c r="DL888" i="5"/>
  <c r="DK889" i="5"/>
  <c r="DL889" i="5"/>
  <c r="DK890" i="5"/>
  <c r="DL890" i="5"/>
  <c r="DK891" i="5"/>
  <c r="DL891" i="5"/>
  <c r="DK892" i="5"/>
  <c r="DL892" i="5"/>
  <c r="DK893" i="5"/>
  <c r="DL893" i="5"/>
  <c r="DK894" i="5"/>
  <c r="DL894" i="5"/>
  <c r="DK895" i="5"/>
  <c r="DL895" i="5"/>
  <c r="DK896" i="5"/>
  <c r="DL896" i="5"/>
  <c r="DK897" i="5"/>
  <c r="DL897" i="5"/>
  <c r="DK898" i="5"/>
  <c r="DL898" i="5"/>
  <c r="DK899" i="5"/>
  <c r="DL899" i="5"/>
  <c r="DK900" i="5"/>
  <c r="DL900" i="5"/>
  <c r="DK901" i="5"/>
  <c r="DL901" i="5"/>
  <c r="DK902" i="5"/>
  <c r="DL902" i="5"/>
  <c r="DK903" i="5"/>
  <c r="DL903" i="5"/>
  <c r="DK904" i="5"/>
  <c r="DL904" i="5"/>
  <c r="DK905" i="5"/>
  <c r="DL905" i="5"/>
  <c r="DK906" i="5"/>
  <c r="DL906" i="5"/>
  <c r="DK907" i="5"/>
  <c r="DL907" i="5"/>
  <c r="DK908" i="5"/>
  <c r="DL908" i="5"/>
  <c r="DK909" i="5"/>
  <c r="DL909" i="5"/>
  <c r="DK910" i="5"/>
  <c r="DL910" i="5"/>
  <c r="DK911" i="5"/>
  <c r="DL911" i="5"/>
  <c r="DK912" i="5"/>
  <c r="DL912" i="5"/>
  <c r="DK913" i="5"/>
  <c r="DL913" i="5"/>
  <c r="DK914" i="5"/>
  <c r="DL914" i="5"/>
  <c r="DK915" i="5"/>
  <c r="DL915" i="5"/>
  <c r="DK916" i="5"/>
  <c r="DL916" i="5"/>
  <c r="DK917" i="5"/>
  <c r="DL917" i="5"/>
  <c r="DK918" i="5"/>
  <c r="DL918" i="5"/>
  <c r="DK919" i="5"/>
  <c r="DL919" i="5"/>
  <c r="DK920" i="5"/>
  <c r="DL920" i="5"/>
  <c r="DK921" i="5"/>
  <c r="DL921" i="5"/>
  <c r="DK922" i="5"/>
  <c r="DL922" i="5"/>
  <c r="DK923" i="5"/>
  <c r="DL923" i="5"/>
  <c r="DK924" i="5"/>
  <c r="DL924" i="5"/>
  <c r="DK925" i="5"/>
  <c r="DL925" i="5"/>
  <c r="DK926" i="5"/>
  <c r="DL926" i="5"/>
  <c r="DK927" i="5"/>
  <c r="DL927" i="5"/>
  <c r="DK928" i="5"/>
  <c r="DL928" i="5"/>
  <c r="DK929" i="5"/>
  <c r="DL929" i="5"/>
  <c r="DK930" i="5"/>
  <c r="DL930" i="5"/>
  <c r="DK931" i="5"/>
  <c r="DL931" i="5"/>
  <c r="DK932" i="5"/>
  <c r="DL932" i="5"/>
  <c r="DK933" i="5"/>
  <c r="DL933" i="5"/>
  <c r="DK934" i="5"/>
  <c r="DL934" i="5"/>
  <c r="DK935" i="5"/>
  <c r="DL935" i="5"/>
  <c r="DK936" i="5"/>
  <c r="DL936" i="5"/>
  <c r="DK937" i="5"/>
  <c r="DL937" i="5"/>
  <c r="DK938" i="5"/>
  <c r="DL938" i="5"/>
  <c r="DK939" i="5"/>
  <c r="DL939" i="5"/>
  <c r="DK940" i="5"/>
  <c r="DL940" i="5"/>
  <c r="DK941" i="5"/>
  <c r="DL941" i="5"/>
  <c r="DK942" i="5"/>
  <c r="DL942" i="5"/>
  <c r="DK943" i="5"/>
  <c r="DL943" i="5"/>
  <c r="DK944" i="5"/>
  <c r="DL944" i="5"/>
  <c r="DK945" i="5"/>
  <c r="DL945" i="5"/>
  <c r="DK946" i="5"/>
  <c r="DL946" i="5"/>
  <c r="DK947" i="5"/>
  <c r="DL947" i="5"/>
  <c r="DK948" i="5"/>
  <c r="DL948" i="5"/>
  <c r="DK949" i="5"/>
  <c r="DL949" i="5"/>
  <c r="DK950" i="5"/>
  <c r="DL950" i="5"/>
  <c r="DK951" i="5"/>
  <c r="DL951" i="5"/>
  <c r="DK952" i="5"/>
  <c r="DL952" i="5"/>
  <c r="DK953" i="5"/>
  <c r="DL953" i="5"/>
  <c r="DK954" i="5"/>
  <c r="DL954" i="5"/>
  <c r="DK955" i="5"/>
  <c r="DL955" i="5"/>
  <c r="DK956" i="5"/>
  <c r="DL956" i="5"/>
  <c r="DK957" i="5"/>
  <c r="DL957" i="5"/>
  <c r="DK958" i="5"/>
  <c r="DL958" i="5"/>
  <c r="DK959" i="5"/>
  <c r="DL959" i="5"/>
  <c r="DK960" i="5"/>
  <c r="DL960" i="5"/>
  <c r="DK961" i="5"/>
  <c r="DL961" i="5"/>
  <c r="DK962" i="5"/>
  <c r="DL962" i="5"/>
  <c r="DK963" i="5"/>
  <c r="DL963" i="5"/>
  <c r="DK964" i="5"/>
  <c r="DL964" i="5"/>
  <c r="DK965" i="5"/>
  <c r="DL965" i="5"/>
  <c r="DK966" i="5"/>
  <c r="DL966" i="5"/>
  <c r="DK967" i="5"/>
  <c r="DL967" i="5"/>
  <c r="DK968" i="5"/>
  <c r="DL968" i="5"/>
  <c r="DK969" i="5"/>
  <c r="DL969" i="5"/>
  <c r="DK970" i="5"/>
  <c r="DL970" i="5"/>
  <c r="DK971" i="5"/>
  <c r="DL971" i="5"/>
  <c r="DK972" i="5"/>
  <c r="DL972" i="5"/>
  <c r="DK973" i="5"/>
  <c r="DL973" i="5"/>
  <c r="DK974" i="5"/>
  <c r="DL974" i="5"/>
  <c r="DK975" i="5"/>
  <c r="DL975" i="5"/>
  <c r="DK976" i="5"/>
  <c r="DL976" i="5"/>
  <c r="DK977" i="5"/>
  <c r="DL977" i="5"/>
  <c r="DK978" i="5"/>
  <c r="DL978" i="5"/>
  <c r="DK979" i="5"/>
  <c r="DL979" i="5"/>
  <c r="DK980" i="5"/>
  <c r="DL980" i="5"/>
  <c r="DK981" i="5"/>
  <c r="DL981" i="5"/>
  <c r="DK982" i="5"/>
  <c r="DL982" i="5"/>
  <c r="DK983" i="5"/>
  <c r="DL983" i="5"/>
  <c r="DK984" i="5"/>
  <c r="DL984" i="5"/>
  <c r="DK985" i="5"/>
  <c r="DL985" i="5"/>
  <c r="DK986" i="5"/>
  <c r="DL986" i="5"/>
  <c r="DK987" i="5"/>
  <c r="DL987" i="5"/>
  <c r="DK988" i="5"/>
  <c r="DL988" i="5"/>
  <c r="DK989" i="5"/>
  <c r="DL989" i="5"/>
  <c r="DK990" i="5"/>
  <c r="DL990" i="5"/>
  <c r="DK991" i="5"/>
  <c r="DL991" i="5"/>
  <c r="DK992" i="5"/>
  <c r="DL992" i="5"/>
  <c r="DK993" i="5"/>
  <c r="DL993" i="5"/>
  <c r="DK994" i="5"/>
  <c r="DL994" i="5"/>
  <c r="DK995" i="5"/>
  <c r="DL995" i="5"/>
  <c r="DK996" i="5"/>
  <c r="DL996" i="5"/>
  <c r="DK997" i="5"/>
  <c r="DL997" i="5"/>
  <c r="DK998" i="5"/>
  <c r="DL998" i="5"/>
  <c r="DK999" i="5"/>
  <c r="DL999" i="5"/>
  <c r="DK1000" i="5"/>
  <c r="DL1000" i="5"/>
  <c r="DK1001" i="5"/>
  <c r="DL1001" i="5"/>
  <c r="DK1002" i="5"/>
  <c r="DL1002" i="5"/>
  <c r="DK1003" i="5"/>
  <c r="DL1003" i="5"/>
  <c r="DK1004" i="5"/>
  <c r="DL1004" i="5"/>
  <c r="DK1005" i="5"/>
  <c r="DL1005" i="5"/>
  <c r="DK1006" i="5"/>
  <c r="DL1006" i="5"/>
  <c r="DK1007" i="5"/>
  <c r="DL1007" i="5"/>
  <c r="DK1008" i="5"/>
  <c r="DL1008" i="5"/>
  <c r="DK1009" i="5"/>
  <c r="DL1009" i="5"/>
  <c r="DK1010" i="5"/>
  <c r="DL1010" i="5"/>
  <c r="DK1011" i="5"/>
  <c r="DL1011" i="5"/>
  <c r="DK1012" i="5"/>
  <c r="DL1012" i="5"/>
  <c r="DK1013" i="5"/>
  <c r="DL1013" i="5"/>
  <c r="DK1014" i="5"/>
  <c r="DL1014" i="5"/>
  <c r="DK1015" i="5"/>
  <c r="DL1015" i="5"/>
  <c r="DK1016" i="5"/>
  <c r="DL1016" i="5"/>
  <c r="DK1017" i="5"/>
  <c r="DL1017" i="5"/>
  <c r="DK1018" i="5"/>
  <c r="DL1018" i="5"/>
  <c r="DK1019" i="5"/>
  <c r="DL1019" i="5"/>
  <c r="DK1020" i="5"/>
  <c r="DL1020" i="5"/>
  <c r="DK1021" i="5"/>
  <c r="DL1021" i="5"/>
  <c r="DK1022" i="5"/>
  <c r="DL1022" i="5"/>
  <c r="DK1023" i="5"/>
  <c r="DL1023" i="5"/>
  <c r="DK1024" i="5"/>
  <c r="DL1024" i="5"/>
  <c r="DK1025" i="5"/>
  <c r="DL1025" i="5"/>
  <c r="DK1026" i="5"/>
  <c r="DL1026" i="5"/>
  <c r="DK1027" i="5"/>
  <c r="DL1027" i="5"/>
  <c r="DK1028" i="5"/>
  <c r="DL1028" i="5"/>
  <c r="DK1029" i="5"/>
  <c r="DL1029" i="5"/>
  <c r="DK1030" i="5"/>
  <c r="DL1030" i="5"/>
  <c r="DK1031" i="5"/>
  <c r="DL1031" i="5"/>
  <c r="DK1032" i="5"/>
  <c r="DL1032" i="5"/>
  <c r="DK1033" i="5"/>
  <c r="DL1033" i="5"/>
  <c r="DK1034" i="5"/>
  <c r="DL1034" i="5"/>
  <c r="DK1035" i="5"/>
  <c r="DL1035" i="5"/>
  <c r="DK1036" i="5"/>
  <c r="DL1036" i="5"/>
  <c r="DK1037" i="5"/>
  <c r="DL1037" i="5"/>
  <c r="DK1038" i="5"/>
  <c r="DL1038" i="5"/>
  <c r="DK1039" i="5"/>
  <c r="DL1039" i="5"/>
  <c r="DK1040" i="5"/>
  <c r="DL1040" i="5"/>
  <c r="DK1041" i="5"/>
  <c r="DL1041" i="5"/>
  <c r="DK1042" i="5"/>
  <c r="DL1042" i="5"/>
  <c r="DK1043" i="5"/>
  <c r="DL1043" i="5"/>
  <c r="DK1044" i="5"/>
  <c r="DL1044" i="5"/>
  <c r="DK1045" i="5"/>
  <c r="DL1045" i="5"/>
  <c r="DK1046" i="5"/>
  <c r="DL1046" i="5"/>
  <c r="DK1047" i="5"/>
  <c r="DL1047" i="5"/>
  <c r="DK1048" i="5"/>
  <c r="DL1048" i="5"/>
  <c r="DK1049" i="5"/>
  <c r="DL1049" i="5"/>
  <c r="DK1050" i="5"/>
  <c r="DL1050" i="5"/>
  <c r="DK1051" i="5"/>
  <c r="DL1051" i="5"/>
  <c r="DK1052" i="5"/>
  <c r="DL1052" i="5"/>
  <c r="DK1053" i="5"/>
  <c r="DL1053" i="5"/>
  <c r="DK1054" i="5"/>
  <c r="DL1054" i="5"/>
  <c r="DK1055" i="5"/>
  <c r="DL1055" i="5"/>
  <c r="DK1056" i="5"/>
  <c r="DL1056" i="5"/>
  <c r="DK1057" i="5"/>
  <c r="DL1057" i="5"/>
  <c r="DK1058" i="5"/>
  <c r="DL1058" i="5"/>
  <c r="DK1059" i="5"/>
  <c r="DL1059" i="5"/>
  <c r="DK1060" i="5"/>
  <c r="DL1060" i="5"/>
  <c r="DK1061" i="5"/>
  <c r="DL1061" i="5"/>
  <c r="DK1062" i="5"/>
  <c r="DL1062" i="5"/>
  <c r="DK1063" i="5"/>
  <c r="DL1063" i="5"/>
  <c r="DK1064" i="5"/>
  <c r="DL1064" i="5"/>
  <c r="DK1065" i="5"/>
  <c r="DL1065" i="5"/>
  <c r="DK1066" i="5"/>
  <c r="DL1066" i="5"/>
  <c r="DK1067" i="5"/>
  <c r="DL1067" i="5"/>
  <c r="DK1068" i="5"/>
  <c r="DL1068" i="5"/>
  <c r="DK1069" i="5"/>
  <c r="DL1069" i="5"/>
  <c r="DK1070" i="5"/>
  <c r="DL1070" i="5"/>
  <c r="DK1071" i="5"/>
  <c r="DL1071" i="5"/>
  <c r="DK1072" i="5"/>
  <c r="DL1072" i="5"/>
  <c r="DK1073" i="5"/>
  <c r="DL1073" i="5"/>
  <c r="DK1074" i="5"/>
  <c r="DL1074" i="5"/>
  <c r="DK1075" i="5"/>
  <c r="DL1075" i="5"/>
  <c r="DK1076" i="5"/>
  <c r="DL1076" i="5"/>
  <c r="DK1077" i="5"/>
  <c r="DL1077" i="5"/>
  <c r="DK1078" i="5"/>
  <c r="DL1078" i="5"/>
  <c r="DK1079" i="5"/>
  <c r="DL1079" i="5"/>
  <c r="DK1080" i="5"/>
  <c r="DL1080" i="5"/>
  <c r="DK1081" i="5"/>
  <c r="DL1081" i="5"/>
  <c r="DK1082" i="5"/>
  <c r="DL1082" i="5"/>
  <c r="DK1083" i="5"/>
  <c r="DL1083" i="5"/>
  <c r="DK1084" i="5"/>
  <c r="DL1084" i="5"/>
  <c r="DK1085" i="5"/>
  <c r="DL1085" i="5"/>
  <c r="DK1086" i="5"/>
  <c r="DL1086" i="5"/>
  <c r="DK1087" i="5"/>
  <c r="DL1087" i="5"/>
  <c r="DK1088" i="5"/>
  <c r="DL1088" i="5"/>
  <c r="DK1089" i="5"/>
  <c r="DL1089" i="5"/>
  <c r="DK1090" i="5"/>
  <c r="DL1090" i="5"/>
  <c r="DK1091" i="5"/>
  <c r="DL1091" i="5"/>
  <c r="DK1092" i="5"/>
  <c r="DL1092" i="5"/>
  <c r="DK1093" i="5"/>
  <c r="DL1093" i="5"/>
  <c r="DK1094" i="5"/>
  <c r="DL1094" i="5"/>
  <c r="DK1095" i="5"/>
  <c r="DL1095" i="5"/>
  <c r="DK1096" i="5"/>
  <c r="DL1096" i="5"/>
  <c r="DK1097" i="5"/>
  <c r="DL1097" i="5"/>
  <c r="DK1098" i="5"/>
  <c r="DL1098" i="5"/>
  <c r="DK1099" i="5"/>
  <c r="DL1099" i="5"/>
  <c r="DK1100" i="5"/>
  <c r="DL1100" i="5"/>
  <c r="DK1101" i="5"/>
  <c r="DL1101" i="5"/>
  <c r="DK1102" i="5"/>
  <c r="DL1102" i="5"/>
  <c r="DK1103" i="5"/>
  <c r="DL1103" i="5"/>
  <c r="DK1104" i="5"/>
  <c r="DL1104" i="5"/>
  <c r="DK1105" i="5"/>
  <c r="DL1105" i="5"/>
  <c r="DK1106" i="5"/>
  <c r="DL1106" i="5"/>
  <c r="DK1107" i="5"/>
  <c r="DL1107" i="5"/>
  <c r="DK1108" i="5"/>
  <c r="DL1108" i="5"/>
  <c r="DK1109" i="5"/>
  <c r="DL1109" i="5"/>
  <c r="DK1110" i="5"/>
  <c r="DL1110" i="5"/>
  <c r="DK1111" i="5"/>
  <c r="DL1111" i="5"/>
  <c r="DK1112" i="5"/>
  <c r="DL1112" i="5"/>
  <c r="DK1113" i="5"/>
  <c r="DL1113" i="5"/>
  <c r="DK1114" i="5"/>
  <c r="DL1114" i="5"/>
  <c r="DK1115" i="5"/>
  <c r="DL1115" i="5"/>
  <c r="DK1116" i="5"/>
  <c r="DL1116" i="5"/>
  <c r="DK1117" i="5"/>
  <c r="DL1117" i="5"/>
  <c r="DK1118" i="5"/>
  <c r="DL1118" i="5"/>
  <c r="DK1119" i="5"/>
  <c r="DL1119" i="5"/>
  <c r="DK1120" i="5"/>
  <c r="DL1120" i="5"/>
  <c r="DK1121" i="5"/>
  <c r="DL1121" i="5"/>
  <c r="DK1122" i="5"/>
  <c r="DL1122" i="5"/>
  <c r="DK1123" i="5"/>
  <c r="DL1123" i="5"/>
  <c r="DK1124" i="5"/>
  <c r="DL1124" i="5"/>
  <c r="DK1125" i="5"/>
  <c r="DL1125" i="5"/>
  <c r="DK1126" i="5"/>
  <c r="DL1126" i="5"/>
  <c r="DK1127" i="5"/>
  <c r="DL1127" i="5"/>
  <c r="DK1128" i="5"/>
  <c r="DL1128" i="5"/>
  <c r="DK1129" i="5"/>
  <c r="DL1129" i="5"/>
  <c r="DK1130" i="5"/>
  <c r="DL1130" i="5"/>
  <c r="DK1131" i="5"/>
  <c r="DL1131" i="5"/>
  <c r="DK1132" i="5"/>
  <c r="DL1132" i="5"/>
  <c r="DK1133" i="5"/>
  <c r="DL1133" i="5"/>
  <c r="DK1134" i="5"/>
  <c r="DL1134" i="5"/>
  <c r="DK1135" i="5"/>
  <c r="DL1135" i="5"/>
  <c r="DK1136" i="5"/>
  <c r="DL1136" i="5"/>
  <c r="DK1137" i="5"/>
  <c r="DL1137" i="5"/>
  <c r="DK1138" i="5"/>
  <c r="DL1138" i="5"/>
  <c r="DK1139" i="5"/>
  <c r="DL1139" i="5"/>
  <c r="DK1140" i="5"/>
  <c r="DL1140" i="5"/>
  <c r="DK1141" i="5"/>
  <c r="DL1141" i="5"/>
  <c r="DK1142" i="5"/>
  <c r="DL1142" i="5"/>
  <c r="DK1143" i="5"/>
  <c r="DL1143" i="5"/>
  <c r="DK1144" i="5"/>
  <c r="DL1144" i="5"/>
  <c r="DK1145" i="5"/>
  <c r="DL1145" i="5"/>
  <c r="DK1146" i="5"/>
  <c r="DL1146" i="5"/>
  <c r="DK1147" i="5"/>
  <c r="DL1147" i="5"/>
  <c r="DK1148" i="5"/>
  <c r="DL1148" i="5"/>
  <c r="DK1149" i="5"/>
  <c r="DL1149" i="5"/>
  <c r="DK1150" i="5"/>
  <c r="DL1150" i="5"/>
  <c r="DK1151" i="5"/>
  <c r="DL1151" i="5"/>
  <c r="DK1152" i="5"/>
  <c r="DL1152" i="5"/>
  <c r="DK1153" i="5"/>
  <c r="DL1153" i="5"/>
  <c r="DK1154" i="5"/>
  <c r="DL1154" i="5"/>
  <c r="DK1155" i="5"/>
  <c r="DL1155" i="5"/>
  <c r="DK1156" i="5"/>
  <c r="DL1156" i="5"/>
  <c r="DK1157" i="5"/>
  <c r="DL1157" i="5"/>
  <c r="DK1158" i="5"/>
  <c r="DL1158" i="5"/>
  <c r="DK1159" i="5"/>
  <c r="DL1159" i="5"/>
  <c r="DK1160" i="5"/>
  <c r="DL1160" i="5"/>
  <c r="DK1161" i="5"/>
  <c r="DL1161" i="5"/>
  <c r="DK1162" i="5"/>
  <c r="DL1162" i="5"/>
  <c r="DK1163" i="5"/>
  <c r="DL1163" i="5"/>
  <c r="DK1164" i="5"/>
  <c r="DL1164" i="5"/>
  <c r="DK1165" i="5"/>
  <c r="DL1165" i="5"/>
  <c r="DK1166" i="5"/>
  <c r="DL1166" i="5"/>
  <c r="DK1167" i="5"/>
  <c r="DL1167" i="5"/>
  <c r="DK1168" i="5"/>
  <c r="DL1168" i="5"/>
  <c r="DK1169" i="5"/>
  <c r="DL1169" i="5"/>
  <c r="DK1170" i="5"/>
  <c r="DL1170" i="5"/>
  <c r="DK1171" i="5"/>
  <c r="DL1171" i="5"/>
  <c r="DK1172" i="5"/>
  <c r="DL1172" i="5"/>
  <c r="DK1173" i="5"/>
  <c r="DL1173" i="5"/>
  <c r="DK1174" i="5"/>
  <c r="DL1174" i="5"/>
  <c r="DK1175" i="5"/>
  <c r="DL1175" i="5"/>
  <c r="DK1176" i="5"/>
  <c r="DL1176" i="5"/>
  <c r="DK1177" i="5"/>
  <c r="DL1177" i="5"/>
  <c r="DK1178" i="5"/>
  <c r="DL1178" i="5"/>
  <c r="DK1179" i="5"/>
  <c r="DL1179" i="5"/>
  <c r="DK1180" i="5"/>
  <c r="DL1180" i="5"/>
  <c r="DK1181" i="5"/>
  <c r="DL1181" i="5"/>
  <c r="DK1182" i="5"/>
  <c r="DL1182" i="5"/>
  <c r="DK1183" i="5"/>
  <c r="DL1183" i="5"/>
  <c r="DK1184" i="5"/>
  <c r="DL1184" i="5"/>
  <c r="DK1185" i="5"/>
  <c r="DL1185" i="5"/>
  <c r="DK1186" i="5"/>
  <c r="DL1186" i="5"/>
  <c r="DK1187" i="5"/>
  <c r="DL1187" i="5"/>
  <c r="DK1188" i="5"/>
  <c r="DL1188" i="5"/>
  <c r="DK1189" i="5"/>
  <c r="DL1189" i="5"/>
  <c r="DK1190" i="5"/>
  <c r="DL1190" i="5"/>
  <c r="DK1191" i="5"/>
  <c r="DL1191" i="5"/>
  <c r="DK1192" i="5"/>
  <c r="DL1192" i="5"/>
  <c r="DK1193" i="5"/>
  <c r="DL1193" i="5"/>
  <c r="DK1194" i="5"/>
  <c r="DL1194" i="5"/>
  <c r="DK1195" i="5"/>
  <c r="DL1195" i="5"/>
  <c r="DK1196" i="5"/>
  <c r="DL1196" i="5"/>
  <c r="DK1197" i="5"/>
  <c r="DL1197" i="5"/>
  <c r="DK1198" i="5"/>
  <c r="DL1198" i="5"/>
  <c r="DK1199" i="5"/>
  <c r="DL1199" i="5"/>
  <c r="DK1200" i="5"/>
  <c r="DL1200" i="5"/>
  <c r="DK1201" i="5"/>
  <c r="DL1201" i="5"/>
  <c r="DK1202" i="5"/>
  <c r="DL1202" i="5"/>
  <c r="DK1203" i="5"/>
  <c r="DL1203" i="5"/>
  <c r="DK1204" i="5"/>
  <c r="DL1204" i="5"/>
  <c r="DK1205" i="5"/>
  <c r="DL1205" i="5"/>
  <c r="DK1206" i="5"/>
  <c r="DL1206" i="5"/>
  <c r="DK1207" i="5"/>
  <c r="DL1207" i="5"/>
  <c r="DK1208" i="5"/>
  <c r="DL1208" i="5"/>
  <c r="DK1209" i="5"/>
  <c r="DL1209" i="5"/>
  <c r="DK1210" i="5"/>
  <c r="DL1210" i="5"/>
  <c r="DK1211" i="5"/>
  <c r="DL1211" i="5"/>
  <c r="DK1212" i="5"/>
  <c r="DL1212" i="5"/>
  <c r="DK1213" i="5"/>
  <c r="DL1213" i="5"/>
  <c r="DK1214" i="5"/>
  <c r="DL1214" i="5"/>
  <c r="DK1215" i="5"/>
  <c r="DL1215" i="5"/>
  <c r="DK1216" i="5"/>
  <c r="DL1216" i="5"/>
  <c r="DK1217" i="5"/>
  <c r="DL1217" i="5"/>
  <c r="DK1218" i="5"/>
  <c r="DL1218" i="5"/>
  <c r="DK1219" i="5"/>
  <c r="DL1219" i="5"/>
  <c r="DK1220" i="5"/>
  <c r="DL1220" i="5"/>
  <c r="DK1221" i="5"/>
  <c r="DL1221" i="5"/>
  <c r="DK1222" i="5"/>
  <c r="DL1222" i="5"/>
  <c r="DK1223" i="5"/>
  <c r="DL1223" i="5"/>
  <c r="DK1224" i="5"/>
  <c r="DL1224" i="5"/>
  <c r="DK1225" i="5"/>
  <c r="DL1225" i="5"/>
  <c r="DK1226" i="5"/>
  <c r="DL1226" i="5"/>
  <c r="DK1227" i="5"/>
  <c r="DL1227" i="5"/>
  <c r="DK1228" i="5"/>
  <c r="DL1228" i="5"/>
  <c r="DK1229" i="5"/>
  <c r="DL1229" i="5"/>
  <c r="DK1230" i="5"/>
  <c r="DL1230" i="5"/>
  <c r="DK1231" i="5"/>
  <c r="DL1231" i="5"/>
  <c r="DK1232" i="5"/>
  <c r="DL1232" i="5"/>
  <c r="DK1233" i="5"/>
  <c r="DL1233" i="5"/>
  <c r="DK1234" i="5"/>
  <c r="DL1234" i="5"/>
  <c r="DK1235" i="5"/>
  <c r="DL1235" i="5"/>
  <c r="DK1236" i="5"/>
  <c r="DL1236" i="5"/>
  <c r="DK1237" i="5"/>
  <c r="DL1237" i="5"/>
  <c r="DK1238" i="5"/>
  <c r="DL1238" i="5"/>
  <c r="DK1239" i="5"/>
  <c r="DL1239" i="5"/>
  <c r="DK1240" i="5"/>
  <c r="DL1240" i="5"/>
  <c r="DK1241" i="5"/>
  <c r="DL1241" i="5"/>
  <c r="DK1242" i="5"/>
  <c r="DL1242" i="5"/>
  <c r="DK1243" i="5"/>
  <c r="DL1243" i="5"/>
  <c r="DK1244" i="5"/>
  <c r="DL1244" i="5"/>
  <c r="DK1245" i="5"/>
  <c r="DL1245" i="5"/>
  <c r="DK1246" i="5"/>
  <c r="DL1246" i="5"/>
  <c r="DK1247" i="5"/>
  <c r="DL1247" i="5"/>
  <c r="DK1248" i="5"/>
  <c r="DL1248" i="5"/>
  <c r="DK1249" i="5"/>
  <c r="DL1249" i="5"/>
  <c r="DK1250" i="5"/>
  <c r="DL1250" i="5"/>
  <c r="DK1251" i="5"/>
  <c r="DL1251" i="5"/>
  <c r="DK1252" i="5"/>
  <c r="DL1252" i="5"/>
  <c r="DK1253" i="5"/>
  <c r="DL1253" i="5"/>
  <c r="DK1254" i="5"/>
  <c r="DL1254" i="5"/>
  <c r="DK1255" i="5"/>
  <c r="DL1255" i="5"/>
  <c r="DK1256" i="5"/>
  <c r="DL1256" i="5"/>
  <c r="DK1257" i="5"/>
  <c r="DL1257" i="5"/>
  <c r="DK1258" i="5"/>
  <c r="DL1258" i="5"/>
  <c r="DK1259" i="5"/>
  <c r="DL1259" i="5"/>
  <c r="DK1260" i="5"/>
  <c r="DL1260" i="5"/>
  <c r="DK1261" i="5"/>
  <c r="DL1261" i="5"/>
  <c r="DK1262" i="5"/>
  <c r="DL1262" i="5"/>
  <c r="DK1263" i="5"/>
  <c r="DL1263" i="5"/>
  <c r="DK1264" i="5"/>
  <c r="DL1264" i="5"/>
  <c r="DK1265" i="5"/>
  <c r="DL1265" i="5"/>
  <c r="DK1266" i="5"/>
  <c r="DL1266" i="5"/>
  <c r="DK1267" i="5"/>
  <c r="DL1267" i="5"/>
  <c r="DK1268" i="5"/>
  <c r="DL1268" i="5"/>
  <c r="DK1269" i="5"/>
  <c r="DL1269" i="5"/>
  <c r="DK1270" i="5"/>
  <c r="DL1270" i="5"/>
  <c r="DK1271" i="5"/>
  <c r="DL1271" i="5"/>
  <c r="DK1272" i="5"/>
  <c r="DL1272" i="5"/>
  <c r="DK1273" i="5"/>
  <c r="DL1273" i="5"/>
  <c r="DK1274" i="5"/>
  <c r="DL1274" i="5"/>
  <c r="DK1275" i="5"/>
  <c r="DL1275" i="5"/>
  <c r="DK1276" i="5"/>
  <c r="DL1276" i="5"/>
  <c r="DK1277" i="5"/>
  <c r="DL1277" i="5"/>
  <c r="DK1278" i="5"/>
  <c r="DL1278" i="5"/>
  <c r="DK1279" i="5"/>
  <c r="DL1279" i="5"/>
  <c r="DK1280" i="5"/>
  <c r="DL1280" i="5"/>
  <c r="DK1281" i="5"/>
  <c r="DL1281" i="5"/>
  <c r="DK1282" i="5"/>
  <c r="DL1282" i="5"/>
  <c r="DK1283" i="5"/>
  <c r="DL1283" i="5"/>
  <c r="DK1284" i="5"/>
  <c r="DL1284" i="5"/>
  <c r="DK1285" i="5"/>
  <c r="DL1285" i="5"/>
  <c r="DK1286" i="5"/>
  <c r="DL1286" i="5"/>
  <c r="DK1287" i="5"/>
  <c r="DL1287" i="5"/>
  <c r="DK1288" i="5"/>
  <c r="DL1288" i="5"/>
  <c r="DK1289" i="5"/>
  <c r="DL1289" i="5"/>
  <c r="DK1290" i="5"/>
  <c r="DL1290" i="5"/>
  <c r="DK1291" i="5"/>
  <c r="DL1291" i="5"/>
  <c r="DK1292" i="5"/>
  <c r="DL1292" i="5"/>
  <c r="DK1293" i="5"/>
  <c r="DL1293" i="5"/>
  <c r="DK1294" i="5"/>
  <c r="DL1294" i="5"/>
  <c r="DK1295" i="5"/>
  <c r="DL1295" i="5"/>
  <c r="DK1296" i="5"/>
  <c r="DL1296" i="5"/>
  <c r="DK1297" i="5"/>
  <c r="DL1297" i="5"/>
  <c r="DK1298" i="5"/>
  <c r="DL1298" i="5"/>
  <c r="DK1299" i="5"/>
  <c r="DL1299" i="5"/>
  <c r="DK1300" i="5"/>
  <c r="DL1300" i="5"/>
  <c r="DK1301" i="5"/>
  <c r="DL1301" i="5"/>
  <c r="DK1302" i="5"/>
  <c r="DL1302" i="5"/>
  <c r="DK1303" i="5"/>
  <c r="DL1303" i="5"/>
  <c r="DK1304" i="5"/>
  <c r="DL1304" i="5"/>
  <c r="DK1305" i="5"/>
  <c r="DL1305" i="5"/>
  <c r="DK1306" i="5"/>
  <c r="DL1306" i="5"/>
  <c r="DK1307" i="5"/>
  <c r="DL1307" i="5"/>
  <c r="DK1308" i="5"/>
  <c r="DL1308" i="5"/>
  <c r="DK1309" i="5"/>
  <c r="DL1309" i="5"/>
  <c r="DK1310" i="5"/>
  <c r="DL1310" i="5"/>
  <c r="DK1311" i="5"/>
  <c r="DL1311" i="5"/>
  <c r="DK1312" i="5"/>
  <c r="DL1312" i="5"/>
  <c r="DK1313" i="5"/>
  <c r="DL1313" i="5"/>
  <c r="DK1314" i="5"/>
  <c r="DL1314" i="5"/>
  <c r="DK1315" i="5"/>
  <c r="DL1315" i="5"/>
  <c r="DK1316" i="5"/>
  <c r="DL1316" i="5"/>
  <c r="DK1317" i="5"/>
  <c r="DL1317" i="5"/>
  <c r="DK1318" i="5"/>
  <c r="DL1318" i="5"/>
  <c r="DK1319" i="5"/>
  <c r="DL1319" i="5"/>
  <c r="DK1320" i="5"/>
  <c r="DL1320" i="5"/>
  <c r="DK1321" i="5"/>
  <c r="DL1321" i="5"/>
  <c r="DK1322" i="5"/>
  <c r="DL1322" i="5"/>
  <c r="DK1323" i="5"/>
  <c r="DL1323" i="5"/>
  <c r="DK1324" i="5"/>
  <c r="DL1324" i="5"/>
  <c r="DK1325" i="5"/>
  <c r="DL1325" i="5"/>
  <c r="DK1326" i="5"/>
  <c r="DL1326" i="5"/>
  <c r="DK1327" i="5"/>
  <c r="DL1327" i="5"/>
  <c r="DK1328" i="5"/>
  <c r="DL1328" i="5"/>
  <c r="DK1329" i="5"/>
  <c r="DL1329" i="5"/>
  <c r="DK1330" i="5"/>
  <c r="DL1330" i="5"/>
  <c r="DK1331" i="5"/>
  <c r="DL1331" i="5"/>
  <c r="DK1332" i="5"/>
  <c r="DL1332" i="5"/>
  <c r="DK1333" i="5"/>
  <c r="DL1333" i="5"/>
  <c r="DK1334" i="5"/>
  <c r="DL1334" i="5"/>
  <c r="DK1335" i="5"/>
  <c r="DL1335" i="5"/>
  <c r="DK1336" i="5"/>
  <c r="DL1336" i="5"/>
  <c r="DK1337" i="5"/>
  <c r="DL1337" i="5"/>
  <c r="DK1338" i="5"/>
  <c r="DL1338" i="5"/>
  <c r="DK1339" i="5"/>
  <c r="DL1339" i="5"/>
  <c r="DK1340" i="5"/>
  <c r="DL1340" i="5"/>
  <c r="DK1341" i="5"/>
  <c r="DL1341" i="5"/>
  <c r="DK1342" i="5"/>
  <c r="DL1342" i="5"/>
  <c r="DK1343" i="5"/>
  <c r="DL1343" i="5"/>
  <c r="DK1344" i="5"/>
  <c r="DL1344" i="5"/>
  <c r="DK1345" i="5"/>
  <c r="DL1345" i="5"/>
  <c r="DK1346" i="5"/>
  <c r="DL1346" i="5"/>
  <c r="DK1347" i="5"/>
  <c r="DL1347" i="5"/>
  <c r="DK1348" i="5"/>
  <c r="DL1348" i="5"/>
  <c r="DK1349" i="5"/>
  <c r="DL1349" i="5"/>
  <c r="CB20" i="2"/>
  <c r="CC20" i="2"/>
  <c r="CB21" i="2"/>
  <c r="CC21" i="2"/>
  <c r="CB22" i="2"/>
  <c r="CC22" i="2"/>
  <c r="CB23" i="2"/>
  <c r="CC23" i="2"/>
  <c r="CB24" i="2"/>
  <c r="CC24" i="2"/>
  <c r="CB25" i="2"/>
  <c r="CC25" i="2"/>
  <c r="CB26" i="2"/>
  <c r="CC26" i="2"/>
  <c r="CB27" i="2"/>
  <c r="CC27" i="2"/>
  <c r="CB28" i="2"/>
  <c r="CC28" i="2"/>
  <c r="CB29" i="2"/>
  <c r="CC29" i="2"/>
  <c r="CB30" i="2"/>
  <c r="CC30" i="2"/>
  <c r="CB31" i="2"/>
  <c r="CC31" i="2"/>
  <c r="CB32" i="2"/>
  <c r="CC32" i="2"/>
  <c r="CB33" i="2"/>
  <c r="CC33" i="2"/>
  <c r="CB34" i="2"/>
  <c r="CC34" i="2"/>
  <c r="CB35" i="2"/>
  <c r="CC35" i="2"/>
  <c r="CB36" i="2"/>
  <c r="CC36" i="2"/>
  <c r="CB37" i="2"/>
  <c r="CC37" i="2"/>
  <c r="CB38" i="2"/>
  <c r="CC38" i="2"/>
  <c r="CB39" i="2"/>
  <c r="CC39" i="2"/>
  <c r="CB40" i="2"/>
  <c r="CC40" i="2"/>
  <c r="CB41" i="2"/>
  <c r="CC41" i="2"/>
  <c r="CB42" i="2"/>
  <c r="CC42" i="2"/>
  <c r="CB43" i="2"/>
  <c r="CC43" i="2"/>
  <c r="CB44" i="2"/>
  <c r="CC44" i="2"/>
  <c r="CB45" i="2"/>
  <c r="CC45" i="2"/>
  <c r="CB46" i="2"/>
  <c r="CC46" i="2"/>
  <c r="CB47" i="2"/>
  <c r="CC47" i="2"/>
  <c r="CB48" i="2"/>
  <c r="CC48" i="2"/>
  <c r="CB49" i="2"/>
  <c r="CC49" i="2"/>
  <c r="CB50" i="2"/>
  <c r="CC50" i="2"/>
  <c r="CB51" i="2"/>
  <c r="CC51" i="2"/>
  <c r="CB52" i="2"/>
  <c r="CC52" i="2"/>
  <c r="CB53" i="2"/>
  <c r="CC53" i="2"/>
  <c r="CB54" i="2"/>
  <c r="CC54" i="2"/>
  <c r="CB55" i="2"/>
  <c r="CC55" i="2"/>
  <c r="CB56" i="2"/>
  <c r="CC56" i="2"/>
  <c r="CB57" i="2"/>
  <c r="CC57" i="2"/>
  <c r="CB58" i="2"/>
  <c r="CC58" i="2"/>
  <c r="CB59" i="2"/>
  <c r="CC59" i="2"/>
  <c r="CB60" i="2"/>
  <c r="CC60" i="2"/>
  <c r="CB61" i="2"/>
  <c r="CC61" i="2"/>
  <c r="CB62" i="2"/>
  <c r="CC62" i="2"/>
  <c r="CB63" i="2"/>
  <c r="CC63" i="2"/>
  <c r="CB64" i="2"/>
  <c r="CC64" i="2"/>
  <c r="CB65" i="2"/>
  <c r="CC65" i="2"/>
  <c r="CB66" i="2"/>
  <c r="CC66" i="2"/>
  <c r="CB67" i="2"/>
  <c r="CC67" i="2"/>
  <c r="CB68" i="2"/>
  <c r="CC68" i="2"/>
  <c r="CB69" i="2"/>
  <c r="CC69" i="2"/>
  <c r="CB70" i="2"/>
  <c r="CC70" i="2"/>
  <c r="CB71" i="2"/>
  <c r="CC71" i="2"/>
  <c r="CB72" i="2"/>
  <c r="CC72" i="2"/>
  <c r="CB73" i="2"/>
  <c r="CC73" i="2"/>
  <c r="CB74" i="2"/>
  <c r="CC74" i="2"/>
  <c r="CB75" i="2"/>
  <c r="CC75" i="2"/>
  <c r="CB76" i="2"/>
  <c r="CC76" i="2"/>
  <c r="CB77" i="2"/>
  <c r="CC77" i="2"/>
  <c r="CB78" i="2"/>
  <c r="CC78" i="2"/>
  <c r="CB79" i="2"/>
  <c r="CC79" i="2"/>
  <c r="CB80" i="2"/>
  <c r="CC80" i="2"/>
  <c r="CB81" i="2"/>
  <c r="CC81" i="2"/>
  <c r="CB82" i="2"/>
  <c r="CC82" i="2"/>
  <c r="CB83" i="2"/>
  <c r="CC83" i="2"/>
  <c r="CB84" i="2"/>
  <c r="CC84" i="2"/>
  <c r="CB85" i="2"/>
  <c r="CC85" i="2"/>
  <c r="CB86" i="2"/>
  <c r="CC86" i="2"/>
  <c r="CB87" i="2"/>
  <c r="CC87" i="2"/>
  <c r="CB88" i="2"/>
  <c r="CC88" i="2"/>
  <c r="CB89" i="2"/>
  <c r="CC89" i="2"/>
  <c r="CB90" i="2"/>
  <c r="CC90" i="2"/>
  <c r="CB91" i="2"/>
  <c r="CC91" i="2"/>
  <c r="CB92" i="2"/>
  <c r="CC92" i="2"/>
  <c r="CB93" i="2"/>
  <c r="CC93" i="2"/>
  <c r="CB94" i="2"/>
  <c r="CC94" i="2"/>
  <c r="CB95" i="2"/>
  <c r="CC95" i="2"/>
  <c r="CB96" i="2"/>
  <c r="CC96" i="2"/>
  <c r="CB97" i="2"/>
  <c r="CC97" i="2"/>
  <c r="CB98" i="2"/>
  <c r="CC98" i="2"/>
  <c r="CB99" i="2"/>
  <c r="CC99" i="2"/>
  <c r="CB100" i="2"/>
  <c r="CC100" i="2"/>
  <c r="CB101" i="2"/>
  <c r="CC101" i="2"/>
  <c r="CB102" i="2"/>
  <c r="CC102" i="2"/>
  <c r="CB103" i="2"/>
  <c r="CC103" i="2"/>
  <c r="CB104" i="2"/>
  <c r="CC104" i="2"/>
  <c r="CB105" i="2"/>
  <c r="CC105" i="2"/>
  <c r="CB106" i="2"/>
  <c r="CC106" i="2"/>
  <c r="CB107" i="2"/>
  <c r="CC107" i="2"/>
  <c r="CB108" i="2"/>
  <c r="CC108" i="2"/>
  <c r="CB109" i="2"/>
  <c r="CC109" i="2"/>
  <c r="CB110" i="2"/>
  <c r="CC110" i="2"/>
  <c r="CB111" i="2"/>
  <c r="CC111" i="2"/>
  <c r="CB112" i="2"/>
  <c r="CC112" i="2"/>
  <c r="CB113" i="2"/>
  <c r="CC113" i="2"/>
  <c r="CB114" i="2"/>
  <c r="CC114" i="2"/>
  <c r="CB115" i="2"/>
  <c r="CC115" i="2"/>
  <c r="CB116" i="2"/>
  <c r="CC116" i="2"/>
  <c r="CB117" i="2"/>
  <c r="CC117" i="2"/>
  <c r="CB118" i="2"/>
  <c r="CC118" i="2"/>
  <c r="CB119" i="2"/>
  <c r="CC119" i="2"/>
  <c r="CB120" i="2"/>
  <c r="CC120" i="2"/>
  <c r="CB121" i="2"/>
  <c r="CC121" i="2"/>
  <c r="CB122" i="2"/>
  <c r="CC122" i="2"/>
  <c r="CB123" i="2"/>
  <c r="CC123" i="2"/>
  <c r="CB124" i="2"/>
  <c r="CC124" i="2"/>
  <c r="CB125" i="2"/>
  <c r="CC125" i="2"/>
  <c r="CB126" i="2"/>
  <c r="CC126" i="2"/>
  <c r="CB127" i="2"/>
  <c r="CC127" i="2"/>
  <c r="CB128" i="2"/>
  <c r="CC128" i="2"/>
  <c r="CB129" i="2"/>
  <c r="CC129" i="2"/>
  <c r="CB130" i="2"/>
  <c r="CC130" i="2"/>
  <c r="CB131" i="2"/>
  <c r="CC131" i="2"/>
  <c r="CB132" i="2"/>
  <c r="CC132" i="2"/>
  <c r="CB133" i="2"/>
  <c r="CC133" i="2"/>
  <c r="CB134" i="2"/>
  <c r="CC134" i="2"/>
  <c r="CB135" i="2"/>
  <c r="CC135" i="2"/>
  <c r="CB136" i="2"/>
  <c r="CC136" i="2"/>
  <c r="CB137" i="2"/>
  <c r="CC137" i="2"/>
  <c r="CB138" i="2"/>
  <c r="CC138" i="2"/>
  <c r="CB139" i="2"/>
  <c r="CC139" i="2"/>
  <c r="CB140" i="2"/>
  <c r="CC140" i="2"/>
  <c r="CB141" i="2"/>
  <c r="CC141" i="2"/>
  <c r="CB142" i="2"/>
  <c r="CC142" i="2"/>
  <c r="CB143" i="2"/>
  <c r="CC143" i="2"/>
  <c r="CB144" i="2"/>
  <c r="CC144" i="2"/>
  <c r="CB145" i="2"/>
  <c r="CC145" i="2"/>
  <c r="CB146" i="2"/>
  <c r="CC146" i="2"/>
  <c r="CB147" i="2"/>
  <c r="CC147" i="2"/>
  <c r="CB148" i="2"/>
  <c r="CC148" i="2"/>
  <c r="CB149" i="2"/>
  <c r="CC149" i="2"/>
  <c r="CB150" i="2"/>
  <c r="CC150" i="2"/>
  <c r="CB151" i="2"/>
  <c r="CC151" i="2"/>
  <c r="CB152" i="2"/>
  <c r="CC152" i="2"/>
  <c r="CB153" i="2"/>
  <c r="CC153" i="2"/>
  <c r="CB154" i="2"/>
  <c r="CC154" i="2"/>
  <c r="CB155" i="2"/>
  <c r="CC155" i="2"/>
  <c r="CB156" i="2"/>
  <c r="CC156" i="2"/>
  <c r="CB157" i="2"/>
  <c r="CC157" i="2"/>
  <c r="CB158" i="2"/>
  <c r="CC158" i="2"/>
  <c r="CB159" i="2"/>
  <c r="CC159" i="2"/>
  <c r="CB160" i="2"/>
  <c r="CC160" i="2"/>
  <c r="CB161" i="2"/>
  <c r="CC161" i="2"/>
  <c r="CB162" i="2"/>
  <c r="CC162" i="2"/>
  <c r="CB163" i="2"/>
  <c r="CC163" i="2"/>
  <c r="CB164" i="2"/>
  <c r="CC164" i="2"/>
  <c r="CB165" i="2"/>
  <c r="CC165" i="2"/>
  <c r="CB166" i="2"/>
  <c r="CC166" i="2"/>
  <c r="CB167" i="2"/>
  <c r="CC167" i="2"/>
  <c r="CB168" i="2"/>
  <c r="CC168" i="2"/>
  <c r="CB169" i="2"/>
  <c r="CC169" i="2"/>
  <c r="CB170" i="2"/>
  <c r="CC170" i="2"/>
  <c r="CB171" i="2"/>
  <c r="CC171" i="2"/>
  <c r="CB172" i="2"/>
  <c r="CC172" i="2"/>
  <c r="CB173" i="2"/>
  <c r="CC173" i="2"/>
  <c r="CB174" i="2"/>
  <c r="CC174" i="2"/>
  <c r="CB175" i="2"/>
  <c r="CC175" i="2"/>
  <c r="CB176" i="2"/>
  <c r="CC176" i="2"/>
  <c r="CB177" i="2"/>
  <c r="CC177" i="2"/>
  <c r="CB178" i="2"/>
  <c r="CC178" i="2"/>
  <c r="CB179" i="2"/>
  <c r="CC179" i="2"/>
  <c r="CB180" i="2"/>
  <c r="CC180" i="2"/>
  <c r="CB181" i="2"/>
  <c r="CC181" i="2"/>
  <c r="CB182" i="2"/>
  <c r="CC182" i="2"/>
  <c r="CB183" i="2"/>
  <c r="CC183" i="2"/>
  <c r="CB184" i="2"/>
  <c r="CC184" i="2"/>
  <c r="CB185" i="2"/>
  <c r="CC185" i="2"/>
  <c r="CB186" i="2"/>
  <c r="CC186" i="2"/>
  <c r="CB187" i="2"/>
  <c r="CC187" i="2"/>
  <c r="CB188" i="2"/>
  <c r="CC188" i="2"/>
  <c r="CB189" i="2"/>
  <c r="CC189" i="2"/>
  <c r="CB190" i="2"/>
  <c r="CC190" i="2"/>
  <c r="CB191" i="2"/>
  <c r="CC191" i="2"/>
  <c r="CB192" i="2"/>
  <c r="CC192" i="2"/>
  <c r="CB193" i="2"/>
  <c r="CC193" i="2"/>
  <c r="CB194" i="2"/>
  <c r="CC194" i="2"/>
  <c r="CB195" i="2"/>
  <c r="CC195" i="2"/>
  <c r="CB196" i="2"/>
  <c r="CC196" i="2"/>
  <c r="CB197" i="2"/>
  <c r="CC197" i="2"/>
  <c r="CB198" i="2"/>
  <c r="CC198" i="2"/>
  <c r="CB199" i="2"/>
  <c r="CC199" i="2"/>
  <c r="CB200" i="2"/>
  <c r="CC200" i="2"/>
  <c r="CB201" i="2"/>
  <c r="CC201" i="2"/>
  <c r="CB202" i="2"/>
  <c r="CC202" i="2"/>
  <c r="CB203" i="2"/>
  <c r="CC203" i="2"/>
  <c r="CB204" i="2"/>
  <c r="CC204" i="2"/>
  <c r="CB205" i="2"/>
  <c r="CC205" i="2"/>
  <c r="CB206" i="2"/>
  <c r="CC206" i="2"/>
  <c r="CB207" i="2"/>
  <c r="CC207" i="2"/>
  <c r="CB208" i="2"/>
  <c r="CC208" i="2"/>
  <c r="CB209" i="2"/>
  <c r="CC209" i="2"/>
  <c r="CB210" i="2"/>
  <c r="CC210" i="2"/>
  <c r="CB211" i="2"/>
  <c r="CC211" i="2"/>
  <c r="CB212" i="2"/>
  <c r="CC212" i="2"/>
  <c r="CB213" i="2"/>
  <c r="CC213" i="2"/>
  <c r="CB214" i="2"/>
  <c r="CC214" i="2"/>
  <c r="CB215" i="2"/>
  <c r="CC215" i="2"/>
  <c r="CB216" i="2"/>
  <c r="CC216" i="2"/>
  <c r="CB217" i="2"/>
  <c r="CC217" i="2"/>
  <c r="CB218" i="2"/>
  <c r="CC218" i="2"/>
  <c r="CB219" i="2"/>
  <c r="CC219" i="2"/>
  <c r="CB220" i="2"/>
  <c r="CC220" i="2"/>
  <c r="CB221" i="2"/>
  <c r="CC221" i="2"/>
  <c r="CB222" i="2"/>
  <c r="CC222" i="2"/>
  <c r="CB223" i="2"/>
  <c r="CC223" i="2"/>
  <c r="CB224" i="2"/>
  <c r="CC224" i="2"/>
  <c r="CB225" i="2"/>
  <c r="CC225" i="2"/>
  <c r="CB226" i="2"/>
  <c r="CC226" i="2"/>
  <c r="CB227" i="2"/>
  <c r="CC227" i="2"/>
  <c r="CB228" i="2"/>
  <c r="CC228" i="2"/>
  <c r="CB229" i="2"/>
  <c r="CC229" i="2"/>
  <c r="CB230" i="2"/>
  <c r="CC230" i="2"/>
  <c r="CB231" i="2"/>
  <c r="CC231" i="2"/>
  <c r="CB232" i="2"/>
  <c r="CC232" i="2"/>
  <c r="CB233" i="2"/>
  <c r="CC233" i="2"/>
  <c r="CB234" i="2"/>
  <c r="CC234" i="2"/>
  <c r="CB235" i="2"/>
  <c r="CC235" i="2"/>
  <c r="CB236" i="2"/>
  <c r="CC236" i="2"/>
  <c r="CB237" i="2"/>
  <c r="CC237" i="2"/>
  <c r="CB238" i="2"/>
  <c r="CC238" i="2"/>
  <c r="CB239" i="2"/>
  <c r="CC239" i="2"/>
  <c r="CB240" i="2"/>
  <c r="CC240" i="2"/>
  <c r="CB241" i="2"/>
  <c r="CC241" i="2"/>
  <c r="CB242" i="2"/>
  <c r="CC242" i="2"/>
  <c r="CB243" i="2"/>
  <c r="CC243" i="2"/>
  <c r="CB244" i="2"/>
  <c r="CC244" i="2"/>
  <c r="CB245" i="2"/>
  <c r="CC245" i="2"/>
  <c r="CB246" i="2"/>
  <c r="CC246" i="2"/>
  <c r="CB247" i="2"/>
  <c r="CC247" i="2"/>
  <c r="CB248" i="2"/>
  <c r="CC248" i="2"/>
  <c r="CB249" i="2"/>
  <c r="CC249" i="2"/>
  <c r="CB250" i="2"/>
  <c r="CC250" i="2"/>
  <c r="CB251" i="2"/>
  <c r="CC251" i="2"/>
  <c r="CB252" i="2"/>
  <c r="CC252" i="2"/>
  <c r="CB253" i="2"/>
  <c r="CC253" i="2"/>
  <c r="CB254" i="2"/>
  <c r="CC254" i="2"/>
  <c r="CB255" i="2"/>
  <c r="CC255" i="2"/>
  <c r="CB256" i="2"/>
  <c r="CC256" i="2"/>
  <c r="CB257" i="2"/>
  <c r="CC257" i="2"/>
  <c r="CB258" i="2"/>
  <c r="CC258" i="2"/>
  <c r="CB259" i="2"/>
  <c r="CC259" i="2"/>
  <c r="CB260" i="2"/>
  <c r="CC260" i="2"/>
  <c r="CB261" i="2"/>
  <c r="CC261" i="2"/>
  <c r="CB262" i="2"/>
  <c r="CC262" i="2"/>
  <c r="CB263" i="2"/>
  <c r="CC263" i="2"/>
  <c r="CB264" i="2"/>
  <c r="CC264" i="2"/>
  <c r="CB265" i="2"/>
  <c r="CC265" i="2"/>
  <c r="CB266" i="2"/>
  <c r="CC266" i="2"/>
  <c r="CB267" i="2"/>
  <c r="CC267" i="2"/>
  <c r="CB268" i="2"/>
  <c r="CC268" i="2"/>
  <c r="CB269" i="2"/>
  <c r="CC269" i="2"/>
  <c r="CB270" i="2"/>
  <c r="CC270" i="2"/>
  <c r="CB271" i="2"/>
  <c r="CC271" i="2"/>
  <c r="CB272" i="2"/>
  <c r="CC272" i="2"/>
  <c r="CB273" i="2"/>
  <c r="CC273" i="2"/>
  <c r="CB274" i="2"/>
  <c r="CC274" i="2"/>
  <c r="CB275" i="2"/>
  <c r="CC275" i="2"/>
  <c r="CB276" i="2"/>
  <c r="CC276" i="2"/>
  <c r="CB277" i="2"/>
  <c r="CC277" i="2"/>
  <c r="CB278" i="2"/>
  <c r="CC278" i="2"/>
  <c r="CB279" i="2"/>
  <c r="CC279" i="2"/>
  <c r="CB280" i="2"/>
  <c r="CC280" i="2"/>
  <c r="CB281" i="2"/>
  <c r="CC281" i="2"/>
  <c r="CB282" i="2"/>
  <c r="CC282" i="2"/>
  <c r="CB283" i="2"/>
  <c r="CC283" i="2"/>
  <c r="CB284" i="2"/>
  <c r="CC284" i="2"/>
  <c r="CB285" i="2"/>
  <c r="CC285" i="2"/>
  <c r="CB286" i="2"/>
  <c r="CC286" i="2"/>
  <c r="CB287" i="2"/>
  <c r="CC287" i="2"/>
  <c r="CB288" i="2"/>
  <c r="CC288" i="2"/>
  <c r="CB289" i="2"/>
  <c r="CC289" i="2"/>
  <c r="CB290" i="2"/>
  <c r="CC290" i="2"/>
  <c r="CB291" i="2"/>
  <c r="CC291" i="2"/>
  <c r="CB292" i="2"/>
  <c r="CC292" i="2"/>
  <c r="CB293" i="2"/>
  <c r="CC293" i="2"/>
  <c r="CB294" i="2"/>
  <c r="CC294" i="2"/>
  <c r="CB295" i="2"/>
  <c r="CC295" i="2"/>
  <c r="CB296" i="2"/>
  <c r="CC296" i="2"/>
  <c r="CB297" i="2"/>
  <c r="CC297" i="2"/>
  <c r="CB298" i="2"/>
  <c r="CC298" i="2"/>
  <c r="CB299" i="2"/>
  <c r="CC299" i="2"/>
  <c r="CB300" i="2"/>
  <c r="CC300" i="2"/>
  <c r="CB301" i="2"/>
  <c r="CC301" i="2"/>
  <c r="CB302" i="2"/>
  <c r="CC302" i="2"/>
  <c r="CB303" i="2"/>
  <c r="CC303" i="2"/>
  <c r="CB304" i="2"/>
  <c r="CC304" i="2"/>
  <c r="CB305" i="2"/>
  <c r="CC305" i="2"/>
  <c r="CB306" i="2"/>
  <c r="CC306" i="2"/>
  <c r="CB307" i="2"/>
  <c r="CC307" i="2"/>
  <c r="CB308" i="2"/>
  <c r="CC308" i="2"/>
  <c r="CB309" i="2"/>
  <c r="CC309" i="2"/>
  <c r="CB310" i="2"/>
  <c r="CC310" i="2"/>
  <c r="CB311" i="2"/>
  <c r="CC311" i="2"/>
  <c r="CB312" i="2"/>
  <c r="CC312" i="2"/>
  <c r="CB313" i="2"/>
  <c r="CC313" i="2"/>
  <c r="CB314" i="2"/>
  <c r="CC314" i="2"/>
  <c r="CB315" i="2"/>
  <c r="CC315" i="2"/>
  <c r="CB316" i="2"/>
  <c r="CC316" i="2"/>
  <c r="CB317" i="2"/>
  <c r="CC317" i="2"/>
  <c r="CB318" i="2"/>
  <c r="CC318" i="2"/>
  <c r="CB319" i="2"/>
  <c r="CC319" i="2"/>
  <c r="CB320" i="2"/>
  <c r="CC320" i="2"/>
  <c r="CB321" i="2"/>
  <c r="CC321" i="2"/>
  <c r="CB322" i="2"/>
  <c r="CC322" i="2"/>
  <c r="CB323" i="2"/>
  <c r="CC323" i="2"/>
  <c r="CB324" i="2"/>
  <c r="CC324" i="2"/>
  <c r="CB325" i="2"/>
  <c r="CC325" i="2"/>
  <c r="CB326" i="2"/>
  <c r="CC326" i="2"/>
  <c r="CB327" i="2"/>
  <c r="CC327" i="2"/>
  <c r="CB328" i="2"/>
  <c r="CC328" i="2"/>
  <c r="CB329" i="2"/>
  <c r="CC329" i="2"/>
  <c r="CB330" i="2"/>
  <c r="CC330" i="2"/>
  <c r="CB331" i="2"/>
  <c r="CC331" i="2"/>
  <c r="CB332" i="2"/>
  <c r="CC332" i="2"/>
  <c r="CB333" i="2"/>
  <c r="CC333" i="2"/>
  <c r="CB334" i="2"/>
  <c r="CC334" i="2"/>
  <c r="CB335" i="2"/>
  <c r="CC335" i="2"/>
  <c r="CB336" i="2"/>
  <c r="CC336" i="2"/>
  <c r="CB337" i="2"/>
  <c r="CC337" i="2"/>
  <c r="CB338" i="2"/>
  <c r="CC338" i="2"/>
  <c r="CB339" i="2"/>
  <c r="CC339" i="2"/>
  <c r="CB340" i="2"/>
  <c r="CC340" i="2"/>
  <c r="CB341" i="2"/>
  <c r="CC341" i="2"/>
  <c r="CB342" i="2"/>
  <c r="CC342" i="2"/>
  <c r="CB343" i="2"/>
  <c r="CC343" i="2"/>
  <c r="CB344" i="2"/>
  <c r="CC344" i="2"/>
  <c r="CB345" i="2"/>
  <c r="CC345" i="2"/>
  <c r="CB346" i="2"/>
  <c r="CC346" i="2"/>
  <c r="CB347" i="2"/>
  <c r="CC347" i="2"/>
  <c r="CB348" i="2"/>
  <c r="CC348" i="2"/>
  <c r="CB349" i="2"/>
  <c r="CC349" i="2"/>
  <c r="CB350" i="2"/>
  <c r="CC350" i="2"/>
  <c r="CB351" i="2"/>
  <c r="CC351" i="2"/>
  <c r="CB352" i="2"/>
  <c r="CC352" i="2"/>
  <c r="CB353" i="2"/>
  <c r="CC353" i="2"/>
  <c r="CB354" i="2"/>
  <c r="CC354" i="2"/>
  <c r="CB355" i="2"/>
  <c r="CC355" i="2"/>
  <c r="CB356" i="2"/>
  <c r="CC356" i="2"/>
  <c r="CB357" i="2"/>
  <c r="CC357" i="2"/>
  <c r="CB358" i="2"/>
  <c r="CC358" i="2"/>
  <c r="CB359" i="2"/>
  <c r="CC359" i="2"/>
  <c r="CB360" i="2"/>
  <c r="CC360" i="2"/>
  <c r="CB361" i="2"/>
  <c r="CC361" i="2"/>
  <c r="CB362" i="2"/>
  <c r="CC362" i="2"/>
  <c r="CB363" i="2"/>
  <c r="CC363" i="2"/>
  <c r="CB364" i="2"/>
  <c r="CC364" i="2"/>
  <c r="CB365" i="2"/>
  <c r="CC365" i="2"/>
  <c r="CB366" i="2"/>
  <c r="CC366" i="2"/>
  <c r="CB367" i="2"/>
  <c r="CC367" i="2"/>
  <c r="CB368" i="2"/>
  <c r="CC368" i="2"/>
  <c r="CB369" i="2"/>
  <c r="CC369" i="2"/>
  <c r="CB370" i="2"/>
  <c r="CC370" i="2"/>
  <c r="CB371" i="2"/>
  <c r="CC371" i="2"/>
  <c r="CB372" i="2"/>
  <c r="CC372" i="2"/>
  <c r="CB373" i="2"/>
  <c r="CC373" i="2"/>
  <c r="CB374" i="2"/>
  <c r="CC374" i="2"/>
  <c r="CB375" i="2"/>
  <c r="CC375" i="2"/>
  <c r="CB376" i="2"/>
  <c r="CC376" i="2"/>
  <c r="CB377" i="2"/>
  <c r="CC377" i="2"/>
  <c r="CB378" i="2"/>
  <c r="CC378" i="2"/>
  <c r="CB379" i="2"/>
  <c r="CC379" i="2"/>
  <c r="CB380" i="2"/>
  <c r="CC380" i="2"/>
  <c r="CB381" i="2"/>
  <c r="CC381" i="2"/>
  <c r="CB382" i="2"/>
  <c r="CC382" i="2"/>
  <c r="CB383" i="2"/>
  <c r="CC383" i="2"/>
  <c r="CB384" i="2"/>
  <c r="CC384" i="2"/>
  <c r="CB385" i="2"/>
  <c r="CC385" i="2"/>
  <c r="CB386" i="2"/>
  <c r="CC386" i="2"/>
  <c r="CB387" i="2"/>
  <c r="CC387" i="2"/>
  <c r="CB388" i="2"/>
  <c r="CC388" i="2"/>
  <c r="CB389" i="2"/>
  <c r="CC389" i="2"/>
  <c r="CB390" i="2"/>
  <c r="CC390" i="2"/>
  <c r="CB391" i="2"/>
  <c r="CC391" i="2"/>
  <c r="CB392" i="2"/>
  <c r="CC392" i="2"/>
  <c r="CB393" i="2"/>
  <c r="CC393" i="2"/>
  <c r="CB394" i="2"/>
  <c r="CC394" i="2"/>
  <c r="CB395" i="2"/>
  <c r="CC395" i="2"/>
  <c r="CB396" i="2"/>
  <c r="CC396" i="2"/>
  <c r="CB397" i="2"/>
  <c r="CC397" i="2"/>
  <c r="CB398" i="2"/>
  <c r="CC398" i="2"/>
  <c r="CB399" i="2"/>
  <c r="CC399" i="2"/>
  <c r="CB400" i="2"/>
  <c r="CC400" i="2"/>
  <c r="CB401" i="2"/>
  <c r="CC401" i="2"/>
  <c r="CB402" i="2"/>
  <c r="CC402" i="2"/>
  <c r="CB403" i="2"/>
  <c r="CC403" i="2"/>
  <c r="CB404" i="2"/>
  <c r="CC404" i="2"/>
  <c r="CB405" i="2"/>
  <c r="CC405" i="2"/>
  <c r="CB406" i="2"/>
  <c r="CC406" i="2"/>
  <c r="CB407" i="2"/>
  <c r="CC407" i="2"/>
  <c r="CB408" i="2"/>
  <c r="CC408" i="2"/>
  <c r="CB409" i="2"/>
  <c r="CC409" i="2"/>
  <c r="CB410" i="2"/>
  <c r="CC410" i="2"/>
  <c r="CB411" i="2"/>
  <c r="CC411" i="2"/>
  <c r="CB412" i="2"/>
  <c r="CC412" i="2"/>
  <c r="CB413" i="2"/>
  <c r="CC413" i="2"/>
  <c r="CB414" i="2"/>
  <c r="CC414" i="2"/>
  <c r="CB415" i="2"/>
  <c r="CC415" i="2"/>
  <c r="CB416" i="2"/>
  <c r="CC416" i="2"/>
  <c r="CB417" i="2"/>
  <c r="CC417" i="2"/>
  <c r="CB418" i="2"/>
  <c r="CC418" i="2"/>
  <c r="CB419" i="2"/>
  <c r="CC419" i="2"/>
  <c r="CB420" i="2"/>
  <c r="CC420" i="2"/>
  <c r="CB421" i="2"/>
  <c r="CC421" i="2"/>
  <c r="CB422" i="2"/>
  <c r="CC422" i="2"/>
  <c r="CB423" i="2"/>
  <c r="CC423" i="2"/>
  <c r="CB424" i="2"/>
  <c r="CC424" i="2"/>
  <c r="CB425" i="2"/>
  <c r="CC425" i="2"/>
  <c r="CB426" i="2"/>
  <c r="CC426" i="2"/>
  <c r="CB427" i="2"/>
  <c r="CC427" i="2"/>
  <c r="CB428" i="2"/>
  <c r="CC428" i="2"/>
  <c r="CB429" i="2"/>
  <c r="CC429" i="2"/>
  <c r="CB430" i="2"/>
  <c r="CC430" i="2"/>
  <c r="CB431" i="2"/>
  <c r="CC431" i="2"/>
  <c r="CB432" i="2"/>
  <c r="CC432" i="2"/>
  <c r="CB433" i="2"/>
  <c r="CC433" i="2"/>
  <c r="CB434" i="2"/>
  <c r="CC434" i="2"/>
  <c r="CB435" i="2"/>
  <c r="CC435" i="2"/>
  <c r="CB436" i="2"/>
  <c r="CC436" i="2"/>
  <c r="CB437" i="2"/>
  <c r="CC437" i="2"/>
  <c r="CB438" i="2"/>
  <c r="CC438" i="2"/>
  <c r="CB439" i="2"/>
  <c r="CC439" i="2"/>
  <c r="CB440" i="2"/>
  <c r="CC440" i="2"/>
  <c r="CB441" i="2"/>
  <c r="CC441" i="2"/>
  <c r="CB442" i="2"/>
  <c r="CC442" i="2"/>
  <c r="CB443" i="2"/>
  <c r="CC443" i="2"/>
  <c r="CB444" i="2"/>
  <c r="CC444" i="2"/>
  <c r="CB445" i="2"/>
  <c r="CC445" i="2"/>
  <c r="CB446" i="2"/>
  <c r="CC446" i="2"/>
  <c r="CB447" i="2"/>
  <c r="CC447" i="2"/>
  <c r="CB448" i="2"/>
  <c r="CC448" i="2"/>
  <c r="CB449" i="2"/>
  <c r="CC449" i="2"/>
  <c r="CB450" i="2"/>
  <c r="CC450" i="2"/>
  <c r="CB451" i="2"/>
  <c r="CC451" i="2"/>
  <c r="CB452" i="2"/>
  <c r="CC452" i="2"/>
  <c r="CB453" i="2"/>
  <c r="CC453" i="2"/>
  <c r="CB454" i="2"/>
  <c r="CC454" i="2"/>
  <c r="CB455" i="2"/>
  <c r="CC455" i="2"/>
  <c r="CB456" i="2"/>
  <c r="CC456" i="2"/>
  <c r="CB457" i="2"/>
  <c r="CC457" i="2"/>
  <c r="CB458" i="2"/>
  <c r="CC458" i="2"/>
  <c r="CB459" i="2"/>
  <c r="CC459" i="2"/>
  <c r="CB460" i="2"/>
  <c r="CC460" i="2"/>
  <c r="CB461" i="2"/>
  <c r="CC461" i="2"/>
  <c r="CB462" i="2"/>
  <c r="CC462" i="2"/>
  <c r="CB463" i="2"/>
  <c r="CC463" i="2"/>
  <c r="CB464" i="2"/>
  <c r="CC464" i="2"/>
  <c r="CB465" i="2"/>
  <c r="CC465" i="2"/>
  <c r="CB466" i="2"/>
  <c r="CC466" i="2"/>
  <c r="CB467" i="2"/>
  <c r="CC467" i="2"/>
  <c r="CB468" i="2"/>
  <c r="CC468" i="2"/>
  <c r="CB469" i="2"/>
  <c r="CC469" i="2"/>
  <c r="CB470" i="2"/>
  <c r="CC470" i="2"/>
  <c r="CB471" i="2"/>
  <c r="CC471" i="2"/>
  <c r="CB472" i="2"/>
  <c r="CC472" i="2"/>
  <c r="CB473" i="2"/>
  <c r="CC473" i="2"/>
  <c r="CB474" i="2"/>
  <c r="CC474" i="2"/>
  <c r="CB475" i="2"/>
  <c r="CC475" i="2"/>
  <c r="CB476" i="2"/>
  <c r="CC476" i="2"/>
  <c r="CB477" i="2"/>
  <c r="CC477" i="2"/>
  <c r="CB478" i="2"/>
  <c r="CC478" i="2"/>
  <c r="CB479" i="2"/>
  <c r="CC479" i="2"/>
  <c r="CB480" i="2"/>
  <c r="CC480" i="2"/>
  <c r="CB481" i="2"/>
  <c r="CC481" i="2"/>
  <c r="CB482" i="2"/>
  <c r="CC482" i="2"/>
  <c r="CB483" i="2"/>
  <c r="CC483" i="2"/>
  <c r="CB484" i="2"/>
  <c r="CC484" i="2"/>
  <c r="CB485" i="2"/>
  <c r="CC485" i="2"/>
  <c r="CB486" i="2"/>
  <c r="CC486" i="2"/>
  <c r="CB487" i="2"/>
  <c r="CC487" i="2"/>
  <c r="CB488" i="2"/>
  <c r="CC488" i="2"/>
  <c r="CB489" i="2"/>
  <c r="CC489" i="2"/>
  <c r="CB490" i="2"/>
  <c r="CC490" i="2"/>
  <c r="CB491" i="2"/>
  <c r="CC491" i="2"/>
  <c r="CB492" i="2"/>
  <c r="CC492" i="2"/>
  <c r="CB493" i="2"/>
  <c r="CC493" i="2"/>
  <c r="CB494" i="2"/>
  <c r="CC494" i="2"/>
  <c r="CB495" i="2"/>
  <c r="CC495" i="2"/>
  <c r="CB496" i="2"/>
  <c r="CC496" i="2"/>
  <c r="CB497" i="2"/>
  <c r="CC497" i="2"/>
  <c r="CB498" i="2"/>
  <c r="CC498" i="2"/>
  <c r="CB499" i="2"/>
  <c r="CC499" i="2"/>
  <c r="CB500" i="2"/>
  <c r="CC500" i="2"/>
  <c r="CB501" i="2"/>
  <c r="CC501" i="2"/>
  <c r="CB502" i="2"/>
  <c r="CC502" i="2"/>
  <c r="CB503" i="2"/>
  <c r="CC503" i="2"/>
  <c r="CB504" i="2"/>
  <c r="CC504" i="2"/>
  <c r="CB505" i="2"/>
  <c r="CC505" i="2"/>
  <c r="CB506" i="2"/>
  <c r="CC506" i="2"/>
  <c r="CB507" i="2"/>
  <c r="CC507" i="2"/>
  <c r="CB508" i="2"/>
  <c r="CC508" i="2"/>
  <c r="CB509" i="2"/>
  <c r="CC509" i="2"/>
  <c r="CB510" i="2"/>
  <c r="CC510" i="2"/>
  <c r="CB511" i="2"/>
  <c r="CC511" i="2"/>
  <c r="CB512" i="2"/>
  <c r="CC512" i="2"/>
  <c r="CB513" i="2"/>
  <c r="CC513" i="2"/>
  <c r="CB514" i="2"/>
  <c r="CC514" i="2"/>
  <c r="CB515" i="2"/>
  <c r="CC515" i="2"/>
  <c r="CB516" i="2"/>
  <c r="CC516" i="2"/>
  <c r="CB517" i="2"/>
  <c r="CC517" i="2"/>
  <c r="CB518" i="2"/>
  <c r="CC518" i="2"/>
  <c r="CB519" i="2"/>
  <c r="CC519" i="2"/>
  <c r="CB520" i="2"/>
  <c r="CC520" i="2"/>
  <c r="CB521" i="2"/>
  <c r="CC521" i="2"/>
  <c r="CB522" i="2"/>
  <c r="CC522" i="2"/>
  <c r="CB523" i="2"/>
  <c r="CC523" i="2"/>
  <c r="CB524" i="2"/>
  <c r="CC524" i="2"/>
  <c r="CB525" i="2"/>
  <c r="CC525" i="2"/>
  <c r="CB526" i="2"/>
  <c r="CC526" i="2"/>
  <c r="CB527" i="2"/>
  <c r="CC527" i="2"/>
  <c r="CB528" i="2"/>
  <c r="CC528" i="2"/>
  <c r="CB529" i="2"/>
  <c r="CC529" i="2"/>
  <c r="CB530" i="2"/>
  <c r="CC530" i="2"/>
  <c r="CB531" i="2"/>
  <c r="CC531" i="2"/>
  <c r="CB532" i="2"/>
  <c r="CC532" i="2"/>
  <c r="CB533" i="2"/>
  <c r="CC533" i="2"/>
  <c r="CB534" i="2"/>
  <c r="CC534" i="2"/>
  <c r="CB535" i="2"/>
  <c r="CC535" i="2"/>
  <c r="CB536" i="2"/>
  <c r="CC536" i="2"/>
  <c r="CB537" i="2"/>
  <c r="CC537" i="2"/>
  <c r="CB538" i="2"/>
  <c r="CC538" i="2"/>
  <c r="CB539" i="2"/>
  <c r="CC539" i="2"/>
  <c r="CB540" i="2"/>
  <c r="CC540" i="2"/>
  <c r="CB541" i="2"/>
  <c r="CC541" i="2"/>
  <c r="CB542" i="2"/>
  <c r="CC542" i="2"/>
  <c r="CB543" i="2"/>
  <c r="CC543" i="2"/>
  <c r="CB544" i="2"/>
  <c r="CC544" i="2"/>
  <c r="CB545" i="2"/>
  <c r="CC545" i="2"/>
  <c r="CB546" i="2"/>
  <c r="CC546" i="2"/>
  <c r="CB547" i="2"/>
  <c r="CC547" i="2"/>
  <c r="CB548" i="2"/>
  <c r="CC548" i="2"/>
  <c r="CB549" i="2"/>
  <c r="CC549" i="2"/>
  <c r="CB550" i="2"/>
  <c r="CC550" i="2"/>
  <c r="CB551" i="2"/>
  <c r="CC551" i="2"/>
  <c r="CB552" i="2"/>
  <c r="CC552" i="2"/>
  <c r="CB553" i="2"/>
  <c r="CC553" i="2"/>
  <c r="CB554" i="2"/>
  <c r="CC554" i="2"/>
  <c r="CB555" i="2"/>
  <c r="CC555" i="2"/>
  <c r="CB556" i="2"/>
  <c r="CC556" i="2"/>
  <c r="CB557" i="2"/>
  <c r="CC557" i="2"/>
  <c r="CB558" i="2"/>
  <c r="CC558" i="2"/>
  <c r="CB559" i="2"/>
  <c r="CC559" i="2"/>
  <c r="CB560" i="2"/>
  <c r="CC560" i="2"/>
  <c r="CB561" i="2"/>
  <c r="CC561" i="2"/>
  <c r="CB562" i="2"/>
  <c r="CC562" i="2"/>
  <c r="CB563" i="2"/>
  <c r="CC563" i="2"/>
  <c r="CB564" i="2"/>
  <c r="CC564" i="2"/>
  <c r="CB565" i="2"/>
  <c r="CC565" i="2"/>
  <c r="CB566" i="2"/>
  <c r="CC566" i="2"/>
  <c r="CB567" i="2"/>
  <c r="CC567" i="2"/>
  <c r="CB568" i="2"/>
  <c r="CC568" i="2"/>
  <c r="CB569" i="2"/>
  <c r="CC569" i="2"/>
  <c r="CB570" i="2"/>
  <c r="CC570" i="2"/>
  <c r="CB571" i="2"/>
  <c r="CC571" i="2"/>
  <c r="CB572" i="2"/>
  <c r="CC572" i="2"/>
  <c r="CB573" i="2"/>
  <c r="CC573" i="2"/>
  <c r="CB574" i="2"/>
  <c r="CC574" i="2"/>
  <c r="CB575" i="2"/>
  <c r="CC575" i="2"/>
  <c r="CB576" i="2"/>
  <c r="CC576" i="2"/>
  <c r="CB577" i="2"/>
  <c r="CC577" i="2"/>
  <c r="CB578" i="2"/>
  <c r="CC578" i="2"/>
  <c r="CB579" i="2"/>
  <c r="CC579" i="2"/>
  <c r="CB580" i="2"/>
  <c r="CC580" i="2"/>
  <c r="CB581" i="2"/>
  <c r="CC581" i="2"/>
  <c r="CB582" i="2"/>
  <c r="CC582" i="2"/>
  <c r="CB583" i="2"/>
  <c r="CC583" i="2"/>
  <c r="CB584" i="2"/>
  <c r="CC584" i="2"/>
  <c r="CB585" i="2"/>
  <c r="CC585" i="2"/>
  <c r="CB586" i="2"/>
  <c r="CC586" i="2"/>
  <c r="CB587" i="2"/>
  <c r="CC587" i="2"/>
  <c r="CB588" i="2"/>
  <c r="CC588" i="2"/>
  <c r="CB589" i="2"/>
  <c r="CC589" i="2"/>
  <c r="CB590" i="2"/>
  <c r="CC590" i="2"/>
  <c r="CB591" i="2"/>
  <c r="CC591" i="2"/>
  <c r="CB592" i="2"/>
  <c r="CC592" i="2"/>
  <c r="CB593" i="2"/>
  <c r="CC593" i="2"/>
  <c r="CB594" i="2"/>
  <c r="CC594" i="2"/>
  <c r="CB595" i="2"/>
  <c r="CC595" i="2"/>
  <c r="CB596" i="2"/>
  <c r="CC596" i="2"/>
  <c r="CB597" i="2"/>
  <c r="CC597" i="2"/>
  <c r="CB598" i="2"/>
  <c r="CC598" i="2"/>
  <c r="CB599" i="2"/>
  <c r="CC599" i="2"/>
  <c r="CB600" i="2"/>
  <c r="CC600" i="2"/>
  <c r="CB601" i="2"/>
  <c r="CC601" i="2"/>
  <c r="CB602" i="2"/>
  <c r="CC602" i="2"/>
  <c r="CB603" i="2"/>
  <c r="CC603" i="2"/>
  <c r="CB604" i="2"/>
  <c r="CC604" i="2"/>
  <c r="CB605" i="2"/>
  <c r="CC605" i="2"/>
  <c r="CB606" i="2"/>
  <c r="CC606" i="2"/>
  <c r="CB607" i="2"/>
  <c r="CC607" i="2"/>
  <c r="CB608" i="2"/>
  <c r="CC608" i="2"/>
  <c r="CB609" i="2"/>
  <c r="CC609" i="2"/>
  <c r="CB610" i="2"/>
  <c r="CC610" i="2"/>
  <c r="CB611" i="2"/>
  <c r="CC611" i="2"/>
  <c r="CB612" i="2"/>
  <c r="CC612" i="2"/>
  <c r="CB613" i="2"/>
  <c r="CC613" i="2"/>
  <c r="CB614" i="2"/>
  <c r="CC614" i="2"/>
  <c r="CB615" i="2"/>
  <c r="CC615" i="2"/>
  <c r="CB616" i="2"/>
  <c r="CC616" i="2"/>
  <c r="CB617" i="2"/>
  <c r="CC617" i="2"/>
  <c r="CB618" i="2"/>
  <c r="CC618" i="2"/>
  <c r="CB619" i="2"/>
  <c r="CC619" i="2"/>
  <c r="CB620" i="2"/>
  <c r="CC620" i="2"/>
  <c r="CB621" i="2"/>
  <c r="CC621" i="2"/>
  <c r="CB622" i="2"/>
  <c r="CC622" i="2"/>
  <c r="CB623" i="2"/>
  <c r="CC623" i="2"/>
  <c r="CB624" i="2"/>
  <c r="CC624" i="2"/>
  <c r="CB625" i="2"/>
  <c r="CC625" i="2"/>
  <c r="CB626" i="2"/>
  <c r="CC626" i="2"/>
  <c r="CB627" i="2"/>
  <c r="CC627" i="2"/>
  <c r="CB628" i="2"/>
  <c r="CC628" i="2"/>
  <c r="CB629" i="2"/>
  <c r="CC629" i="2"/>
  <c r="CB630" i="2"/>
  <c r="CC630" i="2"/>
  <c r="CB631" i="2"/>
  <c r="CC631" i="2"/>
  <c r="CB632" i="2"/>
  <c r="CC632" i="2"/>
  <c r="CB633" i="2"/>
  <c r="CC633" i="2"/>
  <c r="CB634" i="2"/>
  <c r="CC634" i="2"/>
  <c r="CB635" i="2"/>
  <c r="CC635" i="2"/>
  <c r="CB636" i="2"/>
  <c r="CC636" i="2"/>
  <c r="CB637" i="2"/>
  <c r="CC637" i="2"/>
  <c r="CB638" i="2"/>
  <c r="CC638" i="2"/>
  <c r="CB639" i="2"/>
  <c r="CC639" i="2"/>
  <c r="CB640" i="2"/>
  <c r="CC640" i="2"/>
  <c r="CB641" i="2"/>
  <c r="CC641" i="2"/>
  <c r="CB642" i="2"/>
  <c r="CC642" i="2"/>
  <c r="CB643" i="2"/>
  <c r="CC643" i="2"/>
  <c r="CB644" i="2"/>
  <c r="CC644" i="2"/>
  <c r="CB645" i="2"/>
  <c r="CC645" i="2"/>
  <c r="CB646" i="2"/>
  <c r="CC646" i="2"/>
  <c r="CB647" i="2"/>
  <c r="CC647" i="2"/>
  <c r="CB648" i="2"/>
  <c r="CC648" i="2"/>
  <c r="CB649" i="2"/>
  <c r="CC649" i="2"/>
  <c r="CB650" i="2"/>
  <c r="CC650" i="2"/>
  <c r="CB651" i="2"/>
  <c r="CC651" i="2"/>
  <c r="CB652" i="2"/>
  <c r="CC652" i="2"/>
  <c r="CB653" i="2"/>
  <c r="CC653" i="2"/>
  <c r="CB654" i="2"/>
  <c r="CC654" i="2"/>
  <c r="CB655" i="2"/>
  <c r="CC655" i="2"/>
  <c r="CB656" i="2"/>
  <c r="CC656" i="2"/>
  <c r="CB657" i="2"/>
  <c r="CC657" i="2"/>
  <c r="CB658" i="2"/>
  <c r="CC658" i="2"/>
  <c r="CB659" i="2"/>
  <c r="CC659" i="2"/>
  <c r="CB660" i="2"/>
  <c r="CC660" i="2"/>
  <c r="CB661" i="2"/>
  <c r="CC661" i="2"/>
  <c r="CB662" i="2"/>
  <c r="CC662" i="2"/>
  <c r="CB663" i="2"/>
  <c r="CC663" i="2"/>
  <c r="CB664" i="2"/>
  <c r="CC664" i="2"/>
  <c r="CB665" i="2"/>
  <c r="CC665" i="2"/>
  <c r="CB666" i="2"/>
  <c r="CC666" i="2"/>
  <c r="CB667" i="2"/>
  <c r="CC667" i="2"/>
  <c r="CB668" i="2"/>
  <c r="CC668" i="2"/>
  <c r="CB669" i="2"/>
  <c r="CC669" i="2"/>
  <c r="CB670" i="2"/>
  <c r="CC670" i="2"/>
  <c r="CB671" i="2"/>
  <c r="CC671" i="2"/>
  <c r="CB672" i="2"/>
  <c r="CC672" i="2"/>
  <c r="CB673" i="2"/>
  <c r="CC673" i="2"/>
  <c r="CB674" i="2"/>
  <c r="CC674" i="2"/>
  <c r="CB675" i="2"/>
  <c r="CC675" i="2"/>
  <c r="CB676" i="2"/>
  <c r="CC676" i="2"/>
  <c r="CB677" i="2"/>
  <c r="CC677" i="2"/>
  <c r="CB678" i="2"/>
  <c r="CC678" i="2"/>
  <c r="CB679" i="2"/>
  <c r="CC679" i="2"/>
  <c r="CB680" i="2"/>
  <c r="CC680" i="2"/>
  <c r="CB681" i="2"/>
  <c r="CC681" i="2"/>
  <c r="CB682" i="2"/>
  <c r="CC682" i="2"/>
  <c r="CB683" i="2"/>
  <c r="CC683" i="2"/>
  <c r="CB684" i="2"/>
  <c r="CC684" i="2"/>
  <c r="CB685" i="2"/>
  <c r="CC685" i="2"/>
  <c r="CB686" i="2"/>
  <c r="CC686" i="2"/>
  <c r="CB687" i="2"/>
  <c r="CC687" i="2"/>
  <c r="CB688" i="2"/>
  <c r="CC688" i="2"/>
  <c r="CB689" i="2"/>
  <c r="CC689" i="2"/>
  <c r="CB690" i="2"/>
  <c r="CC690" i="2"/>
  <c r="CB691" i="2"/>
  <c r="CC691" i="2"/>
  <c r="CB692" i="2"/>
  <c r="CC692" i="2"/>
  <c r="CB693" i="2"/>
  <c r="CC693" i="2"/>
  <c r="CB694" i="2"/>
  <c r="CC694" i="2"/>
  <c r="CB695" i="2"/>
  <c r="CC695" i="2"/>
  <c r="CB696" i="2"/>
  <c r="CC696" i="2"/>
  <c r="CB697" i="2"/>
  <c r="CC697" i="2"/>
  <c r="CB698" i="2"/>
  <c r="CC698" i="2"/>
  <c r="CB699" i="2"/>
  <c r="CC699" i="2"/>
  <c r="CB700" i="2"/>
  <c r="CC700" i="2"/>
  <c r="CB701" i="2"/>
  <c r="CC701" i="2"/>
  <c r="CB702" i="2"/>
  <c r="CC702" i="2"/>
  <c r="CB703" i="2"/>
  <c r="CC703" i="2"/>
  <c r="CB704" i="2"/>
  <c r="CC704" i="2"/>
  <c r="CB705" i="2"/>
  <c r="CC705" i="2"/>
  <c r="CB706" i="2"/>
  <c r="CC706" i="2"/>
  <c r="CB707" i="2"/>
  <c r="CC707" i="2"/>
  <c r="CB708" i="2"/>
  <c r="CC708" i="2"/>
  <c r="CB709" i="2"/>
  <c r="CC709" i="2"/>
  <c r="CB710" i="2"/>
  <c r="CC710" i="2"/>
  <c r="CB711" i="2"/>
  <c r="CC711" i="2"/>
  <c r="CB712" i="2"/>
  <c r="CC712" i="2"/>
  <c r="CB713" i="2"/>
  <c r="CC713" i="2"/>
  <c r="CB714" i="2"/>
  <c r="CC714" i="2"/>
  <c r="CB715" i="2"/>
  <c r="CC715" i="2"/>
  <c r="CB716" i="2"/>
  <c r="CC716" i="2"/>
  <c r="CB717" i="2"/>
  <c r="CC717" i="2"/>
  <c r="CB718" i="2"/>
  <c r="CC718" i="2"/>
  <c r="CB719" i="2"/>
  <c r="CC719" i="2"/>
  <c r="CB720" i="2"/>
  <c r="CC720" i="2"/>
  <c r="CB721" i="2"/>
  <c r="CC721" i="2"/>
  <c r="CB722" i="2"/>
  <c r="CC722" i="2"/>
  <c r="CB723" i="2"/>
  <c r="CC723" i="2"/>
  <c r="CB724" i="2"/>
  <c r="CC724" i="2"/>
  <c r="CB725" i="2"/>
  <c r="CC725" i="2"/>
  <c r="CB726" i="2"/>
  <c r="CC726" i="2"/>
  <c r="CB727" i="2"/>
  <c r="CC727" i="2"/>
  <c r="CB728" i="2"/>
  <c r="CC728" i="2"/>
  <c r="CB729" i="2"/>
  <c r="CC729" i="2"/>
  <c r="CB730" i="2"/>
  <c r="CC730" i="2"/>
  <c r="CB731" i="2"/>
  <c r="CC731" i="2"/>
  <c r="CB732" i="2"/>
  <c r="CC732" i="2"/>
  <c r="CB733" i="2"/>
  <c r="CC733" i="2"/>
  <c r="CB734" i="2"/>
  <c r="CC734" i="2"/>
  <c r="CB735" i="2"/>
  <c r="CC735" i="2"/>
  <c r="CB736" i="2"/>
  <c r="CC736" i="2"/>
  <c r="CB737" i="2"/>
  <c r="CC737" i="2"/>
  <c r="CB738" i="2"/>
  <c r="CC738" i="2"/>
  <c r="CB739" i="2"/>
  <c r="CC739" i="2"/>
  <c r="CB740" i="2"/>
  <c r="CC740" i="2"/>
  <c r="CB741" i="2"/>
  <c r="CC741" i="2"/>
  <c r="CB742" i="2"/>
  <c r="CC742" i="2"/>
  <c r="CB743" i="2"/>
  <c r="CC743" i="2"/>
  <c r="CB744" i="2"/>
  <c r="CC744" i="2"/>
  <c r="CB745" i="2"/>
  <c r="CC745" i="2"/>
  <c r="CB746" i="2"/>
  <c r="CC746" i="2"/>
  <c r="CB747" i="2"/>
  <c r="CC747" i="2"/>
  <c r="CB748" i="2"/>
  <c r="CC748" i="2"/>
  <c r="CB749" i="2"/>
  <c r="CC749" i="2"/>
  <c r="CB750" i="2"/>
  <c r="CC750" i="2"/>
  <c r="CB751" i="2"/>
  <c r="CC751" i="2"/>
  <c r="CB752" i="2"/>
  <c r="CC752" i="2"/>
  <c r="CB753" i="2"/>
  <c r="CC753" i="2"/>
  <c r="CB754" i="2"/>
  <c r="CC754" i="2"/>
  <c r="CB755" i="2"/>
  <c r="CC755" i="2"/>
  <c r="CB756" i="2"/>
  <c r="CC756" i="2"/>
  <c r="CB757" i="2"/>
  <c r="CC757" i="2"/>
  <c r="CB758" i="2"/>
  <c r="CC758" i="2"/>
  <c r="CB759" i="2"/>
  <c r="CC759" i="2"/>
  <c r="CB760" i="2"/>
  <c r="CC760" i="2"/>
  <c r="CB761" i="2"/>
  <c r="CC761" i="2"/>
  <c r="CB762" i="2"/>
  <c r="CC762" i="2"/>
  <c r="CB763" i="2"/>
  <c r="CC763" i="2"/>
  <c r="CB764" i="2"/>
  <c r="CC764" i="2"/>
  <c r="CB765" i="2"/>
  <c r="CC765" i="2"/>
  <c r="CB766" i="2"/>
  <c r="CC766" i="2"/>
  <c r="CB767" i="2"/>
  <c r="CC767" i="2"/>
  <c r="CB768" i="2"/>
  <c r="CC768" i="2"/>
  <c r="CB769" i="2"/>
  <c r="CC769" i="2"/>
  <c r="CB770" i="2"/>
  <c r="CC770" i="2"/>
  <c r="CB771" i="2"/>
  <c r="CC771" i="2"/>
  <c r="CB772" i="2"/>
  <c r="CC772" i="2"/>
  <c r="CB773" i="2"/>
  <c r="CC773" i="2"/>
  <c r="CB774" i="2"/>
  <c r="CC774" i="2"/>
  <c r="CB775" i="2"/>
  <c r="CC775" i="2"/>
  <c r="CB776" i="2"/>
  <c r="CC776" i="2"/>
  <c r="CB777" i="2"/>
  <c r="CC777" i="2"/>
  <c r="CB778" i="2"/>
  <c r="CC778" i="2"/>
  <c r="CB779" i="2"/>
  <c r="CC779" i="2"/>
  <c r="CB780" i="2"/>
  <c r="CC780" i="2"/>
  <c r="CB781" i="2"/>
  <c r="CC781" i="2"/>
  <c r="CB782" i="2"/>
  <c r="CC782" i="2"/>
  <c r="CB783" i="2"/>
  <c r="CC783" i="2"/>
  <c r="CB784" i="2"/>
  <c r="CC784" i="2"/>
  <c r="CB785" i="2"/>
  <c r="CC785" i="2"/>
  <c r="CB786" i="2"/>
  <c r="CC786" i="2"/>
  <c r="CB787" i="2"/>
  <c r="CC787" i="2"/>
  <c r="CB788" i="2"/>
  <c r="CC788" i="2"/>
  <c r="CB789" i="2"/>
  <c r="CC789" i="2"/>
  <c r="CB790" i="2"/>
  <c r="CC790" i="2"/>
  <c r="CB791" i="2"/>
  <c r="CC791" i="2"/>
  <c r="CB792" i="2"/>
  <c r="CC792" i="2"/>
  <c r="CB793" i="2"/>
  <c r="CC793" i="2"/>
  <c r="CB794" i="2"/>
  <c r="CC794" i="2"/>
  <c r="CB795" i="2"/>
  <c r="CC795" i="2"/>
  <c r="CB796" i="2"/>
  <c r="CC796" i="2"/>
  <c r="CB797" i="2"/>
  <c r="CC797" i="2"/>
  <c r="CB798" i="2"/>
  <c r="CC798" i="2"/>
  <c r="CB799" i="2"/>
  <c r="CC799" i="2"/>
  <c r="CB800" i="2"/>
  <c r="CC800" i="2"/>
  <c r="CB801" i="2"/>
  <c r="CC801" i="2"/>
  <c r="CB802" i="2"/>
  <c r="CC802" i="2"/>
  <c r="CB803" i="2"/>
  <c r="CC803" i="2"/>
  <c r="CB804" i="2"/>
  <c r="CC804" i="2"/>
  <c r="CB805" i="2"/>
  <c r="CC805" i="2"/>
  <c r="CB806" i="2"/>
  <c r="CC806" i="2"/>
  <c r="CB807" i="2"/>
  <c r="CC807" i="2"/>
  <c r="CB808" i="2"/>
  <c r="CC808" i="2"/>
  <c r="CB809" i="2"/>
  <c r="CC809" i="2"/>
  <c r="CB810" i="2"/>
  <c r="CC810" i="2"/>
  <c r="CB811" i="2"/>
  <c r="CC811" i="2"/>
  <c r="CB812" i="2"/>
  <c r="CC812" i="2"/>
  <c r="CB813" i="2"/>
  <c r="CC813" i="2"/>
  <c r="CB814" i="2"/>
  <c r="CC814" i="2"/>
  <c r="CB815" i="2"/>
  <c r="CC815" i="2"/>
  <c r="CB816" i="2"/>
  <c r="CC816" i="2"/>
  <c r="CB817" i="2"/>
  <c r="CC817" i="2"/>
  <c r="CB818" i="2"/>
  <c r="CC818" i="2"/>
  <c r="CB819" i="2"/>
  <c r="CC819" i="2"/>
  <c r="CB820" i="2"/>
  <c r="CC820" i="2"/>
  <c r="CB821" i="2"/>
  <c r="CC821" i="2"/>
  <c r="CB822" i="2"/>
  <c r="CC822" i="2"/>
  <c r="CB823" i="2"/>
  <c r="CC823" i="2"/>
  <c r="CB824" i="2"/>
  <c r="CC824" i="2"/>
  <c r="CB825" i="2"/>
  <c r="CC825" i="2"/>
  <c r="CB826" i="2"/>
  <c r="CC826" i="2"/>
  <c r="CB827" i="2"/>
  <c r="CC827" i="2"/>
  <c r="CB828" i="2"/>
  <c r="CC828" i="2"/>
  <c r="CB829" i="2"/>
  <c r="CC829" i="2"/>
  <c r="CB830" i="2"/>
  <c r="CC830" i="2"/>
  <c r="CB831" i="2"/>
  <c r="CC831" i="2"/>
  <c r="CB832" i="2"/>
  <c r="CC832" i="2"/>
  <c r="CB833" i="2"/>
  <c r="CC833" i="2"/>
  <c r="CB834" i="2"/>
  <c r="CC834" i="2"/>
  <c r="CB835" i="2"/>
  <c r="CC835" i="2"/>
  <c r="CB836" i="2"/>
  <c r="CC836" i="2"/>
  <c r="CB837" i="2"/>
  <c r="CC837" i="2"/>
  <c r="CB838" i="2"/>
  <c r="CC838" i="2"/>
  <c r="CB839" i="2"/>
  <c r="CC839" i="2"/>
  <c r="CB840" i="2"/>
  <c r="CC840" i="2"/>
  <c r="CB841" i="2"/>
  <c r="CC841" i="2"/>
  <c r="CB842" i="2"/>
  <c r="CC842" i="2"/>
  <c r="CB843" i="2"/>
  <c r="CC843" i="2"/>
  <c r="CB844" i="2"/>
  <c r="CC844" i="2"/>
  <c r="CB845" i="2"/>
  <c r="CC845" i="2"/>
  <c r="CB846" i="2"/>
  <c r="CC846" i="2"/>
  <c r="CB847" i="2"/>
  <c r="CC847" i="2"/>
  <c r="CB848" i="2"/>
  <c r="CC848" i="2"/>
  <c r="CB849" i="2"/>
  <c r="CC849" i="2"/>
  <c r="CB850" i="2"/>
  <c r="CC850" i="2"/>
  <c r="CB851" i="2"/>
  <c r="CC851" i="2"/>
  <c r="CB852" i="2"/>
  <c r="CC852" i="2"/>
  <c r="CB853" i="2"/>
  <c r="CC853" i="2"/>
  <c r="CB854" i="2"/>
  <c r="CC854" i="2"/>
  <c r="CB855" i="2"/>
  <c r="CC855" i="2"/>
  <c r="CB856" i="2"/>
  <c r="CC856" i="2"/>
  <c r="CB857" i="2"/>
  <c r="CC857" i="2"/>
  <c r="CB858" i="2"/>
  <c r="CC858" i="2"/>
  <c r="CB859" i="2"/>
  <c r="CC859" i="2"/>
  <c r="CB860" i="2"/>
  <c r="CC860" i="2"/>
  <c r="CB861" i="2"/>
  <c r="CC861" i="2"/>
  <c r="CB862" i="2"/>
  <c r="CC862" i="2"/>
  <c r="CB863" i="2"/>
  <c r="CC863" i="2"/>
  <c r="CB864" i="2"/>
  <c r="CC864" i="2"/>
  <c r="CB865" i="2"/>
  <c r="CC865" i="2"/>
  <c r="CB866" i="2"/>
  <c r="CC866" i="2"/>
  <c r="CB867" i="2"/>
  <c r="CC867" i="2"/>
  <c r="CB868" i="2"/>
  <c r="CC868" i="2"/>
  <c r="CB869" i="2"/>
  <c r="CC869" i="2"/>
  <c r="CB870" i="2"/>
  <c r="CC870" i="2"/>
  <c r="CB871" i="2"/>
  <c r="CC871" i="2"/>
  <c r="CB872" i="2"/>
  <c r="CC872" i="2"/>
  <c r="CB873" i="2"/>
  <c r="CC873" i="2"/>
  <c r="CB874" i="2"/>
  <c r="CC874" i="2"/>
  <c r="CB875" i="2"/>
  <c r="CC875" i="2"/>
  <c r="CB876" i="2"/>
  <c r="CC876" i="2"/>
  <c r="CB877" i="2"/>
  <c r="CC877" i="2"/>
  <c r="CB878" i="2"/>
  <c r="CC878" i="2"/>
  <c r="CB879" i="2"/>
  <c r="CC879" i="2"/>
  <c r="CB880" i="2"/>
  <c r="CC880" i="2"/>
  <c r="CB881" i="2"/>
  <c r="CC881" i="2"/>
  <c r="CB882" i="2"/>
  <c r="CC882" i="2"/>
  <c r="CB883" i="2"/>
  <c r="CC883" i="2"/>
  <c r="CB884" i="2"/>
  <c r="CC884" i="2"/>
  <c r="CB885" i="2"/>
  <c r="CC885" i="2"/>
  <c r="CB886" i="2"/>
  <c r="CC886" i="2"/>
  <c r="CB887" i="2"/>
  <c r="CC887" i="2"/>
  <c r="CB888" i="2"/>
  <c r="CC888" i="2"/>
  <c r="CB889" i="2"/>
  <c r="CC889" i="2"/>
  <c r="CB890" i="2"/>
  <c r="CC890" i="2"/>
  <c r="CB891" i="2"/>
  <c r="CC891" i="2"/>
  <c r="CB892" i="2"/>
  <c r="CC892" i="2"/>
  <c r="CB893" i="2"/>
  <c r="CC893" i="2"/>
  <c r="CB894" i="2"/>
  <c r="CC894" i="2"/>
  <c r="CB895" i="2"/>
  <c r="CC895" i="2"/>
  <c r="CB896" i="2"/>
  <c r="CC896" i="2"/>
  <c r="CB897" i="2"/>
  <c r="CC897" i="2"/>
  <c r="CB898" i="2"/>
  <c r="CC898" i="2"/>
  <c r="CB899" i="2"/>
  <c r="CC899" i="2"/>
  <c r="CB900" i="2"/>
  <c r="CC900" i="2"/>
  <c r="CB901" i="2"/>
  <c r="CC901" i="2"/>
  <c r="CB902" i="2"/>
  <c r="CC902" i="2"/>
  <c r="CB903" i="2"/>
  <c r="CC903" i="2"/>
  <c r="CB904" i="2"/>
  <c r="CC904" i="2"/>
  <c r="CB905" i="2"/>
  <c r="CC905" i="2"/>
  <c r="CB906" i="2"/>
  <c r="CC906" i="2"/>
  <c r="CB907" i="2"/>
  <c r="CC907" i="2"/>
  <c r="CB908" i="2"/>
  <c r="CC908" i="2"/>
  <c r="CB909" i="2"/>
  <c r="CC909" i="2"/>
  <c r="CB910" i="2"/>
  <c r="CC910" i="2"/>
  <c r="CB911" i="2"/>
  <c r="CC911" i="2"/>
  <c r="CB912" i="2"/>
  <c r="CC912" i="2"/>
  <c r="CB913" i="2"/>
  <c r="CC913" i="2"/>
  <c r="CB914" i="2"/>
  <c r="CC914" i="2"/>
  <c r="CB915" i="2"/>
  <c r="CC915" i="2"/>
  <c r="CB916" i="2"/>
  <c r="CC916" i="2"/>
  <c r="CB917" i="2"/>
  <c r="CC917" i="2"/>
  <c r="CB918" i="2"/>
  <c r="CC918" i="2"/>
  <c r="CB919" i="2"/>
  <c r="CC919" i="2"/>
  <c r="CB920" i="2"/>
  <c r="CC920" i="2"/>
  <c r="CB921" i="2"/>
  <c r="CC921" i="2"/>
  <c r="CB922" i="2"/>
  <c r="CC922" i="2"/>
  <c r="CB923" i="2"/>
  <c r="CC923" i="2"/>
  <c r="CB924" i="2"/>
  <c r="CC924" i="2"/>
  <c r="CB925" i="2"/>
  <c r="CC925" i="2"/>
  <c r="CB926" i="2"/>
  <c r="CC926" i="2"/>
  <c r="CB927" i="2"/>
  <c r="CC927" i="2"/>
  <c r="CB928" i="2"/>
  <c r="CC928" i="2"/>
  <c r="CB929" i="2"/>
  <c r="CC929" i="2"/>
  <c r="CB930" i="2"/>
  <c r="CC930" i="2"/>
  <c r="CB931" i="2"/>
  <c r="CC931" i="2"/>
  <c r="CB932" i="2"/>
  <c r="CC932" i="2"/>
  <c r="CB933" i="2"/>
  <c r="CC933" i="2"/>
  <c r="CB934" i="2"/>
  <c r="CC934" i="2"/>
  <c r="CB935" i="2"/>
  <c r="CC935" i="2"/>
  <c r="CB936" i="2"/>
  <c r="CC936" i="2"/>
  <c r="CB937" i="2"/>
  <c r="CC937" i="2"/>
  <c r="CB938" i="2"/>
  <c r="CC938" i="2"/>
  <c r="CB939" i="2"/>
  <c r="CC939" i="2"/>
  <c r="CB940" i="2"/>
  <c r="CC940" i="2"/>
  <c r="CB941" i="2"/>
  <c r="CC941" i="2"/>
  <c r="CB942" i="2"/>
  <c r="CC942" i="2"/>
  <c r="CB943" i="2"/>
  <c r="CC943" i="2"/>
  <c r="CB944" i="2"/>
  <c r="CC944" i="2"/>
  <c r="CB945" i="2"/>
  <c r="CC945" i="2"/>
  <c r="CB946" i="2"/>
  <c r="CC946" i="2"/>
  <c r="CB947" i="2"/>
  <c r="CC947" i="2"/>
  <c r="CB948" i="2"/>
  <c r="CC948" i="2"/>
  <c r="CB949" i="2"/>
  <c r="CC949" i="2"/>
  <c r="CB950" i="2"/>
  <c r="CC950" i="2"/>
  <c r="CB951" i="2"/>
  <c r="CC951" i="2"/>
  <c r="CB952" i="2"/>
  <c r="CC952" i="2"/>
  <c r="CB953" i="2"/>
  <c r="CC953" i="2"/>
  <c r="CB954" i="2"/>
  <c r="CC954" i="2"/>
  <c r="CB955" i="2"/>
  <c r="CC955" i="2"/>
  <c r="CB956" i="2"/>
  <c r="CC956" i="2"/>
  <c r="CB957" i="2"/>
  <c r="CC957" i="2"/>
  <c r="CB958" i="2"/>
  <c r="CC958" i="2"/>
  <c r="CB959" i="2"/>
  <c r="CC959" i="2"/>
  <c r="CB960" i="2"/>
  <c r="CC960" i="2"/>
  <c r="CB961" i="2"/>
  <c r="CC961" i="2"/>
  <c r="CB962" i="2"/>
  <c r="CC962" i="2"/>
  <c r="CB963" i="2"/>
  <c r="CC963" i="2"/>
  <c r="CB964" i="2"/>
  <c r="CC964" i="2"/>
  <c r="CB965" i="2"/>
  <c r="CC965" i="2"/>
  <c r="CB966" i="2"/>
  <c r="CC966" i="2"/>
  <c r="CB967" i="2"/>
  <c r="CC967" i="2"/>
  <c r="CB968" i="2"/>
  <c r="CC968" i="2"/>
  <c r="CB969" i="2"/>
  <c r="CC969" i="2"/>
  <c r="CB970" i="2"/>
  <c r="CC970" i="2"/>
  <c r="CB971" i="2"/>
  <c r="CC971" i="2"/>
  <c r="CB972" i="2"/>
  <c r="CC972" i="2"/>
  <c r="CB973" i="2"/>
  <c r="CC973" i="2"/>
  <c r="CB974" i="2"/>
  <c r="CC974" i="2"/>
  <c r="CB975" i="2"/>
  <c r="CC975" i="2"/>
  <c r="CB976" i="2"/>
  <c r="CC976" i="2"/>
  <c r="CB977" i="2"/>
  <c r="CC977" i="2"/>
  <c r="CB978" i="2"/>
  <c r="CC978" i="2"/>
  <c r="CB979" i="2"/>
  <c r="CC979" i="2"/>
  <c r="CB980" i="2"/>
  <c r="CC980" i="2"/>
  <c r="CB981" i="2"/>
  <c r="CC981" i="2"/>
  <c r="CB982" i="2"/>
  <c r="CC982" i="2"/>
  <c r="CB983" i="2"/>
  <c r="CC983" i="2"/>
  <c r="CB984" i="2"/>
  <c r="CC984" i="2"/>
  <c r="CB985" i="2"/>
  <c r="CC985" i="2"/>
  <c r="CB986" i="2"/>
  <c r="CC986" i="2"/>
  <c r="CB987" i="2"/>
  <c r="CC987" i="2"/>
  <c r="CB988" i="2"/>
  <c r="CC988" i="2"/>
  <c r="CB989" i="2"/>
  <c r="CC989" i="2"/>
  <c r="CB990" i="2"/>
  <c r="CC990" i="2"/>
  <c r="CB991" i="2"/>
  <c r="CC991" i="2"/>
  <c r="CB992" i="2"/>
  <c r="CC992" i="2"/>
  <c r="CB993" i="2"/>
  <c r="CC993" i="2"/>
  <c r="CB994" i="2"/>
  <c r="CC994" i="2"/>
  <c r="CB995" i="2"/>
  <c r="CC995" i="2"/>
  <c r="CB996" i="2"/>
  <c r="CC996" i="2"/>
  <c r="CB997" i="2"/>
  <c r="CC997" i="2"/>
  <c r="CB998" i="2"/>
  <c r="CC998" i="2"/>
  <c r="CB999" i="2"/>
  <c r="CC999" i="2"/>
  <c r="CB1000" i="2"/>
  <c r="CC1000" i="2"/>
  <c r="CB1001" i="2"/>
  <c r="CC1001" i="2"/>
  <c r="CB1002" i="2"/>
  <c r="CC1002" i="2"/>
  <c r="CB1003" i="2"/>
  <c r="CC1003" i="2"/>
  <c r="CB1004" i="2"/>
  <c r="CC1004" i="2"/>
  <c r="CB1005" i="2"/>
  <c r="CC1005" i="2"/>
  <c r="CB1006" i="2"/>
  <c r="CC1006" i="2"/>
  <c r="CB1007" i="2"/>
  <c r="CC1007" i="2"/>
  <c r="CB1008" i="2"/>
  <c r="CC1008" i="2"/>
  <c r="CB1009" i="2"/>
  <c r="CC1009" i="2"/>
  <c r="CB1010" i="2"/>
  <c r="CC1010" i="2"/>
  <c r="CB1011" i="2"/>
  <c r="CC1011" i="2"/>
  <c r="CB1012" i="2"/>
  <c r="CC1012" i="2"/>
  <c r="CB1013" i="2"/>
  <c r="CC1013" i="2"/>
  <c r="CB1014" i="2"/>
  <c r="CC1014" i="2"/>
  <c r="CB1015" i="2"/>
  <c r="CC1015" i="2"/>
  <c r="CB1016" i="2"/>
  <c r="CC1016" i="2"/>
  <c r="CB1017" i="2"/>
  <c r="CC1017" i="2"/>
  <c r="CB1018" i="2"/>
  <c r="CC1018" i="2"/>
  <c r="CB1019" i="2"/>
  <c r="CC1019" i="2"/>
  <c r="CB1020" i="2"/>
  <c r="CC1020" i="2"/>
  <c r="CB1021" i="2"/>
  <c r="CC1021" i="2"/>
  <c r="CB1022" i="2"/>
  <c r="CC1022" i="2"/>
  <c r="CB1023" i="2"/>
  <c r="CC1023" i="2"/>
  <c r="CB1024" i="2"/>
  <c r="CC1024" i="2"/>
  <c r="CB1025" i="2"/>
  <c r="CC1025" i="2"/>
  <c r="CB1026" i="2"/>
  <c r="CC1026" i="2"/>
  <c r="CB1027" i="2"/>
  <c r="CC1027" i="2"/>
  <c r="CB1028" i="2"/>
  <c r="CC1028" i="2"/>
  <c r="CB1029" i="2"/>
  <c r="CC1029" i="2"/>
  <c r="CB1030" i="2"/>
  <c r="CC1030" i="2"/>
  <c r="CB1031" i="2"/>
  <c r="CC1031" i="2"/>
  <c r="CB1032" i="2"/>
  <c r="CC1032" i="2"/>
  <c r="CB1033" i="2"/>
  <c r="CC1033" i="2"/>
  <c r="CB1034" i="2"/>
  <c r="CC1034" i="2"/>
  <c r="CB1035" i="2"/>
  <c r="CC1035" i="2"/>
  <c r="CB1036" i="2"/>
  <c r="CC1036" i="2"/>
  <c r="CB1037" i="2"/>
  <c r="CC1037" i="2"/>
  <c r="CB1038" i="2"/>
  <c r="CC1038" i="2"/>
  <c r="CB1039" i="2"/>
  <c r="CC1039" i="2"/>
  <c r="CB1040" i="2"/>
  <c r="CC1040" i="2"/>
  <c r="CB1041" i="2"/>
  <c r="CC1041" i="2"/>
  <c r="CB1042" i="2"/>
  <c r="CC1042" i="2"/>
  <c r="CB1043" i="2"/>
  <c r="CC1043" i="2"/>
  <c r="CB1044" i="2"/>
  <c r="CC1044" i="2"/>
  <c r="CB1045" i="2"/>
  <c r="CC1045" i="2"/>
  <c r="CB1046" i="2"/>
  <c r="CC1046" i="2"/>
  <c r="CB1047" i="2"/>
  <c r="CC1047" i="2"/>
  <c r="CB1048" i="2"/>
  <c r="CC1048" i="2"/>
  <c r="CB1049" i="2"/>
  <c r="CC1049" i="2"/>
  <c r="CB1050" i="2"/>
  <c r="CC1050" i="2"/>
  <c r="CB1051" i="2"/>
  <c r="CC1051" i="2"/>
  <c r="CB1052" i="2"/>
  <c r="CC1052" i="2"/>
  <c r="CB1053" i="2"/>
  <c r="CC1053" i="2"/>
  <c r="CB1054" i="2"/>
  <c r="CC1054" i="2"/>
  <c r="CB1055" i="2"/>
  <c r="CC1055" i="2"/>
  <c r="CB1056" i="2"/>
  <c r="CC1056" i="2"/>
  <c r="CB1057" i="2"/>
  <c r="CC1057" i="2"/>
  <c r="CB1058" i="2"/>
  <c r="CC1058" i="2"/>
  <c r="CB1059" i="2"/>
  <c r="CC1059" i="2"/>
  <c r="CB1060" i="2"/>
  <c r="CC1060" i="2"/>
  <c r="CB1061" i="2"/>
  <c r="CC1061" i="2"/>
  <c r="CB1062" i="2"/>
  <c r="CC1062" i="2"/>
  <c r="CB1063" i="2"/>
  <c r="CC1063" i="2"/>
  <c r="CB1064" i="2"/>
  <c r="CC1064" i="2"/>
  <c r="CB1065" i="2"/>
  <c r="CC1065" i="2"/>
  <c r="CB1066" i="2"/>
  <c r="CC1066" i="2"/>
  <c r="CB1067" i="2"/>
  <c r="CC1067" i="2"/>
  <c r="CB1068" i="2"/>
  <c r="CC1068" i="2"/>
  <c r="CB1069" i="2"/>
  <c r="CC1069" i="2"/>
  <c r="CB1070" i="2"/>
  <c r="CC1070" i="2"/>
  <c r="CB1071" i="2"/>
  <c r="CC1071" i="2"/>
  <c r="CB1072" i="2"/>
  <c r="CC1072" i="2"/>
  <c r="CB1073" i="2"/>
  <c r="CC1073" i="2"/>
  <c r="CB1074" i="2"/>
  <c r="CC1074" i="2"/>
  <c r="CB1075" i="2"/>
  <c r="CC1075" i="2"/>
  <c r="CB1076" i="2"/>
  <c r="CC1076" i="2"/>
  <c r="CB1077" i="2"/>
  <c r="CC1077" i="2"/>
  <c r="CB1078" i="2"/>
  <c r="CC1078" i="2"/>
  <c r="CB1079" i="2"/>
  <c r="CC1079" i="2"/>
  <c r="CB1080" i="2"/>
  <c r="CC1080" i="2"/>
  <c r="CB1081" i="2"/>
  <c r="CC1081" i="2"/>
  <c r="CB1082" i="2"/>
  <c r="CC1082" i="2"/>
  <c r="CB1083" i="2"/>
  <c r="CC1083" i="2"/>
  <c r="CB1084" i="2"/>
  <c r="CC1084" i="2"/>
  <c r="CB1085" i="2"/>
  <c r="CC1085" i="2"/>
  <c r="CB1086" i="2"/>
  <c r="CC1086" i="2"/>
  <c r="CB1087" i="2"/>
  <c r="CC1087" i="2"/>
  <c r="CB1088" i="2"/>
  <c r="CC1088" i="2"/>
  <c r="CB1089" i="2"/>
  <c r="CC1089" i="2"/>
  <c r="CB1090" i="2"/>
  <c r="CC1090" i="2"/>
  <c r="CB1091" i="2"/>
  <c r="CC1091" i="2"/>
  <c r="CB1092" i="2"/>
  <c r="CC1092" i="2"/>
  <c r="CB1093" i="2"/>
  <c r="CC1093" i="2"/>
  <c r="CB1094" i="2"/>
  <c r="CC1094" i="2"/>
  <c r="CB1095" i="2"/>
  <c r="CC1095" i="2"/>
  <c r="CB1096" i="2"/>
  <c r="CC1096" i="2"/>
  <c r="CB1097" i="2"/>
  <c r="CC1097" i="2"/>
  <c r="CB1098" i="2"/>
  <c r="CC1098" i="2"/>
  <c r="CB1099" i="2"/>
  <c r="CC1099" i="2"/>
  <c r="CB1100" i="2"/>
  <c r="CC1100" i="2"/>
  <c r="CB1101" i="2"/>
  <c r="CC1101" i="2"/>
  <c r="CB1102" i="2"/>
  <c r="CC1102" i="2"/>
  <c r="CB1103" i="2"/>
  <c r="CC1103" i="2"/>
  <c r="CB1104" i="2"/>
  <c r="CC1104" i="2"/>
  <c r="CB1105" i="2"/>
  <c r="CC1105" i="2"/>
  <c r="CB1106" i="2"/>
  <c r="CC1106" i="2"/>
  <c r="CB1107" i="2"/>
  <c r="CC1107" i="2"/>
  <c r="CB1108" i="2"/>
  <c r="CC1108" i="2"/>
  <c r="CB1109" i="2"/>
  <c r="CC1109" i="2"/>
  <c r="CB1110" i="2"/>
  <c r="CC1110" i="2"/>
  <c r="CB1111" i="2"/>
  <c r="CC1111" i="2"/>
  <c r="CB1112" i="2"/>
  <c r="CC1112" i="2"/>
  <c r="CB1113" i="2"/>
  <c r="CC1113" i="2"/>
  <c r="CB1114" i="2"/>
  <c r="CC1114" i="2"/>
  <c r="CB1115" i="2"/>
  <c r="CC1115" i="2"/>
  <c r="CB1116" i="2"/>
  <c r="CC1116" i="2"/>
  <c r="CB1117" i="2"/>
  <c r="CC1117" i="2"/>
  <c r="CB1118" i="2"/>
  <c r="CC1118" i="2"/>
  <c r="CB1119" i="2"/>
  <c r="CC1119" i="2"/>
  <c r="CB1120" i="2"/>
  <c r="CC1120" i="2"/>
  <c r="CB1121" i="2"/>
  <c r="CC1121" i="2"/>
  <c r="CB1122" i="2"/>
  <c r="CC1122" i="2"/>
  <c r="CB1123" i="2"/>
  <c r="CC1123" i="2"/>
  <c r="CB1124" i="2"/>
  <c r="CC1124" i="2"/>
  <c r="CB1125" i="2"/>
  <c r="CC1125" i="2"/>
  <c r="CB1126" i="2"/>
  <c r="CC1126" i="2"/>
  <c r="CB1127" i="2"/>
  <c r="CC1127" i="2"/>
  <c r="CB1128" i="2"/>
  <c r="CC1128" i="2"/>
  <c r="CB1129" i="2"/>
  <c r="CC1129" i="2"/>
  <c r="CB1130" i="2"/>
  <c r="CC1130" i="2"/>
  <c r="CB1131" i="2"/>
  <c r="CC1131" i="2"/>
  <c r="CB1132" i="2"/>
  <c r="CC1132" i="2"/>
  <c r="CB1133" i="2"/>
  <c r="CC1133" i="2"/>
  <c r="CB1134" i="2"/>
  <c r="CC1134" i="2"/>
  <c r="CB1135" i="2"/>
  <c r="CC1135" i="2"/>
  <c r="CB1136" i="2"/>
  <c r="CC1136" i="2"/>
  <c r="CB1137" i="2"/>
  <c r="CC1137" i="2"/>
  <c r="CB1138" i="2"/>
  <c r="CC1138" i="2"/>
  <c r="CB1139" i="2"/>
  <c r="CC1139" i="2"/>
  <c r="CB1140" i="2"/>
  <c r="CC1140" i="2"/>
  <c r="CB1141" i="2"/>
  <c r="CC1141" i="2"/>
  <c r="CB1142" i="2"/>
  <c r="CC1142" i="2"/>
  <c r="CB1143" i="2"/>
  <c r="CC1143" i="2"/>
  <c r="CB1144" i="2"/>
  <c r="CC1144" i="2"/>
  <c r="CB1145" i="2"/>
  <c r="CC1145" i="2"/>
  <c r="CB1146" i="2"/>
  <c r="CC1146" i="2"/>
  <c r="CB1147" i="2"/>
  <c r="CC1147" i="2"/>
  <c r="CB1148" i="2"/>
  <c r="CC1148" i="2"/>
  <c r="CB1149" i="2"/>
  <c r="CC1149" i="2"/>
  <c r="CB1150" i="2"/>
  <c r="CC1150" i="2"/>
  <c r="CB1151" i="2"/>
  <c r="CC1151" i="2"/>
  <c r="CB1152" i="2"/>
  <c r="CC1152" i="2"/>
  <c r="CB1153" i="2"/>
  <c r="CC1153" i="2"/>
  <c r="CB1154" i="2"/>
  <c r="CC1154" i="2"/>
  <c r="CB1155" i="2"/>
  <c r="CC1155" i="2"/>
  <c r="CB1156" i="2"/>
  <c r="CC1156" i="2"/>
  <c r="CB1157" i="2"/>
  <c r="CC1157" i="2"/>
  <c r="CB1158" i="2"/>
  <c r="CC1158" i="2"/>
  <c r="CB1159" i="2"/>
  <c r="CC1159" i="2"/>
  <c r="CB1160" i="2"/>
  <c r="CC1160" i="2"/>
  <c r="CB1161" i="2"/>
  <c r="CC1161" i="2"/>
  <c r="CB1162" i="2"/>
  <c r="CC1162" i="2"/>
  <c r="CB1163" i="2"/>
  <c r="CC1163" i="2"/>
  <c r="CB1164" i="2"/>
  <c r="CC1164" i="2"/>
  <c r="CB1165" i="2"/>
  <c r="CC1165" i="2"/>
  <c r="CB1166" i="2"/>
  <c r="CC1166" i="2"/>
  <c r="CB1167" i="2"/>
  <c r="CC1167" i="2"/>
  <c r="CB1168" i="2"/>
  <c r="CC1168" i="2"/>
  <c r="CB1169" i="2"/>
  <c r="CC1169" i="2"/>
  <c r="CB1170" i="2"/>
  <c r="CC1170" i="2"/>
  <c r="CB1171" i="2"/>
  <c r="CC1171" i="2"/>
  <c r="CB1172" i="2"/>
  <c r="CC1172" i="2"/>
  <c r="CB1173" i="2"/>
  <c r="CC1173" i="2"/>
  <c r="CB1174" i="2"/>
  <c r="CC1174" i="2"/>
  <c r="CB1175" i="2"/>
  <c r="CC1175" i="2"/>
  <c r="CB1176" i="2"/>
  <c r="CC1176" i="2"/>
  <c r="CB1177" i="2"/>
  <c r="CC1177" i="2"/>
  <c r="CB1178" i="2"/>
  <c r="CC1178" i="2"/>
  <c r="CB1179" i="2"/>
  <c r="CC1179" i="2"/>
  <c r="CB1180" i="2"/>
  <c r="CC1180" i="2"/>
  <c r="CB1181" i="2"/>
  <c r="CC1181" i="2"/>
  <c r="CB1182" i="2"/>
  <c r="CC1182" i="2"/>
  <c r="CB1183" i="2"/>
  <c r="CC1183" i="2"/>
  <c r="CB1184" i="2"/>
  <c r="CC1184" i="2"/>
  <c r="CB1185" i="2"/>
  <c r="CC1185" i="2"/>
  <c r="CB1186" i="2"/>
  <c r="CC1186" i="2"/>
  <c r="CB1187" i="2"/>
  <c r="CC1187" i="2"/>
  <c r="CB1188" i="2"/>
  <c r="CC1188" i="2"/>
  <c r="CB1189" i="2"/>
  <c r="CC1189" i="2"/>
  <c r="CB1190" i="2"/>
  <c r="CC1190" i="2"/>
  <c r="CB1191" i="2"/>
  <c r="CC1191" i="2"/>
  <c r="CB1192" i="2"/>
  <c r="CC1192" i="2"/>
  <c r="CB1193" i="2"/>
  <c r="CC1193" i="2"/>
  <c r="CB1194" i="2"/>
  <c r="CC1194" i="2"/>
  <c r="CB1195" i="2"/>
  <c r="CC1195" i="2"/>
  <c r="CB1196" i="2"/>
  <c r="CC1196" i="2"/>
  <c r="CB1197" i="2"/>
  <c r="CC1197" i="2"/>
  <c r="CB1198" i="2"/>
  <c r="CC1198" i="2"/>
  <c r="CB1199" i="2"/>
  <c r="CC1199" i="2"/>
  <c r="CB1200" i="2"/>
  <c r="CC1200" i="2"/>
  <c r="CB1201" i="2"/>
  <c r="CC1201" i="2"/>
  <c r="CB1202" i="2"/>
  <c r="CC1202" i="2"/>
  <c r="CB1203" i="2"/>
  <c r="CC1203" i="2"/>
  <c r="CB1204" i="2"/>
  <c r="CC1204" i="2"/>
  <c r="CB1205" i="2"/>
  <c r="CC1205" i="2"/>
  <c r="CB1206" i="2"/>
  <c r="CC1206" i="2"/>
  <c r="CB1207" i="2"/>
  <c r="CC1207" i="2"/>
  <c r="DF17" i="3"/>
  <c r="DG17" i="3"/>
  <c r="DF18" i="3"/>
  <c r="DG18" i="3"/>
  <c r="DF19" i="3"/>
  <c r="DG19" i="3"/>
  <c r="DF20" i="3"/>
  <c r="DG20" i="3"/>
  <c r="DF21" i="3"/>
  <c r="DG21" i="3"/>
  <c r="DF22" i="3"/>
  <c r="DG22" i="3"/>
  <c r="DF23" i="3"/>
  <c r="DG23" i="3"/>
  <c r="DF24" i="3"/>
  <c r="DG24" i="3"/>
  <c r="DF25" i="3"/>
  <c r="DG25" i="3"/>
  <c r="DF26" i="3"/>
  <c r="DG26" i="3"/>
  <c r="DF27" i="3"/>
  <c r="DG27" i="3"/>
  <c r="DF28" i="3"/>
  <c r="DG28" i="3"/>
  <c r="DF29" i="3"/>
  <c r="DG29" i="3"/>
  <c r="DF30" i="3"/>
  <c r="DG30" i="3"/>
  <c r="DF31" i="3"/>
  <c r="DG31" i="3"/>
  <c r="DF32" i="3"/>
  <c r="DG32" i="3"/>
  <c r="DF33" i="3"/>
  <c r="DG33" i="3"/>
  <c r="DF34" i="3"/>
  <c r="DG34" i="3"/>
  <c r="DF35" i="3"/>
  <c r="DG35" i="3"/>
  <c r="DF36" i="3"/>
  <c r="DG36" i="3"/>
  <c r="DF37" i="3"/>
  <c r="DG37" i="3"/>
  <c r="DF38" i="3"/>
  <c r="DG38" i="3"/>
  <c r="DF39" i="3"/>
  <c r="DG39" i="3"/>
  <c r="DF40" i="3"/>
  <c r="DG40" i="3"/>
  <c r="DF41" i="3"/>
  <c r="DG41" i="3"/>
  <c r="DF42" i="3"/>
  <c r="DG42" i="3"/>
  <c r="DF43" i="3"/>
  <c r="DG43" i="3"/>
  <c r="DF44" i="3"/>
  <c r="DG44" i="3"/>
  <c r="DF45" i="3"/>
  <c r="DG45" i="3"/>
  <c r="DF46" i="3"/>
  <c r="DG46" i="3"/>
  <c r="DF47" i="3"/>
  <c r="DG47" i="3"/>
  <c r="DF48" i="3"/>
  <c r="DG48" i="3"/>
  <c r="DF49" i="3"/>
  <c r="DG49" i="3"/>
  <c r="DF50" i="3"/>
  <c r="DG50" i="3"/>
  <c r="DF51" i="3"/>
  <c r="DG51" i="3"/>
  <c r="DF52" i="3"/>
  <c r="DG52" i="3"/>
  <c r="DF53" i="3"/>
  <c r="DG53" i="3"/>
  <c r="DF54" i="3"/>
  <c r="DG54" i="3"/>
  <c r="DF55" i="3"/>
  <c r="DG55" i="3"/>
  <c r="DF56" i="3"/>
  <c r="DG56" i="3"/>
  <c r="DF57" i="3"/>
  <c r="DG57" i="3"/>
  <c r="DF58" i="3"/>
  <c r="DG58" i="3"/>
  <c r="DF59" i="3"/>
  <c r="DG59" i="3"/>
  <c r="DF60" i="3"/>
  <c r="DG60" i="3"/>
  <c r="DF61" i="3"/>
  <c r="DG61" i="3"/>
  <c r="DF62" i="3"/>
  <c r="DG62" i="3"/>
  <c r="DF63" i="3"/>
  <c r="DG63" i="3"/>
  <c r="DF64" i="3"/>
  <c r="DG64" i="3"/>
  <c r="DF65" i="3"/>
  <c r="DG65" i="3"/>
  <c r="DF66" i="3"/>
  <c r="DG66" i="3"/>
  <c r="DF67" i="3"/>
  <c r="DG67" i="3"/>
  <c r="DF68" i="3"/>
  <c r="DG68" i="3"/>
  <c r="DF69" i="3"/>
  <c r="DG69" i="3"/>
  <c r="DF70" i="3"/>
  <c r="DG70" i="3"/>
  <c r="DF71" i="3"/>
  <c r="DG71" i="3"/>
  <c r="DF72" i="3"/>
  <c r="DG72" i="3"/>
  <c r="DF73" i="3"/>
  <c r="DG73" i="3"/>
  <c r="DF74" i="3"/>
  <c r="DG74" i="3"/>
  <c r="DF75" i="3"/>
  <c r="DG75" i="3"/>
  <c r="DF76" i="3"/>
  <c r="DG76" i="3"/>
  <c r="DF77" i="3"/>
  <c r="DG77" i="3"/>
  <c r="DF78" i="3"/>
  <c r="DG78" i="3"/>
  <c r="DF79" i="3"/>
  <c r="DG79" i="3"/>
  <c r="DF80" i="3"/>
  <c r="DG80" i="3"/>
  <c r="DF81" i="3"/>
  <c r="DG81" i="3"/>
  <c r="DF82" i="3"/>
  <c r="DG82" i="3"/>
  <c r="DF83" i="3"/>
  <c r="DG83" i="3"/>
  <c r="DF84" i="3"/>
  <c r="DG84" i="3"/>
  <c r="DF85" i="3"/>
  <c r="DG85" i="3"/>
  <c r="DF86" i="3"/>
  <c r="DG86" i="3"/>
  <c r="DF87" i="3"/>
  <c r="DG87" i="3"/>
  <c r="DF88" i="3"/>
  <c r="DG88" i="3"/>
  <c r="DF89" i="3"/>
  <c r="DG89" i="3"/>
  <c r="DF90" i="3"/>
  <c r="DG90" i="3"/>
  <c r="DF91" i="3"/>
  <c r="DG91" i="3"/>
  <c r="DF92" i="3"/>
  <c r="DG92" i="3"/>
  <c r="DF93" i="3"/>
  <c r="DG93" i="3"/>
  <c r="DF94" i="3"/>
  <c r="DG94" i="3"/>
  <c r="DF95" i="3"/>
  <c r="DG95" i="3"/>
  <c r="DF96" i="3"/>
  <c r="DG96" i="3"/>
  <c r="DF97" i="3"/>
  <c r="DG97" i="3"/>
  <c r="DF98" i="3"/>
  <c r="DG98" i="3"/>
  <c r="DF99" i="3"/>
  <c r="DG99" i="3"/>
  <c r="DF100" i="3"/>
  <c r="DG100" i="3"/>
  <c r="DF101" i="3"/>
  <c r="DG101" i="3"/>
  <c r="DF102" i="3"/>
  <c r="DG102" i="3"/>
  <c r="DF103" i="3"/>
  <c r="DG103" i="3"/>
  <c r="DF104" i="3"/>
  <c r="DG104" i="3"/>
  <c r="DF105" i="3"/>
  <c r="DG105" i="3"/>
  <c r="DF106" i="3"/>
  <c r="DG106" i="3"/>
  <c r="DF107" i="3"/>
  <c r="DG107" i="3"/>
  <c r="DF108" i="3"/>
  <c r="DG108" i="3"/>
  <c r="DF109" i="3"/>
  <c r="DG109" i="3"/>
  <c r="DF110" i="3"/>
  <c r="DG110" i="3"/>
  <c r="DF111" i="3"/>
  <c r="DG111" i="3"/>
  <c r="DF112" i="3"/>
  <c r="DG112" i="3"/>
  <c r="DF113" i="3"/>
  <c r="DG113" i="3"/>
  <c r="DF114" i="3"/>
  <c r="DG114" i="3"/>
  <c r="DF115" i="3"/>
  <c r="DG115" i="3"/>
  <c r="DF116" i="3"/>
  <c r="DG116" i="3"/>
  <c r="DF117" i="3"/>
  <c r="DG117" i="3"/>
  <c r="DF118" i="3"/>
  <c r="DG118" i="3"/>
  <c r="DF119" i="3"/>
  <c r="DG119" i="3"/>
  <c r="DF120" i="3"/>
  <c r="DG120" i="3"/>
  <c r="DF121" i="3"/>
  <c r="DG121" i="3"/>
  <c r="DF122" i="3"/>
  <c r="DG122" i="3"/>
  <c r="DF123" i="3"/>
  <c r="DG123" i="3"/>
  <c r="DF124" i="3"/>
  <c r="DG124" i="3"/>
  <c r="DF125" i="3"/>
  <c r="DG125" i="3"/>
  <c r="DF126" i="3"/>
  <c r="DG126" i="3"/>
  <c r="DF127" i="3"/>
  <c r="DG127" i="3"/>
  <c r="DF128" i="3"/>
  <c r="DG128" i="3"/>
  <c r="DF129" i="3"/>
  <c r="DG129" i="3"/>
  <c r="DF130" i="3"/>
  <c r="DG130" i="3"/>
  <c r="DF131" i="3"/>
  <c r="DG131" i="3"/>
  <c r="DF132" i="3"/>
  <c r="DG132" i="3"/>
  <c r="DF133" i="3"/>
  <c r="DG133" i="3"/>
  <c r="DF134" i="3"/>
  <c r="DG134" i="3"/>
  <c r="DF135" i="3"/>
  <c r="DG135" i="3"/>
  <c r="DF136" i="3"/>
  <c r="DG136" i="3"/>
  <c r="DF137" i="3"/>
  <c r="DG137" i="3"/>
  <c r="DF138" i="3"/>
  <c r="DG138" i="3"/>
  <c r="DF139" i="3"/>
  <c r="DG139" i="3"/>
  <c r="DF140" i="3"/>
  <c r="DG140" i="3"/>
  <c r="DF141" i="3"/>
  <c r="DG141" i="3"/>
  <c r="DF142" i="3"/>
  <c r="DG142" i="3"/>
  <c r="DF143" i="3"/>
  <c r="DG143" i="3"/>
  <c r="DF144" i="3"/>
  <c r="DG144" i="3"/>
  <c r="DF145" i="3"/>
  <c r="DG145" i="3"/>
  <c r="DF146" i="3"/>
  <c r="DG146" i="3"/>
  <c r="DF147" i="3"/>
  <c r="DG147" i="3"/>
  <c r="DF148" i="3"/>
  <c r="DG148" i="3"/>
  <c r="DF149" i="3"/>
  <c r="DG149" i="3"/>
  <c r="DF150" i="3"/>
  <c r="DG150" i="3"/>
  <c r="DF151" i="3"/>
  <c r="DG151" i="3"/>
  <c r="DF152" i="3"/>
  <c r="DG152" i="3"/>
  <c r="DF153" i="3"/>
  <c r="DG153" i="3"/>
  <c r="DF154" i="3"/>
  <c r="DG154" i="3"/>
  <c r="DF155" i="3"/>
  <c r="DG155" i="3"/>
  <c r="DF156" i="3"/>
  <c r="DG156" i="3"/>
  <c r="DF157" i="3"/>
  <c r="DG157" i="3"/>
  <c r="DF158" i="3"/>
  <c r="DG158" i="3"/>
  <c r="DF159" i="3"/>
  <c r="DG159" i="3"/>
  <c r="DF160" i="3"/>
  <c r="DG160" i="3"/>
  <c r="DF161" i="3"/>
  <c r="DG161" i="3"/>
  <c r="DF162" i="3"/>
  <c r="DG162" i="3"/>
  <c r="DF163" i="3"/>
  <c r="DG163" i="3"/>
  <c r="DF164" i="3"/>
  <c r="DG164" i="3"/>
  <c r="DF165" i="3"/>
  <c r="DG165" i="3"/>
  <c r="DF166" i="3"/>
  <c r="DG166" i="3"/>
  <c r="DF167" i="3"/>
  <c r="DG167" i="3"/>
  <c r="DF168" i="3"/>
  <c r="DG168" i="3"/>
  <c r="DF169" i="3"/>
  <c r="DG169" i="3"/>
  <c r="DF170" i="3"/>
  <c r="DG170" i="3"/>
  <c r="DF171" i="3"/>
  <c r="DG171" i="3"/>
  <c r="DF172" i="3"/>
  <c r="DG172" i="3"/>
  <c r="DF173" i="3"/>
  <c r="DG173" i="3"/>
  <c r="DF174" i="3"/>
  <c r="DG174" i="3"/>
  <c r="DF175" i="3"/>
  <c r="DG175" i="3"/>
  <c r="DF176" i="3"/>
  <c r="DG176" i="3"/>
  <c r="DF177" i="3"/>
  <c r="DG177" i="3"/>
  <c r="DF178" i="3"/>
  <c r="DG178" i="3"/>
  <c r="DF179" i="3"/>
  <c r="DG179" i="3"/>
  <c r="DF180" i="3"/>
  <c r="DG180" i="3"/>
  <c r="DF181" i="3"/>
  <c r="DG181" i="3"/>
  <c r="DF182" i="3"/>
  <c r="DG182" i="3"/>
  <c r="DF183" i="3"/>
  <c r="DG183" i="3"/>
  <c r="DF184" i="3"/>
  <c r="DG184" i="3"/>
  <c r="DF185" i="3"/>
  <c r="DG185" i="3"/>
  <c r="DF186" i="3"/>
  <c r="DG186" i="3"/>
  <c r="DF187" i="3"/>
  <c r="DG187" i="3"/>
  <c r="DF188" i="3"/>
  <c r="DG188" i="3"/>
  <c r="DF189" i="3"/>
  <c r="DG189" i="3"/>
  <c r="DF190" i="3"/>
  <c r="DG190" i="3"/>
  <c r="DF191" i="3"/>
  <c r="DG191" i="3"/>
  <c r="DF192" i="3"/>
  <c r="DG192" i="3"/>
  <c r="DF193" i="3"/>
  <c r="DG193" i="3"/>
  <c r="DF194" i="3"/>
  <c r="DG194" i="3"/>
  <c r="DF195" i="3"/>
  <c r="DG195" i="3"/>
  <c r="DF196" i="3"/>
  <c r="DG196" i="3"/>
  <c r="DF197" i="3"/>
  <c r="DG197" i="3"/>
  <c r="DF198" i="3"/>
  <c r="DG198" i="3"/>
  <c r="DF199" i="3"/>
  <c r="DG199" i="3"/>
  <c r="DF200" i="3"/>
  <c r="DG200" i="3"/>
  <c r="DF201" i="3"/>
  <c r="DG201" i="3"/>
  <c r="DF202" i="3"/>
  <c r="DG202" i="3"/>
  <c r="DF203" i="3"/>
  <c r="DG203" i="3"/>
  <c r="DF204" i="3"/>
  <c r="DG204" i="3"/>
  <c r="DF205" i="3"/>
  <c r="DG205" i="3"/>
  <c r="DF206" i="3"/>
  <c r="DG206" i="3"/>
  <c r="DF207" i="3"/>
  <c r="DG207" i="3"/>
  <c r="DF208" i="3"/>
  <c r="DG208" i="3"/>
  <c r="DF209" i="3"/>
  <c r="DG209" i="3"/>
  <c r="DF210" i="3"/>
  <c r="DG210" i="3"/>
  <c r="DF211" i="3"/>
  <c r="DG211" i="3"/>
  <c r="DF212" i="3"/>
  <c r="DG212" i="3"/>
  <c r="DF213" i="3"/>
  <c r="DG213" i="3"/>
  <c r="DF214" i="3"/>
  <c r="DG214" i="3"/>
  <c r="DF215" i="3"/>
  <c r="DG215" i="3"/>
  <c r="DF216" i="3"/>
  <c r="DG216" i="3"/>
  <c r="DF217" i="3"/>
  <c r="DG217" i="3"/>
  <c r="DF218" i="3"/>
  <c r="DG218" i="3"/>
  <c r="DF219" i="3"/>
  <c r="DG219" i="3"/>
  <c r="DF220" i="3"/>
  <c r="DG220" i="3"/>
  <c r="DF221" i="3"/>
  <c r="DG221" i="3"/>
  <c r="DF222" i="3"/>
  <c r="DG222" i="3"/>
  <c r="DF223" i="3"/>
  <c r="DG223" i="3"/>
  <c r="DF224" i="3"/>
  <c r="DG224" i="3"/>
  <c r="DF225" i="3"/>
  <c r="DG225" i="3"/>
  <c r="DF226" i="3"/>
  <c r="DG226" i="3"/>
  <c r="DF227" i="3"/>
  <c r="DG227" i="3"/>
  <c r="DF228" i="3"/>
  <c r="DG228" i="3"/>
  <c r="DF229" i="3"/>
  <c r="DG229" i="3"/>
  <c r="DF230" i="3"/>
  <c r="DG230" i="3"/>
  <c r="DF231" i="3"/>
  <c r="DG231" i="3"/>
  <c r="DF232" i="3"/>
  <c r="DG232" i="3"/>
  <c r="DF233" i="3"/>
  <c r="DG233" i="3"/>
  <c r="DF234" i="3"/>
  <c r="DG234" i="3"/>
  <c r="DF235" i="3"/>
  <c r="DG235" i="3"/>
  <c r="DF236" i="3"/>
  <c r="DG236" i="3"/>
  <c r="DF237" i="3"/>
  <c r="DG237" i="3"/>
  <c r="DF238" i="3"/>
  <c r="DG238" i="3"/>
  <c r="DF239" i="3"/>
  <c r="DG239" i="3"/>
  <c r="DF240" i="3"/>
  <c r="DG240" i="3"/>
  <c r="DF241" i="3"/>
  <c r="DG241" i="3"/>
  <c r="DF242" i="3"/>
  <c r="DG242" i="3"/>
  <c r="DF243" i="3"/>
  <c r="DG243" i="3"/>
  <c r="DF244" i="3"/>
  <c r="DG244" i="3"/>
  <c r="DF245" i="3"/>
  <c r="DG245" i="3"/>
  <c r="DF246" i="3"/>
  <c r="DG246" i="3"/>
  <c r="DF247" i="3"/>
  <c r="DG247" i="3"/>
  <c r="DF248" i="3"/>
  <c r="DG248" i="3"/>
  <c r="DF249" i="3"/>
  <c r="DG249" i="3"/>
  <c r="DF250" i="3"/>
  <c r="DG250" i="3"/>
  <c r="DF251" i="3"/>
  <c r="DG251" i="3"/>
  <c r="DF252" i="3"/>
  <c r="DG252" i="3"/>
  <c r="DF253" i="3"/>
  <c r="DG253" i="3"/>
  <c r="DF254" i="3"/>
  <c r="DG254" i="3"/>
  <c r="DF255" i="3"/>
  <c r="DG255" i="3"/>
  <c r="DF256" i="3"/>
  <c r="DG256" i="3"/>
  <c r="DF257" i="3"/>
  <c r="DG257" i="3"/>
  <c r="DF258" i="3"/>
  <c r="DG258" i="3"/>
  <c r="DF259" i="3"/>
  <c r="DG259" i="3"/>
  <c r="DF260" i="3"/>
  <c r="DG260" i="3"/>
  <c r="DF261" i="3"/>
  <c r="DG261" i="3"/>
  <c r="DF262" i="3"/>
  <c r="DG262" i="3"/>
  <c r="DF263" i="3"/>
  <c r="DG263" i="3"/>
  <c r="DF264" i="3"/>
  <c r="DG264" i="3"/>
  <c r="DF265" i="3"/>
  <c r="DG265" i="3"/>
  <c r="DF266" i="3"/>
  <c r="DG266" i="3"/>
  <c r="DF267" i="3"/>
  <c r="DG267" i="3"/>
  <c r="DF268" i="3"/>
  <c r="DG268" i="3"/>
  <c r="DF269" i="3"/>
  <c r="DG269" i="3"/>
  <c r="DF270" i="3"/>
  <c r="DG270" i="3"/>
  <c r="DF271" i="3"/>
  <c r="DG271" i="3"/>
  <c r="DF272" i="3"/>
  <c r="DG272" i="3"/>
  <c r="DF273" i="3"/>
  <c r="DG273" i="3"/>
  <c r="DF274" i="3"/>
  <c r="DG274" i="3"/>
  <c r="DF275" i="3"/>
  <c r="DG275" i="3"/>
  <c r="DF276" i="3"/>
  <c r="DG276" i="3"/>
  <c r="DF277" i="3"/>
  <c r="DG277" i="3"/>
  <c r="DF278" i="3"/>
  <c r="DG278" i="3"/>
  <c r="DF279" i="3"/>
  <c r="DG279" i="3"/>
  <c r="DF280" i="3"/>
  <c r="DG280" i="3"/>
  <c r="DF281" i="3"/>
  <c r="DG281" i="3"/>
  <c r="DF282" i="3"/>
  <c r="DG282" i="3"/>
  <c r="DF283" i="3"/>
  <c r="DG283" i="3"/>
  <c r="DF284" i="3"/>
  <c r="DG284" i="3"/>
  <c r="DF285" i="3"/>
  <c r="DG285" i="3"/>
  <c r="DF286" i="3"/>
  <c r="DG286" i="3"/>
  <c r="DF287" i="3"/>
  <c r="DG287" i="3"/>
  <c r="DF288" i="3"/>
  <c r="DG288" i="3"/>
  <c r="DF289" i="3"/>
  <c r="DG289" i="3"/>
  <c r="DF290" i="3"/>
  <c r="DG290" i="3"/>
  <c r="DF291" i="3"/>
  <c r="DG291" i="3"/>
  <c r="DF292" i="3"/>
  <c r="DG292" i="3"/>
  <c r="DF293" i="3"/>
  <c r="DG293" i="3"/>
  <c r="DF294" i="3"/>
  <c r="DG294" i="3"/>
  <c r="DF295" i="3"/>
  <c r="DG295" i="3"/>
  <c r="DF296" i="3"/>
  <c r="DG296" i="3"/>
  <c r="DF297" i="3"/>
  <c r="DG297" i="3"/>
  <c r="DF298" i="3"/>
  <c r="DG298" i="3"/>
  <c r="DF299" i="3"/>
  <c r="DG299" i="3"/>
  <c r="DF300" i="3"/>
  <c r="DG300" i="3"/>
  <c r="DF301" i="3"/>
  <c r="DG301" i="3"/>
  <c r="DF302" i="3"/>
  <c r="DG302" i="3"/>
  <c r="DF303" i="3"/>
  <c r="DG303" i="3"/>
  <c r="DF304" i="3"/>
  <c r="DG304" i="3"/>
  <c r="DF305" i="3"/>
  <c r="DG305" i="3"/>
  <c r="DF306" i="3"/>
  <c r="DG306" i="3"/>
  <c r="DF307" i="3"/>
  <c r="DG307" i="3"/>
  <c r="DF308" i="3"/>
  <c r="DG308" i="3"/>
  <c r="DF309" i="3"/>
  <c r="DG309" i="3"/>
  <c r="DF310" i="3"/>
  <c r="DG310" i="3"/>
  <c r="DF311" i="3"/>
  <c r="DG311" i="3"/>
  <c r="DF312" i="3"/>
  <c r="DG312" i="3"/>
  <c r="DF313" i="3"/>
  <c r="DG313" i="3"/>
  <c r="DF314" i="3"/>
  <c r="DG314" i="3"/>
  <c r="DF315" i="3"/>
  <c r="DG315" i="3"/>
  <c r="DF316" i="3"/>
  <c r="DG316" i="3"/>
  <c r="DF317" i="3"/>
  <c r="DG317" i="3"/>
  <c r="DF318" i="3"/>
  <c r="DG318" i="3"/>
  <c r="DF319" i="3"/>
  <c r="DG319" i="3"/>
  <c r="DF320" i="3"/>
  <c r="DG320" i="3"/>
  <c r="DF321" i="3"/>
  <c r="DG321" i="3"/>
  <c r="DF322" i="3"/>
  <c r="DG322" i="3"/>
  <c r="DF323" i="3"/>
  <c r="DG323" i="3"/>
  <c r="DF324" i="3"/>
  <c r="DG324" i="3"/>
  <c r="DF325" i="3"/>
  <c r="DG325" i="3"/>
  <c r="DF326" i="3"/>
  <c r="DG326" i="3"/>
  <c r="DF327" i="3"/>
  <c r="DG327" i="3"/>
  <c r="DF328" i="3"/>
  <c r="DG328" i="3"/>
  <c r="DF329" i="3"/>
  <c r="DG329" i="3"/>
  <c r="DF330" i="3"/>
  <c r="DG330" i="3"/>
  <c r="DF331" i="3"/>
  <c r="DG331" i="3"/>
  <c r="DF332" i="3"/>
  <c r="DG332" i="3"/>
  <c r="DF333" i="3"/>
  <c r="DG333" i="3"/>
  <c r="DF334" i="3"/>
  <c r="DG334" i="3"/>
  <c r="DF335" i="3"/>
  <c r="DG335" i="3"/>
  <c r="DF336" i="3"/>
  <c r="DG336" i="3"/>
  <c r="DF337" i="3"/>
  <c r="DG337" i="3"/>
  <c r="DF338" i="3"/>
  <c r="DG338" i="3"/>
  <c r="DF339" i="3"/>
  <c r="DG339" i="3"/>
  <c r="DF340" i="3"/>
  <c r="DG340" i="3"/>
  <c r="DF341" i="3"/>
  <c r="DG341" i="3"/>
  <c r="DF342" i="3"/>
  <c r="DG342" i="3"/>
  <c r="DF343" i="3"/>
  <c r="DG343" i="3"/>
  <c r="DF344" i="3"/>
  <c r="DG344" i="3"/>
  <c r="DF345" i="3"/>
  <c r="DG345" i="3"/>
  <c r="DF346" i="3"/>
  <c r="DG346" i="3"/>
  <c r="DF347" i="3"/>
  <c r="DG347" i="3"/>
  <c r="DF348" i="3"/>
  <c r="DG348" i="3"/>
  <c r="DF349" i="3"/>
  <c r="DG349" i="3"/>
  <c r="DF350" i="3"/>
  <c r="DG350" i="3"/>
  <c r="DF351" i="3"/>
  <c r="DG351" i="3"/>
  <c r="DF352" i="3"/>
  <c r="DG352" i="3"/>
  <c r="DF353" i="3"/>
  <c r="DG353" i="3"/>
  <c r="DF354" i="3"/>
  <c r="DG354" i="3"/>
  <c r="DF355" i="3"/>
  <c r="DG355" i="3"/>
  <c r="DF356" i="3"/>
  <c r="DG356" i="3"/>
  <c r="DF357" i="3"/>
  <c r="DG357" i="3"/>
  <c r="DF358" i="3"/>
  <c r="DG358" i="3"/>
  <c r="DF359" i="3"/>
  <c r="DG359" i="3"/>
  <c r="DF360" i="3"/>
  <c r="DG360" i="3"/>
  <c r="DF361" i="3"/>
  <c r="DG361" i="3"/>
  <c r="DF362" i="3"/>
  <c r="DG362" i="3"/>
  <c r="DF363" i="3"/>
  <c r="DG363" i="3"/>
  <c r="DF364" i="3"/>
  <c r="DG364" i="3"/>
  <c r="DF365" i="3"/>
  <c r="DG365" i="3"/>
  <c r="DF366" i="3"/>
  <c r="DG366" i="3"/>
  <c r="DF367" i="3"/>
  <c r="DG367" i="3"/>
  <c r="DF368" i="3"/>
  <c r="DG368" i="3"/>
  <c r="DF369" i="3"/>
  <c r="DG369" i="3"/>
  <c r="DF370" i="3"/>
  <c r="DG370" i="3"/>
  <c r="DF371" i="3"/>
  <c r="DG371" i="3"/>
  <c r="DF372" i="3"/>
  <c r="DG372" i="3"/>
  <c r="DF373" i="3"/>
  <c r="DG373" i="3"/>
  <c r="DF374" i="3"/>
  <c r="DG374" i="3"/>
  <c r="DF375" i="3"/>
  <c r="DG375" i="3"/>
  <c r="DF376" i="3"/>
  <c r="DG376" i="3"/>
  <c r="DF377" i="3"/>
  <c r="DG377" i="3"/>
  <c r="DF378" i="3"/>
  <c r="DG378" i="3"/>
  <c r="DF379" i="3"/>
  <c r="DG379" i="3"/>
  <c r="DF380" i="3"/>
  <c r="DG380" i="3"/>
  <c r="DF381" i="3"/>
  <c r="DG381" i="3"/>
  <c r="DF382" i="3"/>
  <c r="DG382" i="3"/>
  <c r="DF383" i="3"/>
  <c r="DG383" i="3"/>
  <c r="DF384" i="3"/>
  <c r="DG384" i="3"/>
  <c r="DF385" i="3"/>
  <c r="DG385" i="3"/>
  <c r="DF386" i="3"/>
  <c r="DG386" i="3"/>
  <c r="DF387" i="3"/>
  <c r="DG387" i="3"/>
  <c r="DF388" i="3"/>
  <c r="DG388" i="3"/>
  <c r="DF389" i="3"/>
  <c r="DG389" i="3"/>
  <c r="DF390" i="3"/>
  <c r="DG390" i="3"/>
  <c r="DF391" i="3"/>
  <c r="DG391" i="3"/>
  <c r="DF392" i="3"/>
  <c r="DG392" i="3"/>
  <c r="DF393" i="3"/>
  <c r="DG393" i="3"/>
  <c r="DF394" i="3"/>
  <c r="DG394" i="3"/>
  <c r="DF395" i="3"/>
  <c r="DG395" i="3"/>
  <c r="DF396" i="3"/>
  <c r="DG396" i="3"/>
  <c r="DF397" i="3"/>
  <c r="DG397" i="3"/>
  <c r="DF398" i="3"/>
  <c r="DG398" i="3"/>
  <c r="DF399" i="3"/>
  <c r="DG399" i="3"/>
  <c r="DF400" i="3"/>
  <c r="DG400" i="3"/>
  <c r="DF401" i="3"/>
  <c r="DG401" i="3"/>
  <c r="DF402" i="3"/>
  <c r="DG402" i="3"/>
  <c r="DF403" i="3"/>
  <c r="DG403" i="3"/>
  <c r="DF404" i="3"/>
  <c r="DG404" i="3"/>
  <c r="DF405" i="3"/>
  <c r="DG405" i="3"/>
  <c r="DF406" i="3"/>
  <c r="DG406" i="3"/>
  <c r="DF407" i="3"/>
  <c r="DG407" i="3"/>
  <c r="DF408" i="3"/>
  <c r="DG408" i="3"/>
  <c r="DF409" i="3"/>
  <c r="DG409" i="3"/>
  <c r="DF410" i="3"/>
  <c r="DG410" i="3"/>
  <c r="DF411" i="3"/>
  <c r="DG411" i="3"/>
  <c r="DF412" i="3"/>
  <c r="DG412" i="3"/>
  <c r="DF413" i="3"/>
  <c r="DG413" i="3"/>
  <c r="DF414" i="3"/>
  <c r="DG414" i="3"/>
  <c r="DF415" i="3"/>
  <c r="DG415" i="3"/>
  <c r="DF416" i="3"/>
  <c r="DG416" i="3"/>
  <c r="DF417" i="3"/>
  <c r="DG417" i="3"/>
  <c r="DF418" i="3"/>
  <c r="DG418" i="3"/>
  <c r="DF419" i="3"/>
  <c r="DG419" i="3"/>
  <c r="DF420" i="3"/>
  <c r="DG420" i="3"/>
  <c r="DF421" i="3"/>
  <c r="DG421" i="3"/>
  <c r="DF422" i="3"/>
  <c r="DG422" i="3"/>
  <c r="DF423" i="3"/>
  <c r="DG423" i="3"/>
  <c r="DF424" i="3"/>
  <c r="DG424" i="3"/>
  <c r="DF425" i="3"/>
  <c r="DG425" i="3"/>
  <c r="DF426" i="3"/>
  <c r="DG426" i="3"/>
  <c r="DF427" i="3"/>
  <c r="DG427" i="3"/>
  <c r="DF428" i="3"/>
  <c r="DG428" i="3"/>
  <c r="DF429" i="3"/>
  <c r="DG429" i="3"/>
  <c r="DF430" i="3"/>
  <c r="DG430" i="3"/>
  <c r="DF431" i="3"/>
  <c r="DG431" i="3"/>
  <c r="DF432" i="3"/>
  <c r="DG432" i="3"/>
  <c r="DF433" i="3"/>
  <c r="DG433" i="3"/>
  <c r="DF434" i="3"/>
  <c r="DG434" i="3"/>
  <c r="DF435" i="3"/>
  <c r="DG435" i="3"/>
  <c r="DF436" i="3"/>
  <c r="DG436" i="3"/>
  <c r="DF437" i="3"/>
  <c r="DG437" i="3"/>
  <c r="DF438" i="3"/>
  <c r="DG438" i="3"/>
  <c r="DF439" i="3"/>
  <c r="DG439" i="3"/>
  <c r="DF440" i="3"/>
  <c r="DG440" i="3"/>
  <c r="DF441" i="3"/>
  <c r="DG441" i="3"/>
  <c r="DF442" i="3"/>
  <c r="DG442" i="3"/>
  <c r="DF443" i="3"/>
  <c r="DG443" i="3"/>
  <c r="DF444" i="3"/>
  <c r="DG444" i="3"/>
  <c r="DF445" i="3"/>
  <c r="DG445" i="3"/>
  <c r="DF446" i="3"/>
  <c r="DG446" i="3"/>
  <c r="DF447" i="3"/>
  <c r="DG447" i="3"/>
  <c r="DF448" i="3"/>
  <c r="DG448" i="3"/>
  <c r="DF449" i="3"/>
  <c r="DG449" i="3"/>
  <c r="DF450" i="3"/>
  <c r="DG450" i="3"/>
  <c r="DF451" i="3"/>
  <c r="DG451" i="3"/>
  <c r="DF452" i="3"/>
  <c r="DG452" i="3"/>
  <c r="DF453" i="3"/>
  <c r="DG453" i="3"/>
  <c r="DF454" i="3"/>
  <c r="DG454" i="3"/>
  <c r="DF455" i="3"/>
  <c r="DG455" i="3"/>
  <c r="DF456" i="3"/>
  <c r="DG456" i="3"/>
  <c r="DF457" i="3"/>
  <c r="DG457" i="3"/>
  <c r="DF458" i="3"/>
  <c r="DG458" i="3"/>
  <c r="DF459" i="3"/>
  <c r="DG459" i="3"/>
  <c r="DF460" i="3"/>
  <c r="DG460" i="3"/>
  <c r="DF461" i="3"/>
  <c r="DG461" i="3"/>
  <c r="DF462" i="3"/>
  <c r="DG462" i="3"/>
  <c r="DF463" i="3"/>
  <c r="DG463" i="3"/>
  <c r="DF464" i="3"/>
  <c r="DG464" i="3"/>
  <c r="DF465" i="3"/>
  <c r="DG465" i="3"/>
  <c r="DF466" i="3"/>
  <c r="DG466" i="3"/>
  <c r="DF467" i="3"/>
  <c r="DG467" i="3"/>
  <c r="DF468" i="3"/>
  <c r="DG468" i="3"/>
  <c r="DF469" i="3"/>
  <c r="DG469" i="3"/>
  <c r="DF470" i="3"/>
  <c r="DG470" i="3"/>
  <c r="DF471" i="3"/>
  <c r="DG471" i="3"/>
  <c r="DF472" i="3"/>
  <c r="DG472" i="3"/>
  <c r="DF473" i="3"/>
  <c r="DG473" i="3"/>
  <c r="DF474" i="3"/>
  <c r="DG474" i="3"/>
  <c r="DF475" i="3"/>
  <c r="DG475" i="3"/>
  <c r="DF476" i="3"/>
  <c r="DG476" i="3"/>
  <c r="DF477" i="3"/>
  <c r="DG477" i="3"/>
  <c r="DF478" i="3"/>
  <c r="DG478" i="3"/>
  <c r="DF479" i="3"/>
  <c r="DG479" i="3"/>
  <c r="DF480" i="3"/>
  <c r="DG480" i="3"/>
  <c r="DF481" i="3"/>
  <c r="DG481" i="3"/>
  <c r="DF482" i="3"/>
  <c r="DG482" i="3"/>
  <c r="DF483" i="3"/>
  <c r="DG483" i="3"/>
  <c r="DF484" i="3"/>
  <c r="DG484" i="3"/>
  <c r="DF485" i="3"/>
  <c r="DG485" i="3"/>
  <c r="DF486" i="3"/>
  <c r="DG486" i="3"/>
  <c r="DF487" i="3"/>
  <c r="DG487" i="3"/>
  <c r="DF488" i="3"/>
  <c r="DG488" i="3"/>
  <c r="DF489" i="3"/>
  <c r="DG489" i="3"/>
  <c r="DF490" i="3"/>
  <c r="DG490" i="3"/>
  <c r="DF491" i="3"/>
  <c r="DG491" i="3"/>
  <c r="DF492" i="3"/>
  <c r="DG492" i="3"/>
  <c r="DF493" i="3"/>
  <c r="DG493" i="3"/>
  <c r="DF494" i="3"/>
  <c r="DG494" i="3"/>
  <c r="DF495" i="3"/>
  <c r="DG495" i="3"/>
  <c r="DF496" i="3"/>
  <c r="DG496" i="3"/>
  <c r="DF497" i="3"/>
  <c r="DG497" i="3"/>
  <c r="DF498" i="3"/>
  <c r="DG498" i="3"/>
  <c r="DF499" i="3"/>
  <c r="DG499" i="3"/>
  <c r="DF500" i="3"/>
  <c r="DG500" i="3"/>
  <c r="DF501" i="3"/>
  <c r="DG501" i="3"/>
  <c r="DF502" i="3"/>
  <c r="DG502" i="3"/>
  <c r="DF503" i="3"/>
  <c r="DG503" i="3"/>
  <c r="DF504" i="3"/>
  <c r="DG504" i="3"/>
  <c r="DF505" i="3"/>
  <c r="DG505" i="3"/>
  <c r="DF506" i="3"/>
  <c r="DG506" i="3"/>
  <c r="DF507" i="3"/>
  <c r="DG507" i="3"/>
  <c r="DF508" i="3"/>
  <c r="DG508" i="3"/>
  <c r="DF509" i="3"/>
  <c r="DG509" i="3"/>
  <c r="DF510" i="3"/>
  <c r="DG510" i="3"/>
  <c r="DF511" i="3"/>
  <c r="DG511" i="3"/>
  <c r="DF512" i="3"/>
  <c r="DG512" i="3"/>
  <c r="DF513" i="3"/>
  <c r="DG513" i="3"/>
  <c r="DF514" i="3"/>
  <c r="DG514" i="3"/>
  <c r="DF515" i="3"/>
  <c r="DG515" i="3"/>
  <c r="DF516" i="3"/>
  <c r="DG516" i="3"/>
  <c r="DF517" i="3"/>
  <c r="DG517" i="3"/>
  <c r="DF518" i="3"/>
  <c r="DG518" i="3"/>
  <c r="DF519" i="3"/>
  <c r="DG519" i="3"/>
  <c r="DF520" i="3"/>
  <c r="DG520" i="3"/>
  <c r="DF521" i="3"/>
  <c r="DG521" i="3"/>
  <c r="DF522" i="3"/>
  <c r="DG522" i="3"/>
  <c r="DF523" i="3"/>
  <c r="DG523" i="3"/>
  <c r="DF524" i="3"/>
  <c r="DG524" i="3"/>
  <c r="DF525" i="3"/>
  <c r="DG525" i="3"/>
  <c r="DF526" i="3"/>
  <c r="DG526" i="3"/>
  <c r="DF527" i="3"/>
  <c r="DG527" i="3"/>
  <c r="DF528" i="3"/>
  <c r="DG528" i="3"/>
  <c r="DF529" i="3"/>
  <c r="DG529" i="3"/>
  <c r="DF530" i="3"/>
  <c r="DG530" i="3"/>
  <c r="DF531" i="3"/>
  <c r="DG531" i="3"/>
  <c r="DF532" i="3"/>
  <c r="DG532" i="3"/>
  <c r="DF533" i="3"/>
  <c r="DG533" i="3"/>
  <c r="DF534" i="3"/>
  <c r="DG534" i="3"/>
  <c r="DF535" i="3"/>
  <c r="DG535" i="3"/>
  <c r="DF536" i="3"/>
  <c r="DG536" i="3"/>
  <c r="DF537" i="3"/>
  <c r="DG537" i="3"/>
  <c r="DF538" i="3"/>
  <c r="DG538" i="3"/>
  <c r="DF539" i="3"/>
  <c r="DG539" i="3"/>
  <c r="DF540" i="3"/>
  <c r="DG540" i="3"/>
  <c r="DF541" i="3"/>
  <c r="DG541" i="3"/>
  <c r="DF542" i="3"/>
  <c r="DG542" i="3"/>
  <c r="DF543" i="3"/>
  <c r="DG543" i="3"/>
  <c r="DF544" i="3"/>
  <c r="DG544" i="3"/>
  <c r="DF545" i="3"/>
  <c r="DG545" i="3"/>
  <c r="DF546" i="3"/>
  <c r="DG546" i="3"/>
  <c r="DF547" i="3"/>
  <c r="DG547" i="3"/>
  <c r="DF548" i="3"/>
  <c r="DG548" i="3"/>
  <c r="DF549" i="3"/>
  <c r="DG549" i="3"/>
  <c r="DF550" i="3"/>
  <c r="DG550" i="3"/>
  <c r="DF551" i="3"/>
  <c r="DG551" i="3"/>
  <c r="DF552" i="3"/>
  <c r="DG552" i="3"/>
  <c r="DF553" i="3"/>
  <c r="DG553" i="3"/>
  <c r="DF554" i="3"/>
  <c r="DG554" i="3"/>
  <c r="DF555" i="3"/>
  <c r="DG555" i="3"/>
  <c r="DF556" i="3"/>
  <c r="DG556" i="3"/>
  <c r="DF557" i="3"/>
  <c r="DG557" i="3"/>
  <c r="DF558" i="3"/>
  <c r="DG558" i="3"/>
  <c r="DF559" i="3"/>
  <c r="DG559" i="3"/>
  <c r="DF560" i="3"/>
  <c r="DG560" i="3"/>
  <c r="DF561" i="3"/>
  <c r="DG561" i="3"/>
  <c r="DF562" i="3"/>
  <c r="DG562" i="3"/>
  <c r="DF563" i="3"/>
  <c r="DG563" i="3"/>
  <c r="DF564" i="3"/>
  <c r="DG564" i="3"/>
  <c r="DF565" i="3"/>
  <c r="DG565" i="3"/>
  <c r="DF566" i="3"/>
  <c r="DG566" i="3"/>
  <c r="DF567" i="3"/>
  <c r="DG567" i="3"/>
  <c r="DF568" i="3"/>
  <c r="DG568" i="3"/>
  <c r="DF569" i="3"/>
  <c r="DG569" i="3"/>
  <c r="DF570" i="3"/>
  <c r="DG570" i="3"/>
  <c r="DF571" i="3"/>
  <c r="DG571" i="3"/>
  <c r="DF572" i="3"/>
  <c r="DG572" i="3"/>
  <c r="DF573" i="3"/>
  <c r="DG573" i="3"/>
  <c r="DF574" i="3"/>
  <c r="DG574" i="3"/>
  <c r="DF575" i="3"/>
  <c r="DG575" i="3"/>
  <c r="DF576" i="3"/>
  <c r="DG576" i="3"/>
  <c r="DF577" i="3"/>
  <c r="DG577" i="3"/>
  <c r="DF578" i="3"/>
  <c r="DG578" i="3"/>
  <c r="DF579" i="3"/>
  <c r="DG579" i="3"/>
  <c r="DF580" i="3"/>
  <c r="DG580" i="3"/>
  <c r="DF581" i="3"/>
  <c r="DG581" i="3"/>
  <c r="DF582" i="3"/>
  <c r="DG582" i="3"/>
  <c r="DF583" i="3"/>
  <c r="DG583" i="3"/>
  <c r="DF584" i="3"/>
  <c r="DG584" i="3"/>
  <c r="DF585" i="3"/>
  <c r="DG585" i="3"/>
  <c r="DF586" i="3"/>
  <c r="DG586" i="3"/>
  <c r="DF587" i="3"/>
  <c r="DG587" i="3"/>
  <c r="DF588" i="3"/>
  <c r="DG588" i="3"/>
  <c r="DF589" i="3"/>
  <c r="DG589" i="3"/>
  <c r="DF590" i="3"/>
  <c r="DG590" i="3"/>
  <c r="DF591" i="3"/>
  <c r="DG591" i="3"/>
  <c r="DF592" i="3"/>
  <c r="DG592" i="3"/>
  <c r="DF593" i="3"/>
  <c r="DG593" i="3"/>
  <c r="DF594" i="3"/>
  <c r="DG594" i="3"/>
  <c r="DF595" i="3"/>
  <c r="DG595" i="3"/>
  <c r="DF596" i="3"/>
  <c r="DG596" i="3"/>
  <c r="DF597" i="3"/>
  <c r="DG597" i="3"/>
  <c r="DF598" i="3"/>
  <c r="DG598" i="3"/>
  <c r="DF599" i="3"/>
  <c r="DG599" i="3"/>
  <c r="DF600" i="3"/>
  <c r="DG600" i="3"/>
  <c r="DF601" i="3"/>
  <c r="DG601" i="3"/>
  <c r="DF602" i="3"/>
  <c r="DG602" i="3"/>
  <c r="DF603" i="3"/>
  <c r="DG603" i="3"/>
  <c r="DF604" i="3"/>
  <c r="DG604" i="3"/>
  <c r="DF605" i="3"/>
  <c r="DG605" i="3"/>
  <c r="DF606" i="3"/>
  <c r="DG606" i="3"/>
  <c r="DF607" i="3"/>
  <c r="DG607" i="3"/>
  <c r="DF608" i="3"/>
  <c r="DG608" i="3"/>
  <c r="DF609" i="3"/>
  <c r="DG609" i="3"/>
  <c r="DF610" i="3"/>
  <c r="DG610" i="3"/>
  <c r="DF611" i="3"/>
  <c r="DG611" i="3"/>
  <c r="DF612" i="3"/>
  <c r="DG612" i="3"/>
  <c r="DF613" i="3"/>
  <c r="DG613" i="3"/>
  <c r="DF614" i="3"/>
  <c r="DG614" i="3"/>
  <c r="DF615" i="3"/>
  <c r="DG615" i="3"/>
  <c r="DF616" i="3"/>
  <c r="DG616" i="3"/>
  <c r="DF617" i="3"/>
  <c r="DG617" i="3"/>
  <c r="DF618" i="3"/>
  <c r="DG618" i="3"/>
  <c r="DF619" i="3"/>
  <c r="DG619" i="3"/>
  <c r="DF620" i="3"/>
  <c r="DG620" i="3"/>
  <c r="DF621" i="3"/>
  <c r="DG621" i="3"/>
  <c r="DF622" i="3"/>
  <c r="DG622" i="3"/>
  <c r="DF623" i="3"/>
  <c r="DG623" i="3"/>
  <c r="DF624" i="3"/>
  <c r="DG624" i="3"/>
  <c r="DF625" i="3"/>
  <c r="DG625" i="3"/>
  <c r="DF626" i="3"/>
  <c r="DG626" i="3"/>
  <c r="DF627" i="3"/>
  <c r="DG627" i="3"/>
  <c r="DF628" i="3"/>
  <c r="DG628" i="3"/>
  <c r="DF629" i="3"/>
  <c r="DG629" i="3"/>
  <c r="DF630" i="3"/>
  <c r="DG630" i="3"/>
  <c r="DF631" i="3"/>
  <c r="DG631" i="3"/>
  <c r="DF632" i="3"/>
  <c r="DG632" i="3"/>
  <c r="DF633" i="3"/>
  <c r="DG633" i="3"/>
  <c r="DF634" i="3"/>
  <c r="DG634" i="3"/>
  <c r="DF635" i="3"/>
  <c r="DG635" i="3"/>
  <c r="DF636" i="3"/>
  <c r="DG636" i="3"/>
  <c r="DF637" i="3"/>
  <c r="DG637" i="3"/>
  <c r="DF638" i="3"/>
  <c r="DG638" i="3"/>
  <c r="DF639" i="3"/>
  <c r="DG639" i="3"/>
  <c r="DF640" i="3"/>
  <c r="DG640" i="3"/>
  <c r="DF641" i="3"/>
  <c r="DG641" i="3"/>
  <c r="DF642" i="3"/>
  <c r="DG642" i="3"/>
  <c r="DF643" i="3"/>
  <c r="DG643" i="3"/>
  <c r="DF644" i="3"/>
  <c r="DG644" i="3"/>
  <c r="DF645" i="3"/>
  <c r="DG645" i="3"/>
  <c r="DF646" i="3"/>
  <c r="DG646" i="3"/>
  <c r="DF647" i="3"/>
  <c r="DG647" i="3"/>
  <c r="DF648" i="3"/>
  <c r="DG648" i="3"/>
  <c r="DF649" i="3"/>
  <c r="DG649" i="3"/>
  <c r="DF650" i="3"/>
  <c r="DG650" i="3"/>
  <c r="DF651" i="3"/>
  <c r="DG651" i="3"/>
  <c r="DF652" i="3"/>
  <c r="DG652" i="3"/>
  <c r="DF653" i="3"/>
  <c r="DG653" i="3"/>
  <c r="DF654" i="3"/>
  <c r="DG654" i="3"/>
  <c r="DF655" i="3"/>
  <c r="DG655" i="3"/>
  <c r="DF656" i="3"/>
  <c r="DG656" i="3"/>
  <c r="DF657" i="3"/>
  <c r="DG657" i="3"/>
  <c r="DF658" i="3"/>
  <c r="DG658" i="3"/>
  <c r="DF659" i="3"/>
  <c r="DG659" i="3"/>
  <c r="DF660" i="3"/>
  <c r="DG660" i="3"/>
  <c r="DF661" i="3"/>
  <c r="DG661" i="3"/>
  <c r="DF662" i="3"/>
  <c r="DG662" i="3"/>
  <c r="DF663" i="3"/>
  <c r="DG663" i="3"/>
  <c r="DF664" i="3"/>
  <c r="DG664" i="3"/>
  <c r="DF665" i="3"/>
  <c r="DG665" i="3"/>
  <c r="DF666" i="3"/>
  <c r="DG666" i="3"/>
  <c r="DF667" i="3"/>
  <c r="DG667" i="3"/>
  <c r="DF668" i="3"/>
  <c r="DG668" i="3"/>
  <c r="DF669" i="3"/>
  <c r="DG669" i="3"/>
  <c r="DF670" i="3"/>
  <c r="DG670" i="3"/>
  <c r="DF671" i="3"/>
  <c r="DG671" i="3"/>
  <c r="DF672" i="3"/>
  <c r="DG672" i="3"/>
  <c r="DF673" i="3"/>
  <c r="DG673" i="3"/>
  <c r="DF674" i="3"/>
  <c r="DG674" i="3"/>
  <c r="DF675" i="3"/>
  <c r="DG675" i="3"/>
  <c r="DF676" i="3"/>
  <c r="DG676" i="3"/>
  <c r="DF677" i="3"/>
  <c r="DG677" i="3"/>
  <c r="DF678" i="3"/>
  <c r="DG678" i="3"/>
  <c r="DF679" i="3"/>
  <c r="DG679" i="3"/>
  <c r="DF680" i="3"/>
  <c r="DG680" i="3"/>
  <c r="DF681" i="3"/>
  <c r="DG681" i="3"/>
  <c r="DF682" i="3"/>
  <c r="DG682" i="3"/>
  <c r="DF683" i="3"/>
  <c r="DG683" i="3"/>
  <c r="DF684" i="3"/>
  <c r="DG684" i="3"/>
  <c r="DF685" i="3"/>
  <c r="DG685" i="3"/>
  <c r="DF686" i="3"/>
  <c r="DG686" i="3"/>
  <c r="DF687" i="3"/>
  <c r="DG687" i="3"/>
  <c r="DF688" i="3"/>
  <c r="DG688" i="3"/>
  <c r="DF689" i="3"/>
  <c r="DG689" i="3"/>
  <c r="DF690" i="3"/>
  <c r="DG690" i="3"/>
  <c r="DF691" i="3"/>
  <c r="DG691" i="3"/>
  <c r="DF692" i="3"/>
  <c r="DG692" i="3"/>
  <c r="DF693" i="3"/>
  <c r="DG693" i="3"/>
  <c r="DF694" i="3"/>
  <c r="DG694" i="3"/>
  <c r="DF695" i="3"/>
  <c r="DG695" i="3"/>
  <c r="DF696" i="3"/>
  <c r="DG696" i="3"/>
  <c r="DF697" i="3"/>
  <c r="DG697" i="3"/>
  <c r="DF698" i="3"/>
  <c r="DG698" i="3"/>
  <c r="DF699" i="3"/>
  <c r="DG699" i="3"/>
  <c r="DF700" i="3"/>
  <c r="DG700" i="3"/>
  <c r="DF701" i="3"/>
  <c r="DG701" i="3"/>
  <c r="DF702" i="3"/>
  <c r="DG702" i="3"/>
  <c r="DF703" i="3"/>
  <c r="DG703" i="3"/>
  <c r="DF704" i="3"/>
  <c r="DG704" i="3"/>
  <c r="DF705" i="3"/>
  <c r="DG705" i="3"/>
  <c r="DF706" i="3"/>
  <c r="DG706" i="3"/>
  <c r="DF707" i="3"/>
  <c r="DG707" i="3"/>
  <c r="DF708" i="3"/>
  <c r="DG708" i="3"/>
  <c r="DF709" i="3"/>
  <c r="DG709" i="3"/>
  <c r="DF710" i="3"/>
  <c r="DG710" i="3"/>
  <c r="DF711" i="3"/>
  <c r="DG711" i="3"/>
  <c r="DF712" i="3"/>
  <c r="DG712" i="3"/>
  <c r="DF713" i="3"/>
  <c r="DG713" i="3"/>
  <c r="DF714" i="3"/>
  <c r="DG714" i="3"/>
  <c r="DF715" i="3"/>
  <c r="DG715" i="3"/>
  <c r="DF716" i="3"/>
  <c r="DG716" i="3"/>
  <c r="DF717" i="3"/>
  <c r="DG717" i="3"/>
  <c r="DF718" i="3"/>
  <c r="DG718" i="3"/>
  <c r="DF719" i="3"/>
  <c r="DG719" i="3"/>
  <c r="DF720" i="3"/>
  <c r="DG720" i="3"/>
  <c r="DF721" i="3"/>
  <c r="DG721" i="3"/>
  <c r="DF722" i="3"/>
  <c r="DG722" i="3"/>
  <c r="DF723" i="3"/>
  <c r="DG723" i="3"/>
  <c r="DF724" i="3"/>
  <c r="DG724" i="3"/>
  <c r="DF725" i="3"/>
  <c r="DG725" i="3"/>
  <c r="DF726" i="3"/>
  <c r="DG726" i="3"/>
  <c r="DF727" i="3"/>
  <c r="DG727" i="3"/>
  <c r="DF728" i="3"/>
  <c r="DG728" i="3"/>
  <c r="DF729" i="3"/>
  <c r="DG729" i="3"/>
  <c r="DF730" i="3"/>
  <c r="DG730" i="3"/>
  <c r="DF731" i="3"/>
  <c r="DG731" i="3"/>
  <c r="DF732" i="3"/>
  <c r="DG732" i="3"/>
  <c r="DF733" i="3"/>
  <c r="DG733" i="3"/>
  <c r="DF734" i="3"/>
  <c r="DG734" i="3"/>
  <c r="DF735" i="3"/>
  <c r="DG735" i="3"/>
  <c r="DF736" i="3"/>
  <c r="DG736" i="3"/>
  <c r="DF737" i="3"/>
  <c r="DG737" i="3"/>
  <c r="DF738" i="3"/>
  <c r="DG738" i="3"/>
  <c r="DF739" i="3"/>
  <c r="DG739" i="3"/>
  <c r="DF740" i="3"/>
  <c r="DG740" i="3"/>
  <c r="DF741" i="3"/>
  <c r="DG741" i="3"/>
  <c r="DF742" i="3"/>
  <c r="DG742" i="3"/>
  <c r="DF743" i="3"/>
  <c r="DG743" i="3"/>
  <c r="DF744" i="3"/>
  <c r="DG744" i="3"/>
  <c r="DF745" i="3"/>
  <c r="DG745" i="3"/>
  <c r="DF746" i="3"/>
  <c r="DG746" i="3"/>
  <c r="DF747" i="3"/>
  <c r="DG747" i="3"/>
  <c r="DF748" i="3"/>
  <c r="DG748" i="3"/>
  <c r="DF749" i="3"/>
  <c r="DG749" i="3"/>
  <c r="DF750" i="3"/>
  <c r="DG750" i="3"/>
  <c r="DF751" i="3"/>
  <c r="DG751" i="3"/>
  <c r="DF752" i="3"/>
  <c r="DG752" i="3"/>
  <c r="DF753" i="3"/>
  <c r="DG753" i="3"/>
  <c r="DF754" i="3"/>
  <c r="DG754" i="3"/>
  <c r="DF755" i="3"/>
  <c r="DG755" i="3"/>
  <c r="DF756" i="3"/>
  <c r="DG756" i="3"/>
  <c r="DF757" i="3"/>
  <c r="DG757" i="3"/>
  <c r="DF758" i="3"/>
  <c r="DG758" i="3"/>
  <c r="DF759" i="3"/>
  <c r="DG759" i="3"/>
  <c r="DF760" i="3"/>
  <c r="DG760" i="3"/>
  <c r="DF761" i="3"/>
  <c r="DG761" i="3"/>
  <c r="DF762" i="3"/>
  <c r="DG762" i="3"/>
  <c r="DF763" i="3"/>
  <c r="DG763" i="3"/>
  <c r="DF764" i="3"/>
  <c r="DG764" i="3"/>
  <c r="DF765" i="3"/>
  <c r="DG765" i="3"/>
  <c r="DF766" i="3"/>
  <c r="DG766" i="3"/>
  <c r="DF767" i="3"/>
  <c r="DG767" i="3"/>
  <c r="DF768" i="3"/>
  <c r="DG768" i="3"/>
  <c r="DF769" i="3"/>
  <c r="DG769" i="3"/>
  <c r="DF770" i="3"/>
  <c r="DG770" i="3"/>
  <c r="DF771" i="3"/>
  <c r="DG771" i="3"/>
  <c r="DF772" i="3"/>
  <c r="DG772" i="3"/>
  <c r="DF773" i="3"/>
  <c r="DG773" i="3"/>
  <c r="DF774" i="3"/>
  <c r="DG774" i="3"/>
  <c r="DF775" i="3"/>
  <c r="DG775" i="3"/>
  <c r="DF776" i="3"/>
  <c r="DG776" i="3"/>
  <c r="DF777" i="3"/>
  <c r="DG777" i="3"/>
  <c r="DF778" i="3"/>
  <c r="DG778" i="3"/>
  <c r="DF779" i="3"/>
  <c r="DG779" i="3"/>
  <c r="DF780" i="3"/>
  <c r="DG780" i="3"/>
  <c r="DF781" i="3"/>
  <c r="DG781" i="3"/>
  <c r="DF782" i="3"/>
  <c r="DG782" i="3"/>
  <c r="DF783" i="3"/>
  <c r="DG783" i="3"/>
  <c r="DF784" i="3"/>
  <c r="DG784" i="3"/>
  <c r="DF785" i="3"/>
  <c r="DG785" i="3"/>
  <c r="DF786" i="3"/>
  <c r="DG786" i="3"/>
  <c r="DF787" i="3"/>
  <c r="DG787" i="3"/>
  <c r="DF788" i="3"/>
  <c r="DG788" i="3"/>
  <c r="DF789" i="3"/>
  <c r="DG789" i="3"/>
  <c r="DF790" i="3"/>
  <c r="DG790" i="3"/>
  <c r="DF791" i="3"/>
  <c r="DG791" i="3"/>
  <c r="DF792" i="3"/>
  <c r="DG792" i="3"/>
  <c r="DF793" i="3"/>
  <c r="DG793" i="3"/>
  <c r="DF794" i="3"/>
  <c r="DG794" i="3"/>
  <c r="DF795" i="3"/>
  <c r="DG795" i="3"/>
  <c r="DF796" i="3"/>
  <c r="DG796" i="3"/>
  <c r="DF797" i="3"/>
  <c r="DG797" i="3"/>
  <c r="DF798" i="3"/>
  <c r="DG798" i="3"/>
  <c r="DF799" i="3"/>
  <c r="DG799" i="3"/>
  <c r="DF800" i="3"/>
  <c r="DG800" i="3"/>
  <c r="DF801" i="3"/>
  <c r="DG801" i="3"/>
  <c r="DF802" i="3"/>
  <c r="DG802" i="3"/>
  <c r="DF803" i="3"/>
  <c r="DG803" i="3"/>
  <c r="DF804" i="3"/>
  <c r="DG804" i="3"/>
  <c r="DF805" i="3"/>
  <c r="DG805" i="3"/>
  <c r="DF806" i="3"/>
  <c r="DG806" i="3"/>
  <c r="DF807" i="3"/>
  <c r="DG807" i="3"/>
  <c r="DF808" i="3"/>
  <c r="DG808" i="3"/>
  <c r="DF809" i="3"/>
  <c r="DG809" i="3"/>
  <c r="DF810" i="3"/>
  <c r="DG810" i="3"/>
  <c r="DF811" i="3"/>
  <c r="DG811" i="3"/>
  <c r="DF812" i="3"/>
  <c r="DG812" i="3"/>
  <c r="DF813" i="3"/>
  <c r="DG813" i="3"/>
  <c r="DF814" i="3"/>
  <c r="DG814" i="3"/>
  <c r="DF815" i="3"/>
  <c r="DG815" i="3"/>
  <c r="DF816" i="3"/>
  <c r="DG816" i="3"/>
  <c r="DF817" i="3"/>
  <c r="DG817" i="3"/>
  <c r="DF818" i="3"/>
  <c r="DG818" i="3"/>
  <c r="DF819" i="3"/>
  <c r="DG819" i="3"/>
  <c r="DF820" i="3"/>
  <c r="DG820" i="3"/>
  <c r="DF821" i="3"/>
  <c r="DG821" i="3"/>
  <c r="DF822" i="3"/>
  <c r="DG822" i="3"/>
  <c r="DF823" i="3"/>
  <c r="DG823" i="3"/>
  <c r="DF824" i="3"/>
  <c r="DG824" i="3"/>
  <c r="DF825" i="3"/>
  <c r="DG825" i="3"/>
  <c r="DF826" i="3"/>
  <c r="DG826" i="3"/>
  <c r="DF827" i="3"/>
  <c r="DG827" i="3"/>
  <c r="DF828" i="3"/>
  <c r="DG828" i="3"/>
  <c r="DF829" i="3"/>
  <c r="DG829" i="3"/>
  <c r="DF830" i="3"/>
  <c r="DG830" i="3"/>
  <c r="DF831" i="3"/>
  <c r="DG831" i="3"/>
  <c r="DF832" i="3"/>
  <c r="DG832" i="3"/>
  <c r="DF833" i="3"/>
  <c r="DG833" i="3"/>
  <c r="DF834" i="3"/>
  <c r="DG834" i="3"/>
  <c r="DF835" i="3"/>
  <c r="DG835" i="3"/>
  <c r="DF836" i="3"/>
  <c r="DG836" i="3"/>
  <c r="DF837" i="3"/>
  <c r="DG837" i="3"/>
  <c r="DF838" i="3"/>
  <c r="DG838" i="3"/>
  <c r="DF839" i="3"/>
  <c r="DG839" i="3"/>
  <c r="DF840" i="3"/>
  <c r="DG840" i="3"/>
  <c r="DF841" i="3"/>
  <c r="DG841" i="3"/>
  <c r="DF842" i="3"/>
  <c r="DG842" i="3"/>
  <c r="DF843" i="3"/>
  <c r="DG843" i="3"/>
  <c r="DF844" i="3"/>
  <c r="DG844" i="3"/>
  <c r="DF845" i="3"/>
  <c r="DG845" i="3"/>
  <c r="DF846" i="3"/>
  <c r="DG846" i="3"/>
  <c r="DF847" i="3"/>
  <c r="DG847" i="3"/>
  <c r="DF848" i="3"/>
  <c r="DG848" i="3"/>
  <c r="DF849" i="3"/>
  <c r="DG849" i="3"/>
  <c r="DF850" i="3"/>
  <c r="DG850" i="3"/>
  <c r="DF851" i="3"/>
  <c r="DG851" i="3"/>
  <c r="DF852" i="3"/>
  <c r="DG852" i="3"/>
  <c r="DF853" i="3"/>
  <c r="DG853" i="3"/>
  <c r="DF854" i="3"/>
  <c r="DG854" i="3"/>
  <c r="DF855" i="3"/>
  <c r="DG855" i="3"/>
  <c r="DF856" i="3"/>
  <c r="DG856" i="3"/>
  <c r="DF857" i="3"/>
  <c r="DG857" i="3"/>
  <c r="DF858" i="3"/>
  <c r="DG858" i="3"/>
  <c r="DF859" i="3"/>
  <c r="DG859" i="3"/>
  <c r="DF860" i="3"/>
  <c r="DG860" i="3"/>
  <c r="DF861" i="3"/>
  <c r="DG861" i="3"/>
  <c r="DF862" i="3"/>
  <c r="DG862" i="3"/>
  <c r="DF863" i="3"/>
  <c r="DG863" i="3"/>
  <c r="DF864" i="3"/>
  <c r="DG864" i="3"/>
  <c r="DF865" i="3"/>
  <c r="DG865" i="3"/>
  <c r="DF866" i="3"/>
  <c r="DG866" i="3"/>
  <c r="DF867" i="3"/>
  <c r="DG867" i="3"/>
  <c r="DF868" i="3"/>
  <c r="DG868" i="3"/>
  <c r="DF869" i="3"/>
  <c r="DG869" i="3"/>
  <c r="DF870" i="3"/>
  <c r="DG870" i="3"/>
  <c r="DF871" i="3"/>
  <c r="DG871" i="3"/>
  <c r="DF872" i="3"/>
  <c r="DG872" i="3"/>
  <c r="DF873" i="3"/>
  <c r="DG873" i="3"/>
  <c r="DF874" i="3"/>
  <c r="DG874" i="3"/>
  <c r="DF875" i="3"/>
  <c r="DG875" i="3"/>
  <c r="DF876" i="3"/>
  <c r="DG876" i="3"/>
  <c r="DF877" i="3"/>
  <c r="DG877" i="3"/>
  <c r="DF878" i="3"/>
  <c r="DG878" i="3"/>
  <c r="DF879" i="3"/>
  <c r="DG879" i="3"/>
  <c r="DF880" i="3"/>
  <c r="DG880" i="3"/>
  <c r="DF881" i="3"/>
  <c r="DG881" i="3"/>
  <c r="DF882" i="3"/>
  <c r="DG882" i="3"/>
  <c r="DF883" i="3"/>
  <c r="DG883" i="3"/>
  <c r="DF884" i="3"/>
  <c r="DG884" i="3"/>
  <c r="DF885" i="3"/>
  <c r="DG885" i="3"/>
  <c r="DF886" i="3"/>
  <c r="DG886" i="3"/>
  <c r="DF887" i="3"/>
  <c r="DG887" i="3"/>
  <c r="DF888" i="3"/>
  <c r="DG888" i="3"/>
  <c r="DF889" i="3"/>
  <c r="DG889" i="3"/>
  <c r="DF890" i="3"/>
  <c r="DG890" i="3"/>
  <c r="DF891" i="3"/>
  <c r="DG891" i="3"/>
  <c r="DF892" i="3"/>
  <c r="DG892" i="3"/>
  <c r="DF893" i="3"/>
  <c r="DG893" i="3"/>
  <c r="DF894" i="3"/>
  <c r="DG894" i="3"/>
  <c r="DF895" i="3"/>
  <c r="DG895" i="3"/>
  <c r="DF896" i="3"/>
  <c r="DG896" i="3"/>
  <c r="DF897" i="3"/>
  <c r="DG897" i="3"/>
  <c r="DF898" i="3"/>
  <c r="DG898" i="3"/>
  <c r="DF899" i="3"/>
  <c r="DG899" i="3"/>
  <c r="DF900" i="3"/>
  <c r="DG900" i="3"/>
  <c r="DF901" i="3"/>
  <c r="DG901" i="3"/>
  <c r="DF902" i="3"/>
  <c r="DG902" i="3"/>
  <c r="DF903" i="3"/>
  <c r="DG903" i="3"/>
  <c r="DF904" i="3"/>
  <c r="DG904" i="3"/>
  <c r="DF905" i="3"/>
  <c r="DG905" i="3"/>
  <c r="DF906" i="3"/>
  <c r="DG906" i="3"/>
  <c r="DF907" i="3"/>
  <c r="DG907" i="3"/>
  <c r="DF908" i="3"/>
  <c r="DG908" i="3"/>
  <c r="DF909" i="3"/>
  <c r="DG909" i="3"/>
  <c r="DF910" i="3"/>
  <c r="DG910" i="3"/>
  <c r="DF911" i="3"/>
  <c r="DG911" i="3"/>
  <c r="DF912" i="3"/>
  <c r="DG912" i="3"/>
  <c r="DF913" i="3"/>
  <c r="DG913" i="3"/>
  <c r="DF914" i="3"/>
  <c r="DG914" i="3"/>
  <c r="DF915" i="3"/>
  <c r="DG915" i="3"/>
  <c r="DF916" i="3"/>
  <c r="DG916" i="3"/>
  <c r="DF917" i="3"/>
  <c r="DG917" i="3"/>
  <c r="DF918" i="3"/>
  <c r="DG918" i="3"/>
  <c r="DF919" i="3"/>
  <c r="DG919" i="3"/>
  <c r="DF920" i="3"/>
  <c r="DG920" i="3"/>
  <c r="DF921" i="3"/>
  <c r="DG921" i="3"/>
  <c r="DF922" i="3"/>
  <c r="DG922" i="3"/>
  <c r="DF923" i="3"/>
  <c r="DG923" i="3"/>
  <c r="DF924" i="3"/>
  <c r="DG924" i="3"/>
  <c r="DF925" i="3"/>
  <c r="DG925" i="3"/>
  <c r="DF926" i="3"/>
  <c r="DG926" i="3"/>
  <c r="DF927" i="3"/>
  <c r="DG927" i="3"/>
  <c r="DF928" i="3"/>
  <c r="DG928" i="3"/>
  <c r="DF929" i="3"/>
  <c r="DG929" i="3"/>
  <c r="DF930" i="3"/>
  <c r="DG930" i="3"/>
  <c r="DF931" i="3"/>
  <c r="DG931" i="3"/>
  <c r="DF932" i="3"/>
  <c r="DG932" i="3"/>
  <c r="DF933" i="3"/>
  <c r="DG933" i="3"/>
  <c r="DF934" i="3"/>
  <c r="DG934" i="3"/>
  <c r="DF935" i="3"/>
  <c r="DG935" i="3"/>
  <c r="DF936" i="3"/>
  <c r="DG936" i="3"/>
  <c r="DF937" i="3"/>
  <c r="DG937" i="3"/>
  <c r="DF938" i="3"/>
  <c r="DG938" i="3"/>
  <c r="DF939" i="3"/>
  <c r="DG939" i="3"/>
  <c r="DF940" i="3"/>
  <c r="DG940" i="3"/>
  <c r="DF941" i="3"/>
  <c r="DG941" i="3"/>
  <c r="DF942" i="3"/>
  <c r="DG942" i="3"/>
  <c r="DF943" i="3"/>
  <c r="DG943" i="3"/>
  <c r="DF944" i="3"/>
  <c r="DG944" i="3"/>
  <c r="DF945" i="3"/>
  <c r="DG945" i="3"/>
  <c r="AT8" i="5" l="1"/>
  <c r="AB11" i="5"/>
  <c r="DM13" i="5"/>
  <c r="DM17" i="5"/>
  <c r="DM21" i="5"/>
  <c r="DM25" i="5"/>
  <c r="DM29" i="5"/>
  <c r="DM33" i="5"/>
  <c r="DM37" i="5"/>
  <c r="DM41" i="5"/>
  <c r="DM45" i="5"/>
  <c r="DM49" i="5"/>
  <c r="DM53" i="5"/>
  <c r="DM57" i="5"/>
  <c r="DM61" i="5"/>
  <c r="DM65" i="5"/>
  <c r="DM69" i="5"/>
  <c r="DM73" i="5"/>
  <c r="DM77" i="5"/>
  <c r="DM81" i="5"/>
  <c r="DM85" i="5"/>
  <c r="DM89" i="5"/>
  <c r="DM93" i="5"/>
  <c r="DM97" i="5"/>
  <c r="DM101" i="5"/>
  <c r="DM105" i="5"/>
  <c r="DM109" i="5"/>
  <c r="DM113" i="5"/>
  <c r="DM117" i="5"/>
  <c r="DM121" i="5"/>
  <c r="DM125" i="5"/>
  <c r="DM129" i="5"/>
  <c r="DM133" i="5"/>
  <c r="DM137" i="5"/>
  <c r="DM141" i="5"/>
  <c r="DM145" i="5"/>
  <c r="DM149" i="5"/>
  <c r="DM153" i="5"/>
  <c r="DM157" i="5"/>
  <c r="DM161" i="5"/>
  <c r="DM165" i="5"/>
  <c r="DM169" i="5"/>
  <c r="DM173" i="5"/>
  <c r="DM177" i="5"/>
  <c r="DM181" i="5"/>
  <c r="DM185" i="5"/>
  <c r="DM189" i="5"/>
  <c r="DM193" i="5"/>
  <c r="DM197" i="5"/>
  <c r="DM201" i="5"/>
  <c r="DM205" i="5"/>
  <c r="DM209" i="5"/>
  <c r="DM213" i="5"/>
  <c r="DM217" i="5"/>
  <c r="DM221" i="5"/>
  <c r="DM225" i="5"/>
  <c r="DM229" i="5"/>
  <c r="DM233" i="5"/>
  <c r="DM237" i="5"/>
  <c r="DM241" i="5"/>
  <c r="DM245" i="5"/>
  <c r="DM249" i="5"/>
  <c r="DM253" i="5"/>
  <c r="DM257" i="5"/>
  <c r="DM261" i="5"/>
  <c r="DM265" i="5"/>
  <c r="DM269" i="5"/>
  <c r="DM273" i="5"/>
  <c r="DM277" i="5"/>
  <c r="DM281" i="5"/>
  <c r="DM285" i="5"/>
  <c r="DM289" i="5"/>
  <c r="DM293" i="5"/>
  <c r="DM297" i="5"/>
  <c r="DM301" i="5"/>
  <c r="DM305" i="5"/>
  <c r="DM309" i="5"/>
  <c r="DM313" i="5"/>
  <c r="DM317" i="5"/>
  <c r="DM321" i="5"/>
  <c r="DM325" i="5"/>
  <c r="DM329" i="5"/>
  <c r="DM333" i="5"/>
  <c r="DM337" i="5"/>
  <c r="DM341" i="5"/>
  <c r="DM345" i="5"/>
  <c r="DM349" i="5"/>
  <c r="DM15" i="5"/>
  <c r="DM19" i="5"/>
  <c r="DM23" i="5"/>
  <c r="DM27" i="5"/>
  <c r="DM31" i="5"/>
  <c r="DM35" i="5"/>
  <c r="DM39" i="5"/>
  <c r="DM43" i="5"/>
  <c r="DM47" i="5"/>
  <c r="DM51" i="5"/>
  <c r="DM55" i="5"/>
  <c r="DM59" i="5"/>
  <c r="DM63" i="5"/>
  <c r="DM67" i="5"/>
  <c r="DM71" i="5"/>
  <c r="DM75" i="5"/>
  <c r="DM79" i="5"/>
  <c r="DM83" i="5"/>
  <c r="DM87" i="5"/>
  <c r="DM91" i="5"/>
  <c r="DM95" i="5"/>
  <c r="DM99" i="5"/>
  <c r="DM103" i="5"/>
  <c r="DM107" i="5"/>
  <c r="DM111" i="5"/>
  <c r="DM115" i="5"/>
  <c r="DM119" i="5"/>
  <c r="DM123" i="5"/>
  <c r="DM127" i="5"/>
  <c r="DM131" i="5"/>
  <c r="DM135" i="5"/>
  <c r="DM139" i="5"/>
  <c r="DM143" i="5"/>
  <c r="DM147" i="5"/>
  <c r="DM151" i="5"/>
  <c r="DM155" i="5"/>
  <c r="DM159" i="5"/>
  <c r="DM163" i="5"/>
  <c r="DM167" i="5"/>
  <c r="DM171" i="5"/>
  <c r="DM175" i="5"/>
  <c r="DM179" i="5"/>
  <c r="DM183" i="5"/>
  <c r="DM187" i="5"/>
  <c r="DM191" i="5"/>
  <c r="DM195" i="5"/>
  <c r="DM199" i="5"/>
  <c r="DM203" i="5"/>
  <c r="DM207" i="5"/>
  <c r="DM211" i="5"/>
  <c r="DM215" i="5"/>
  <c r="DM219" i="5"/>
  <c r="DM223" i="5"/>
  <c r="DM227" i="5"/>
  <c r="DM231" i="5"/>
  <c r="DM235" i="5"/>
  <c r="DM239" i="5"/>
  <c r="DM243" i="5"/>
  <c r="DM247" i="5"/>
  <c r="DM251" i="5"/>
  <c r="DM255" i="5"/>
  <c r="DM259" i="5"/>
  <c r="DM263" i="5"/>
  <c r="DM267" i="5"/>
  <c r="DM271" i="5"/>
  <c r="DM275" i="5"/>
  <c r="DM279" i="5"/>
  <c r="DM283" i="5"/>
  <c r="DM287" i="5"/>
  <c r="DM291" i="5"/>
  <c r="DM295" i="5"/>
  <c r="DM299" i="5"/>
  <c r="DM303" i="5"/>
  <c r="DM307" i="5"/>
  <c r="DM311" i="5"/>
  <c r="DM315" i="5"/>
  <c r="DM319" i="5"/>
  <c r="DM323" i="5"/>
  <c r="DM327" i="5"/>
  <c r="DM331" i="5"/>
  <c r="DM335" i="5"/>
  <c r="DM339" i="5"/>
  <c r="DM16" i="5"/>
  <c r="DM40" i="5"/>
  <c r="DM64" i="5"/>
  <c r="DM88" i="5"/>
  <c r="DM112" i="5"/>
  <c r="DM136" i="5"/>
  <c r="DM160" i="5"/>
  <c r="DM184" i="5"/>
  <c r="DM208" i="5"/>
  <c r="DM232" i="5"/>
  <c r="DM256" i="5"/>
  <c r="DM280" i="5"/>
  <c r="DM304" i="5"/>
  <c r="DM328" i="5"/>
  <c r="DM351" i="5"/>
  <c r="DM355" i="5"/>
  <c r="DM359" i="5"/>
  <c r="DM363" i="5"/>
  <c r="DM367" i="5"/>
  <c r="DM371" i="5"/>
  <c r="DM375" i="5"/>
  <c r="DM379" i="5"/>
  <c r="DM383" i="5"/>
  <c r="DM387" i="5"/>
  <c r="DM26" i="5"/>
  <c r="DM50" i="5"/>
  <c r="DM74" i="5"/>
  <c r="DM98" i="5"/>
  <c r="DM122" i="5"/>
  <c r="DM146" i="5"/>
  <c r="DM170" i="5"/>
  <c r="DM194" i="5"/>
  <c r="DM218" i="5"/>
  <c r="DM242" i="5"/>
  <c r="DM266" i="5"/>
  <c r="DM290" i="5"/>
  <c r="DM314" i="5"/>
  <c r="DM338" i="5"/>
  <c r="DM347" i="5"/>
  <c r="DM12" i="5"/>
  <c r="DM36" i="5"/>
  <c r="DM60" i="5"/>
  <c r="DM84" i="5"/>
  <c r="DM108" i="5"/>
  <c r="DM132" i="5"/>
  <c r="DM156" i="5"/>
  <c r="DM180" i="5"/>
  <c r="DM204" i="5"/>
  <c r="DM228" i="5"/>
  <c r="DM252" i="5"/>
  <c r="DM276" i="5"/>
  <c r="DM300" i="5"/>
  <c r="DM324" i="5"/>
  <c r="DM343" i="5"/>
  <c r="DM22" i="5"/>
  <c r="DM46" i="5"/>
  <c r="DM70" i="5"/>
  <c r="DM94" i="5"/>
  <c r="DM118" i="5"/>
  <c r="DM142" i="5"/>
  <c r="DM166" i="5"/>
  <c r="DM190" i="5"/>
  <c r="DM214" i="5"/>
  <c r="DM238" i="5"/>
  <c r="DM262" i="5"/>
  <c r="DM286" i="5"/>
  <c r="DM310" i="5"/>
  <c r="DM334" i="5"/>
  <c r="DM352" i="5"/>
  <c r="DM356" i="5"/>
  <c r="DM360" i="5"/>
  <c r="DM364" i="5"/>
  <c r="DM368" i="5"/>
  <c r="DM372" i="5"/>
  <c r="DM376" i="5"/>
  <c r="DM380" i="5"/>
  <c r="DM384" i="5"/>
  <c r="DM388" i="5"/>
  <c r="DM392" i="5"/>
  <c r="DM396" i="5"/>
  <c r="DM400" i="5"/>
  <c r="DM404" i="5"/>
  <c r="DM408" i="5"/>
  <c r="DM412" i="5"/>
  <c r="DM416" i="5"/>
  <c r="DM420" i="5"/>
  <c r="DM32" i="5"/>
  <c r="DM56" i="5"/>
  <c r="DM80" i="5"/>
  <c r="DM104" i="5"/>
  <c r="DM128" i="5"/>
  <c r="DM152" i="5"/>
  <c r="DM176" i="5"/>
  <c r="DM200" i="5"/>
  <c r="DM224" i="5"/>
  <c r="DM248" i="5"/>
  <c r="DM272" i="5"/>
  <c r="DM296" i="5"/>
  <c r="DM320" i="5"/>
  <c r="DM348" i="5"/>
  <c r="DM18" i="5"/>
  <c r="DM42" i="5"/>
  <c r="DM66" i="5"/>
  <c r="DM90" i="5"/>
  <c r="DM114" i="5"/>
  <c r="DM138" i="5"/>
  <c r="DM162" i="5"/>
  <c r="DM186" i="5"/>
  <c r="DM210" i="5"/>
  <c r="DM234" i="5"/>
  <c r="DM258" i="5"/>
  <c r="DM282" i="5"/>
  <c r="DM306" i="5"/>
  <c r="DM330" i="5"/>
  <c r="DM344" i="5"/>
  <c r="DM28" i="5"/>
  <c r="DM52" i="5"/>
  <c r="DM76" i="5"/>
  <c r="DM100" i="5"/>
  <c r="DM124" i="5"/>
  <c r="DM148" i="5"/>
  <c r="DM172" i="5"/>
  <c r="DM196" i="5"/>
  <c r="DM220" i="5"/>
  <c r="DM244" i="5"/>
  <c r="DM268" i="5"/>
  <c r="DM292" i="5"/>
  <c r="DM316" i="5"/>
  <c r="DM340" i="5"/>
  <c r="DM353" i="5"/>
  <c r="DM357" i="5"/>
  <c r="DM361" i="5"/>
  <c r="DM365" i="5"/>
  <c r="DM369" i="5"/>
  <c r="DM373" i="5"/>
  <c r="DM377" i="5"/>
  <c r="DM381" i="5"/>
  <c r="DM385" i="5"/>
  <c r="DM389" i="5"/>
  <c r="DM393" i="5"/>
  <c r="DM397" i="5"/>
  <c r="DM401" i="5"/>
  <c r="DM405" i="5"/>
  <c r="DM409" i="5"/>
  <c r="DM413" i="5"/>
  <c r="DM417" i="5"/>
  <c r="DM421" i="5"/>
  <c r="DM425" i="5"/>
  <c r="DM429" i="5"/>
  <c r="DM433" i="5"/>
  <c r="DM437" i="5"/>
  <c r="DM441" i="5"/>
  <c r="DM445" i="5"/>
  <c r="DM449" i="5"/>
  <c r="DM453" i="5"/>
  <c r="DM457" i="5"/>
  <c r="DM461" i="5"/>
  <c r="DM465" i="5"/>
  <c r="DM469" i="5"/>
  <c r="DM473" i="5"/>
  <c r="DM477" i="5"/>
  <c r="DM481" i="5"/>
  <c r="DM485" i="5"/>
  <c r="DM489" i="5"/>
  <c r="DM493" i="5"/>
  <c r="DM497" i="5"/>
  <c r="DM501" i="5"/>
  <c r="DM505" i="5"/>
  <c r="DM509" i="5"/>
  <c r="DM513" i="5"/>
  <c r="DM517" i="5"/>
  <c r="DM521" i="5"/>
  <c r="DM525" i="5"/>
  <c r="DM529" i="5"/>
  <c r="DM533" i="5"/>
  <c r="DM537" i="5"/>
  <c r="DM541" i="5"/>
  <c r="DM545" i="5"/>
  <c r="DM549" i="5"/>
  <c r="DM553" i="5"/>
  <c r="DM557" i="5"/>
  <c r="DM561" i="5"/>
  <c r="DM565" i="5"/>
  <c r="DM569" i="5"/>
  <c r="DM573" i="5"/>
  <c r="DM577" i="5"/>
  <c r="DM581" i="5"/>
  <c r="DM585" i="5"/>
  <c r="DM589" i="5"/>
  <c r="DM593" i="5"/>
  <c r="DM597" i="5"/>
  <c r="DM601" i="5"/>
  <c r="DM605" i="5"/>
  <c r="DM609" i="5"/>
  <c r="DM613" i="5"/>
  <c r="DM617" i="5"/>
  <c r="DM621" i="5"/>
  <c r="DM625" i="5"/>
  <c r="DM629" i="5"/>
  <c r="DM633" i="5"/>
  <c r="DM14" i="5"/>
  <c r="DM38" i="5"/>
  <c r="DM62" i="5"/>
  <c r="DM86" i="5"/>
  <c r="DM110" i="5"/>
  <c r="DM134" i="5"/>
  <c r="DM158" i="5"/>
  <c r="DM182" i="5"/>
  <c r="DM206" i="5"/>
  <c r="DM230" i="5"/>
  <c r="DM254" i="5"/>
  <c r="DM278" i="5"/>
  <c r="DM302" i="5"/>
  <c r="DM326" i="5"/>
  <c r="DM24" i="5"/>
  <c r="DM48" i="5"/>
  <c r="DM72" i="5"/>
  <c r="DM96" i="5"/>
  <c r="DM120" i="5"/>
  <c r="DM144" i="5"/>
  <c r="DM168" i="5"/>
  <c r="DM192" i="5"/>
  <c r="DM216" i="5"/>
  <c r="DM240" i="5"/>
  <c r="DM264" i="5"/>
  <c r="DM288" i="5"/>
  <c r="DM312" i="5"/>
  <c r="DM336" i="5"/>
  <c r="DM30" i="5"/>
  <c r="DM54" i="5"/>
  <c r="DM78" i="5"/>
  <c r="DM102" i="5"/>
  <c r="DM126" i="5"/>
  <c r="DM150" i="5"/>
  <c r="DM174" i="5"/>
  <c r="DM198" i="5"/>
  <c r="DM222" i="5"/>
  <c r="DM246" i="5"/>
  <c r="DM270" i="5"/>
  <c r="DM294" i="5"/>
  <c r="DM318" i="5"/>
  <c r="DM342" i="5"/>
  <c r="DM92" i="5"/>
  <c r="DM236" i="5"/>
  <c r="DM398" i="5"/>
  <c r="DM422" i="5"/>
  <c r="DM435" i="5"/>
  <c r="DM448" i="5"/>
  <c r="DM470" i="5"/>
  <c r="DM483" i="5"/>
  <c r="DM496" i="5"/>
  <c r="DM518" i="5"/>
  <c r="DM531" i="5"/>
  <c r="DM544" i="5"/>
  <c r="DM566" i="5"/>
  <c r="DM579" i="5"/>
  <c r="DM592" i="5"/>
  <c r="DM614" i="5"/>
  <c r="DM627" i="5"/>
  <c r="DM58" i="5"/>
  <c r="DM202" i="5"/>
  <c r="DM346" i="5"/>
  <c r="DM362" i="5"/>
  <c r="DM378" i="5"/>
  <c r="DM403" i="5"/>
  <c r="DM431" i="5"/>
  <c r="DM444" i="5"/>
  <c r="DM466" i="5"/>
  <c r="DM479" i="5"/>
  <c r="DM492" i="5"/>
  <c r="DM514" i="5"/>
  <c r="DM527" i="5"/>
  <c r="DM540" i="5"/>
  <c r="DM562" i="5"/>
  <c r="DM575" i="5"/>
  <c r="DM588" i="5"/>
  <c r="DM610" i="5"/>
  <c r="DM623" i="5"/>
  <c r="DM636" i="5"/>
  <c r="DM640" i="5"/>
  <c r="DM644" i="5"/>
  <c r="DM648" i="5"/>
  <c r="DM652" i="5"/>
  <c r="DM656" i="5"/>
  <c r="DM660" i="5"/>
  <c r="DM664" i="5"/>
  <c r="DM668" i="5"/>
  <c r="DM672" i="5"/>
  <c r="DM676" i="5"/>
  <c r="DM680" i="5"/>
  <c r="DM684" i="5"/>
  <c r="DM688" i="5"/>
  <c r="DM692" i="5"/>
  <c r="DM696" i="5"/>
  <c r="DM700" i="5"/>
  <c r="DM704" i="5"/>
  <c r="DM708" i="5"/>
  <c r="DM712" i="5"/>
  <c r="DM716" i="5"/>
  <c r="DM116" i="5"/>
  <c r="DM260" i="5"/>
  <c r="DM394" i="5"/>
  <c r="DM418" i="5"/>
  <c r="DM427" i="5"/>
  <c r="DM440" i="5"/>
  <c r="DM462" i="5"/>
  <c r="DM475" i="5"/>
  <c r="DM488" i="5"/>
  <c r="DM510" i="5"/>
  <c r="DM523" i="5"/>
  <c r="DM536" i="5"/>
  <c r="DM558" i="5"/>
  <c r="DM571" i="5"/>
  <c r="DM584" i="5"/>
  <c r="DM606" i="5"/>
  <c r="DM619" i="5"/>
  <c r="DM632" i="5"/>
  <c r="DM82" i="5"/>
  <c r="DM226" i="5"/>
  <c r="DM399" i="5"/>
  <c r="DM423" i="5"/>
  <c r="DM436" i="5"/>
  <c r="DM458" i="5"/>
  <c r="DM471" i="5"/>
  <c r="DM484" i="5"/>
  <c r="DM506" i="5"/>
  <c r="DM519" i="5"/>
  <c r="DM532" i="5"/>
  <c r="DM554" i="5"/>
  <c r="DM567" i="5"/>
  <c r="DM580" i="5"/>
  <c r="DM602" i="5"/>
  <c r="DM615" i="5"/>
  <c r="DM628" i="5"/>
  <c r="DM140" i="5"/>
  <c r="DM284" i="5"/>
  <c r="DM358" i="5"/>
  <c r="DM374" i="5"/>
  <c r="DM390" i="5"/>
  <c r="DM414" i="5"/>
  <c r="DM432" i="5"/>
  <c r="DM454" i="5"/>
  <c r="DM467" i="5"/>
  <c r="DM480" i="5"/>
  <c r="DM502" i="5"/>
  <c r="DM515" i="5"/>
  <c r="DM528" i="5"/>
  <c r="DM550" i="5"/>
  <c r="DM563" i="5"/>
  <c r="DM576" i="5"/>
  <c r="DM598" i="5"/>
  <c r="DM611" i="5"/>
  <c r="DM624" i="5"/>
  <c r="DM637" i="5"/>
  <c r="DM641" i="5"/>
  <c r="DM645" i="5"/>
  <c r="DM649" i="5"/>
  <c r="DM653" i="5"/>
  <c r="DM657" i="5"/>
  <c r="DM661" i="5"/>
  <c r="DM665" i="5"/>
  <c r="DM669" i="5"/>
  <c r="DM673" i="5"/>
  <c r="DM677" i="5"/>
  <c r="DM681" i="5"/>
  <c r="DM685" i="5"/>
  <c r="DM689" i="5"/>
  <c r="DM693" i="5"/>
  <c r="DM697" i="5"/>
  <c r="DM701" i="5"/>
  <c r="DM705" i="5"/>
  <c r="DM709" i="5"/>
  <c r="DM106" i="5"/>
  <c r="DM250" i="5"/>
  <c r="DM395" i="5"/>
  <c r="DM419" i="5"/>
  <c r="DM428" i="5"/>
  <c r="DM450" i="5"/>
  <c r="DM463" i="5"/>
  <c r="DM476" i="5"/>
  <c r="DM498" i="5"/>
  <c r="DM511" i="5"/>
  <c r="DM524" i="5"/>
  <c r="DM546" i="5"/>
  <c r="DM559" i="5"/>
  <c r="DM572" i="5"/>
  <c r="DM594" i="5"/>
  <c r="DM607" i="5"/>
  <c r="DM620" i="5"/>
  <c r="DM20" i="5"/>
  <c r="DM164" i="5"/>
  <c r="DM308" i="5"/>
  <c r="DM410" i="5"/>
  <c r="DM424" i="5"/>
  <c r="DM446" i="5"/>
  <c r="DM459" i="5"/>
  <c r="DM472" i="5"/>
  <c r="DM494" i="5"/>
  <c r="DM507" i="5"/>
  <c r="DM520" i="5"/>
  <c r="DM542" i="5"/>
  <c r="DM555" i="5"/>
  <c r="DM568" i="5"/>
  <c r="DM590" i="5"/>
  <c r="DM603" i="5"/>
  <c r="DM616" i="5"/>
  <c r="DM130" i="5"/>
  <c r="DM274" i="5"/>
  <c r="DM354" i="5"/>
  <c r="DM370" i="5"/>
  <c r="DM386" i="5"/>
  <c r="DM391" i="5"/>
  <c r="DM415" i="5"/>
  <c r="DM442" i="5"/>
  <c r="DM455" i="5"/>
  <c r="DM468" i="5"/>
  <c r="DM490" i="5"/>
  <c r="DM503" i="5"/>
  <c r="DM516" i="5"/>
  <c r="DM538" i="5"/>
  <c r="DM551" i="5"/>
  <c r="DM564" i="5"/>
  <c r="DM586" i="5"/>
  <c r="DM599" i="5"/>
  <c r="DM612" i="5"/>
  <c r="DM634" i="5"/>
  <c r="DM638" i="5"/>
  <c r="DM642" i="5"/>
  <c r="DM646" i="5"/>
  <c r="DM650" i="5"/>
  <c r="DM654" i="5"/>
  <c r="DM658" i="5"/>
  <c r="DM662" i="5"/>
  <c r="DM666" i="5"/>
  <c r="DM670" i="5"/>
  <c r="DM674" i="5"/>
  <c r="DM678" i="5"/>
  <c r="DM682" i="5"/>
  <c r="DM686" i="5"/>
  <c r="DM690" i="5"/>
  <c r="DM694" i="5"/>
  <c r="DM698" i="5"/>
  <c r="DM702" i="5"/>
  <c r="DM706" i="5"/>
  <c r="DM710" i="5"/>
  <c r="DM714" i="5"/>
  <c r="DM718" i="5"/>
  <c r="DM722" i="5"/>
  <c r="DM726" i="5"/>
  <c r="DM730" i="5"/>
  <c r="DM734" i="5"/>
  <c r="DM738" i="5"/>
  <c r="DM742" i="5"/>
  <c r="DM746" i="5"/>
  <c r="DM750" i="5"/>
  <c r="DM754" i="5"/>
  <c r="DM758" i="5"/>
  <c r="DM762" i="5"/>
  <c r="DM766" i="5"/>
  <c r="DM770" i="5"/>
  <c r="DM774" i="5"/>
  <c r="DM778" i="5"/>
  <c r="DM782" i="5"/>
  <c r="DM786" i="5"/>
  <c r="DM790" i="5"/>
  <c r="DM794" i="5"/>
  <c r="DM798" i="5"/>
  <c r="DM802" i="5"/>
  <c r="DM806" i="5"/>
  <c r="DM810" i="5"/>
  <c r="DM814" i="5"/>
  <c r="DM818" i="5"/>
  <c r="DM822" i="5"/>
  <c r="DM826" i="5"/>
  <c r="DM830" i="5"/>
  <c r="DM834" i="5"/>
  <c r="DM838" i="5"/>
  <c r="DM842" i="5"/>
  <c r="DM846" i="5"/>
  <c r="DM850" i="5"/>
  <c r="DM854" i="5"/>
  <c r="DM858" i="5"/>
  <c r="DM862" i="5"/>
  <c r="DM866" i="5"/>
  <c r="DM870" i="5"/>
  <c r="DM874" i="5"/>
  <c r="DM878" i="5"/>
  <c r="DM882" i="5"/>
  <c r="DM886" i="5"/>
  <c r="DM890" i="5"/>
  <c r="DM894" i="5"/>
  <c r="DM44" i="5"/>
  <c r="DM188" i="5"/>
  <c r="DM332" i="5"/>
  <c r="DM406" i="5"/>
  <c r="DM438" i="5"/>
  <c r="DM451" i="5"/>
  <c r="DM464" i="5"/>
  <c r="DM486" i="5"/>
  <c r="DM499" i="5"/>
  <c r="DM512" i="5"/>
  <c r="DM534" i="5"/>
  <c r="DM547" i="5"/>
  <c r="DM560" i="5"/>
  <c r="DM582" i="5"/>
  <c r="DM595" i="5"/>
  <c r="DM608" i="5"/>
  <c r="DM630" i="5"/>
  <c r="DM154" i="5"/>
  <c r="DM298" i="5"/>
  <c r="DM411" i="5"/>
  <c r="DM434" i="5"/>
  <c r="DM447" i="5"/>
  <c r="DM460" i="5"/>
  <c r="DM482" i="5"/>
  <c r="DM495" i="5"/>
  <c r="DM508" i="5"/>
  <c r="DM530" i="5"/>
  <c r="DM543" i="5"/>
  <c r="DM556" i="5"/>
  <c r="DM578" i="5"/>
  <c r="DM591" i="5"/>
  <c r="DM604" i="5"/>
  <c r="DM626" i="5"/>
  <c r="DM34" i="5"/>
  <c r="DM178" i="5"/>
  <c r="DM322" i="5"/>
  <c r="DM407" i="5"/>
  <c r="DM426" i="5"/>
  <c r="DM439" i="5"/>
  <c r="DM452" i="5"/>
  <c r="DM474" i="5"/>
  <c r="DM487" i="5"/>
  <c r="DM500" i="5"/>
  <c r="DM522" i="5"/>
  <c r="DM535" i="5"/>
  <c r="DM548" i="5"/>
  <c r="DM570" i="5"/>
  <c r="DM583" i="5"/>
  <c r="DM596" i="5"/>
  <c r="DM618" i="5"/>
  <c r="DM631" i="5"/>
  <c r="DM721" i="5"/>
  <c r="DM743" i="5"/>
  <c r="DM756" i="5"/>
  <c r="DM769" i="5"/>
  <c r="DM791" i="5"/>
  <c r="DM804" i="5"/>
  <c r="DM817" i="5"/>
  <c r="DM839" i="5"/>
  <c r="DM852" i="5"/>
  <c r="DM865" i="5"/>
  <c r="DM887" i="5"/>
  <c r="DM504" i="5"/>
  <c r="DM539" i="5"/>
  <c r="DM574" i="5"/>
  <c r="DM643" i="5"/>
  <c r="DM659" i="5"/>
  <c r="DM675" i="5"/>
  <c r="DM691" i="5"/>
  <c r="DM707" i="5"/>
  <c r="DM717" i="5"/>
  <c r="DM739" i="5"/>
  <c r="DM752" i="5"/>
  <c r="DM765" i="5"/>
  <c r="DM787" i="5"/>
  <c r="DM800" i="5"/>
  <c r="DM813" i="5"/>
  <c r="DM835" i="5"/>
  <c r="DM848" i="5"/>
  <c r="DM861" i="5"/>
  <c r="DM883" i="5"/>
  <c r="DM896" i="5"/>
  <c r="DM900" i="5"/>
  <c r="DM904" i="5"/>
  <c r="DM908" i="5"/>
  <c r="DM912" i="5"/>
  <c r="DM916" i="5"/>
  <c r="DM920" i="5"/>
  <c r="DM924" i="5"/>
  <c r="DM928" i="5"/>
  <c r="DM932" i="5"/>
  <c r="DM936" i="5"/>
  <c r="DM940" i="5"/>
  <c r="DM944" i="5"/>
  <c r="DM948" i="5"/>
  <c r="DM952" i="5"/>
  <c r="DM956" i="5"/>
  <c r="DM960" i="5"/>
  <c r="DM964" i="5"/>
  <c r="DM968" i="5"/>
  <c r="DM972" i="5"/>
  <c r="DM976" i="5"/>
  <c r="DM980" i="5"/>
  <c r="DM984" i="5"/>
  <c r="DM988" i="5"/>
  <c r="DM992" i="5"/>
  <c r="DM996" i="5"/>
  <c r="DM1000" i="5"/>
  <c r="DM1004" i="5"/>
  <c r="DM1008" i="5"/>
  <c r="DM1012" i="5"/>
  <c r="DM1016" i="5"/>
  <c r="DM1020" i="5"/>
  <c r="DM1024" i="5"/>
  <c r="DM1028" i="5"/>
  <c r="DM1032" i="5"/>
  <c r="DM1036" i="5"/>
  <c r="DM1040" i="5"/>
  <c r="DM1044" i="5"/>
  <c r="DM1048" i="5"/>
  <c r="DM1052" i="5"/>
  <c r="DM1056" i="5"/>
  <c r="DM1060" i="5"/>
  <c r="DM1064" i="5"/>
  <c r="DM1068" i="5"/>
  <c r="DM1072" i="5"/>
  <c r="DM1076" i="5"/>
  <c r="DM1080" i="5"/>
  <c r="DM1084" i="5"/>
  <c r="DM1088" i="5"/>
  <c r="DM1092" i="5"/>
  <c r="DM1096" i="5"/>
  <c r="DM1100" i="5"/>
  <c r="DM1104" i="5"/>
  <c r="DM1108" i="5"/>
  <c r="DM1112" i="5"/>
  <c r="DM1116" i="5"/>
  <c r="DM1120" i="5"/>
  <c r="DM1124" i="5"/>
  <c r="DM1128" i="5"/>
  <c r="DM1132" i="5"/>
  <c r="DM1136" i="5"/>
  <c r="DM1140" i="5"/>
  <c r="DM1144" i="5"/>
  <c r="DM1148" i="5"/>
  <c r="DM1152" i="5"/>
  <c r="DM1156" i="5"/>
  <c r="DM382" i="5"/>
  <c r="DM735" i="5"/>
  <c r="DM748" i="5"/>
  <c r="DM761" i="5"/>
  <c r="DM783" i="5"/>
  <c r="DM796" i="5"/>
  <c r="DM809" i="5"/>
  <c r="DM831" i="5"/>
  <c r="DM844" i="5"/>
  <c r="DM857" i="5"/>
  <c r="DM879" i="5"/>
  <c r="DM892" i="5"/>
  <c r="DM713" i="5"/>
  <c r="DM731" i="5"/>
  <c r="DM744" i="5"/>
  <c r="DM757" i="5"/>
  <c r="DM779" i="5"/>
  <c r="DM792" i="5"/>
  <c r="DM805" i="5"/>
  <c r="DM827" i="5"/>
  <c r="DM840" i="5"/>
  <c r="DM853" i="5"/>
  <c r="DM875" i="5"/>
  <c r="DM888" i="5"/>
  <c r="DM430" i="5"/>
  <c r="DM552" i="5"/>
  <c r="DM587" i="5"/>
  <c r="DM622" i="5"/>
  <c r="DM639" i="5"/>
  <c r="DM655" i="5"/>
  <c r="DM671" i="5"/>
  <c r="DM687" i="5"/>
  <c r="DM703" i="5"/>
  <c r="DM727" i="5"/>
  <c r="DM740" i="5"/>
  <c r="DM753" i="5"/>
  <c r="DM775" i="5"/>
  <c r="DM788" i="5"/>
  <c r="DM801" i="5"/>
  <c r="DM823" i="5"/>
  <c r="DM836" i="5"/>
  <c r="DM849" i="5"/>
  <c r="DM871" i="5"/>
  <c r="DM884" i="5"/>
  <c r="DM897" i="5"/>
  <c r="DM901" i="5"/>
  <c r="DM905" i="5"/>
  <c r="DM909" i="5"/>
  <c r="DM913" i="5"/>
  <c r="DM917" i="5"/>
  <c r="DM921" i="5"/>
  <c r="DM925" i="5"/>
  <c r="DM929" i="5"/>
  <c r="DM933" i="5"/>
  <c r="DM937" i="5"/>
  <c r="DM941" i="5"/>
  <c r="DM945" i="5"/>
  <c r="DM949" i="5"/>
  <c r="DM953" i="5"/>
  <c r="DM957" i="5"/>
  <c r="DM961" i="5"/>
  <c r="DM965" i="5"/>
  <c r="DM969" i="5"/>
  <c r="DM973" i="5"/>
  <c r="DM977" i="5"/>
  <c r="DM981" i="5"/>
  <c r="DM985" i="5"/>
  <c r="DM989" i="5"/>
  <c r="DM993" i="5"/>
  <c r="DM997" i="5"/>
  <c r="DM1001" i="5"/>
  <c r="DM1005" i="5"/>
  <c r="DM1009" i="5"/>
  <c r="DM1013" i="5"/>
  <c r="DM1017" i="5"/>
  <c r="DM1021" i="5"/>
  <c r="DM1025" i="5"/>
  <c r="DM1029" i="5"/>
  <c r="DM1033" i="5"/>
  <c r="DM1037" i="5"/>
  <c r="DM1041" i="5"/>
  <c r="DM1045" i="5"/>
  <c r="DM1049" i="5"/>
  <c r="DM1053" i="5"/>
  <c r="DM1057" i="5"/>
  <c r="DM1061" i="5"/>
  <c r="DM1065" i="5"/>
  <c r="DM1069" i="5"/>
  <c r="DM1073" i="5"/>
  <c r="DM1077" i="5"/>
  <c r="DM1081" i="5"/>
  <c r="DM1085" i="5"/>
  <c r="DM1089" i="5"/>
  <c r="DM1093" i="5"/>
  <c r="DM1097" i="5"/>
  <c r="DM1101" i="5"/>
  <c r="DM1105" i="5"/>
  <c r="DM1109" i="5"/>
  <c r="DM1113" i="5"/>
  <c r="DM1117" i="5"/>
  <c r="DM1121" i="5"/>
  <c r="DM1125" i="5"/>
  <c r="DM1129" i="5"/>
  <c r="DM366" i="5"/>
  <c r="DM723" i="5"/>
  <c r="DM736" i="5"/>
  <c r="DM749" i="5"/>
  <c r="DM771" i="5"/>
  <c r="DM784" i="5"/>
  <c r="DM797" i="5"/>
  <c r="DM819" i="5"/>
  <c r="DM832" i="5"/>
  <c r="DM845" i="5"/>
  <c r="DM867" i="5"/>
  <c r="DM880" i="5"/>
  <c r="DM893" i="5"/>
  <c r="DM68" i="5"/>
  <c r="DM719" i="5"/>
  <c r="DM732" i="5"/>
  <c r="DM745" i="5"/>
  <c r="DM767" i="5"/>
  <c r="DM780" i="5"/>
  <c r="DM793" i="5"/>
  <c r="DM815" i="5"/>
  <c r="DM828" i="5"/>
  <c r="DM841" i="5"/>
  <c r="DM863" i="5"/>
  <c r="DM876" i="5"/>
  <c r="DM889" i="5"/>
  <c r="DM212" i="5"/>
  <c r="DM402" i="5"/>
  <c r="DM443" i="5"/>
  <c r="DM478" i="5"/>
  <c r="DM600" i="5"/>
  <c r="DM635" i="5"/>
  <c r="DM651" i="5"/>
  <c r="DM667" i="5"/>
  <c r="DM683" i="5"/>
  <c r="DM699" i="5"/>
  <c r="DM728" i="5"/>
  <c r="DM741" i="5"/>
  <c r="DM763" i="5"/>
  <c r="DM776" i="5"/>
  <c r="DM789" i="5"/>
  <c r="DM811" i="5"/>
  <c r="DM824" i="5"/>
  <c r="DM837" i="5"/>
  <c r="DM859" i="5"/>
  <c r="DM872" i="5"/>
  <c r="DM885" i="5"/>
  <c r="DM898" i="5"/>
  <c r="DM902" i="5"/>
  <c r="DM906" i="5"/>
  <c r="DM910" i="5"/>
  <c r="DM914" i="5"/>
  <c r="DM918" i="5"/>
  <c r="DM922" i="5"/>
  <c r="DM926" i="5"/>
  <c r="DM930" i="5"/>
  <c r="DM934" i="5"/>
  <c r="DM938" i="5"/>
  <c r="DM942" i="5"/>
  <c r="DM946" i="5"/>
  <c r="DM950" i="5"/>
  <c r="DM954" i="5"/>
  <c r="DM958" i="5"/>
  <c r="DM962" i="5"/>
  <c r="DM966" i="5"/>
  <c r="DM970" i="5"/>
  <c r="DM974" i="5"/>
  <c r="DM978" i="5"/>
  <c r="DM982" i="5"/>
  <c r="DM986" i="5"/>
  <c r="DM990" i="5"/>
  <c r="DM994" i="5"/>
  <c r="DM998" i="5"/>
  <c r="DM1002" i="5"/>
  <c r="DM1006" i="5"/>
  <c r="DM1010" i="5"/>
  <c r="DM1014" i="5"/>
  <c r="DM1018" i="5"/>
  <c r="DM1022" i="5"/>
  <c r="DM1026" i="5"/>
  <c r="DM1030" i="5"/>
  <c r="DM1034" i="5"/>
  <c r="DM1038" i="5"/>
  <c r="DM1042" i="5"/>
  <c r="DM1046" i="5"/>
  <c r="DM1050" i="5"/>
  <c r="DM1054" i="5"/>
  <c r="DM1058" i="5"/>
  <c r="DM1062" i="5"/>
  <c r="DM1066" i="5"/>
  <c r="DM1070" i="5"/>
  <c r="DM1074" i="5"/>
  <c r="DM1078" i="5"/>
  <c r="DM1082" i="5"/>
  <c r="DM1086" i="5"/>
  <c r="DM1090" i="5"/>
  <c r="DM1094" i="5"/>
  <c r="DM1098" i="5"/>
  <c r="DM1102" i="5"/>
  <c r="DM1106" i="5"/>
  <c r="DM1110" i="5"/>
  <c r="DM1114" i="5"/>
  <c r="DM1118" i="5"/>
  <c r="DM1122" i="5"/>
  <c r="DM1126" i="5"/>
  <c r="DM1130" i="5"/>
  <c r="DM1134" i="5"/>
  <c r="DM1138" i="5"/>
  <c r="DM1142" i="5"/>
  <c r="DM1146" i="5"/>
  <c r="DM1150" i="5"/>
  <c r="DM1154" i="5"/>
  <c r="DM1158" i="5"/>
  <c r="DM1162" i="5"/>
  <c r="DM1166" i="5"/>
  <c r="DM1170" i="5"/>
  <c r="DM1174" i="5"/>
  <c r="DM1178" i="5"/>
  <c r="DM1182" i="5"/>
  <c r="DM1186" i="5"/>
  <c r="DM1190" i="5"/>
  <c r="DM1194" i="5"/>
  <c r="DM1198" i="5"/>
  <c r="DM1202" i="5"/>
  <c r="DM1206" i="5"/>
  <c r="DM1210" i="5"/>
  <c r="DM1214" i="5"/>
  <c r="DM1218" i="5"/>
  <c r="DM1222" i="5"/>
  <c r="DM1226" i="5"/>
  <c r="DM1230" i="5"/>
  <c r="DM1234" i="5"/>
  <c r="DM1238" i="5"/>
  <c r="DM1242" i="5"/>
  <c r="DM1246" i="5"/>
  <c r="DM1250" i="5"/>
  <c r="DM1254" i="5"/>
  <c r="DM1258" i="5"/>
  <c r="DM1262" i="5"/>
  <c r="DM350" i="5"/>
  <c r="DM715" i="5"/>
  <c r="DM724" i="5"/>
  <c r="DM737" i="5"/>
  <c r="DM759" i="5"/>
  <c r="DM772" i="5"/>
  <c r="DM785" i="5"/>
  <c r="DM807" i="5"/>
  <c r="DM820" i="5"/>
  <c r="DM833" i="5"/>
  <c r="DM855" i="5"/>
  <c r="DM868" i="5"/>
  <c r="DM881" i="5"/>
  <c r="DM720" i="5"/>
  <c r="DM733" i="5"/>
  <c r="DM755" i="5"/>
  <c r="DM768" i="5"/>
  <c r="DM781" i="5"/>
  <c r="DM803" i="5"/>
  <c r="DM816" i="5"/>
  <c r="DM829" i="5"/>
  <c r="DM851" i="5"/>
  <c r="DM864" i="5"/>
  <c r="DM877" i="5"/>
  <c r="DM725" i="5"/>
  <c r="DM747" i="5"/>
  <c r="DM760" i="5"/>
  <c r="DM773" i="5"/>
  <c r="DM795" i="5"/>
  <c r="DM808" i="5"/>
  <c r="DM821" i="5"/>
  <c r="DM843" i="5"/>
  <c r="DM856" i="5"/>
  <c r="DM869" i="5"/>
  <c r="DM891" i="5"/>
  <c r="DM526" i="5"/>
  <c r="DM663" i="5"/>
  <c r="DM1145" i="5"/>
  <c r="DM1168" i="5"/>
  <c r="DM1181" i="5"/>
  <c r="DM1203" i="5"/>
  <c r="DM1216" i="5"/>
  <c r="DM1229" i="5"/>
  <c r="DM1251" i="5"/>
  <c r="DM1264" i="5"/>
  <c r="DM1268" i="5"/>
  <c r="DM1272" i="5"/>
  <c r="DM1276" i="5"/>
  <c r="DM1280" i="5"/>
  <c r="DM1284" i="5"/>
  <c r="DM1288" i="5"/>
  <c r="DM1292" i="5"/>
  <c r="DM1296" i="5"/>
  <c r="DM1300" i="5"/>
  <c r="DM1304" i="5"/>
  <c r="DM1308" i="5"/>
  <c r="DM1312" i="5"/>
  <c r="DM1316" i="5"/>
  <c r="DM1320" i="5"/>
  <c r="DM1324" i="5"/>
  <c r="DM1328" i="5"/>
  <c r="DM1332" i="5"/>
  <c r="DM1336" i="5"/>
  <c r="DM1340" i="5"/>
  <c r="DM1344" i="5"/>
  <c r="DM1348" i="5"/>
  <c r="DM491" i="5"/>
  <c r="DM751" i="5"/>
  <c r="DM873" i="5"/>
  <c r="DM907" i="5"/>
  <c r="DM923" i="5"/>
  <c r="DM939" i="5"/>
  <c r="DM955" i="5"/>
  <c r="DM971" i="5"/>
  <c r="DM987" i="5"/>
  <c r="DM1003" i="5"/>
  <c r="DM1019" i="5"/>
  <c r="DM1035" i="5"/>
  <c r="DM1051" i="5"/>
  <c r="DM1067" i="5"/>
  <c r="DM1083" i="5"/>
  <c r="DM1099" i="5"/>
  <c r="DM1115" i="5"/>
  <c r="DM1131" i="5"/>
  <c r="DM1155" i="5"/>
  <c r="DM1164" i="5"/>
  <c r="DM1177" i="5"/>
  <c r="DM1199" i="5"/>
  <c r="DM1212" i="5"/>
  <c r="DM1225" i="5"/>
  <c r="DM1247" i="5"/>
  <c r="DM1260" i="5"/>
  <c r="DM1135" i="5"/>
  <c r="DM1207" i="5"/>
  <c r="DM1220" i="5"/>
  <c r="DM1233" i="5"/>
  <c r="DM456" i="5"/>
  <c r="DM1141" i="5"/>
  <c r="DM1160" i="5"/>
  <c r="DM1173" i="5"/>
  <c r="DM1195" i="5"/>
  <c r="DM1208" i="5"/>
  <c r="DM1221" i="5"/>
  <c r="DM1243" i="5"/>
  <c r="DM1256" i="5"/>
  <c r="DM1159" i="5"/>
  <c r="DM647" i="5"/>
  <c r="DM711" i="5"/>
  <c r="DM1151" i="5"/>
  <c r="DM1169" i="5"/>
  <c r="DM1191" i="5"/>
  <c r="DM1204" i="5"/>
  <c r="DM1217" i="5"/>
  <c r="DM1239" i="5"/>
  <c r="DM1252" i="5"/>
  <c r="DM1265" i="5"/>
  <c r="DM1269" i="5"/>
  <c r="DM1273" i="5"/>
  <c r="DM1277" i="5"/>
  <c r="DM1281" i="5"/>
  <c r="DM1285" i="5"/>
  <c r="DM1289" i="5"/>
  <c r="DM1293" i="5"/>
  <c r="DM1297" i="5"/>
  <c r="DM1301" i="5"/>
  <c r="DM1305" i="5"/>
  <c r="DM1309" i="5"/>
  <c r="DM1313" i="5"/>
  <c r="DM1317" i="5"/>
  <c r="DM1321" i="5"/>
  <c r="DM1325" i="5"/>
  <c r="DM1329" i="5"/>
  <c r="DM1333" i="5"/>
  <c r="DM1337" i="5"/>
  <c r="DM1341" i="5"/>
  <c r="DM1345" i="5"/>
  <c r="DM1349" i="5"/>
  <c r="DM729" i="5"/>
  <c r="DM764" i="5"/>
  <c r="DM799" i="5"/>
  <c r="DM903" i="5"/>
  <c r="DM919" i="5"/>
  <c r="DM935" i="5"/>
  <c r="DM951" i="5"/>
  <c r="DM967" i="5"/>
  <c r="DM983" i="5"/>
  <c r="DM999" i="5"/>
  <c r="DM1015" i="5"/>
  <c r="DM1031" i="5"/>
  <c r="DM1047" i="5"/>
  <c r="DM1063" i="5"/>
  <c r="DM1079" i="5"/>
  <c r="DM1095" i="5"/>
  <c r="DM1111" i="5"/>
  <c r="DM1127" i="5"/>
  <c r="DM1137" i="5"/>
  <c r="DM1165" i="5"/>
  <c r="DM1187" i="5"/>
  <c r="DM1200" i="5"/>
  <c r="DM1213" i="5"/>
  <c r="DM1235" i="5"/>
  <c r="DM1248" i="5"/>
  <c r="DM1261" i="5"/>
  <c r="DM1255" i="5"/>
  <c r="DM1147" i="5"/>
  <c r="DM1161" i="5"/>
  <c r="DM1183" i="5"/>
  <c r="DM1196" i="5"/>
  <c r="DM1209" i="5"/>
  <c r="DM1231" i="5"/>
  <c r="DM1244" i="5"/>
  <c r="DM1257" i="5"/>
  <c r="DM695" i="5"/>
  <c r="DM1133" i="5"/>
  <c r="DM1157" i="5"/>
  <c r="DM1179" i="5"/>
  <c r="DM1192" i="5"/>
  <c r="DM1205" i="5"/>
  <c r="DM1227" i="5"/>
  <c r="DM1240" i="5"/>
  <c r="DM1253" i="5"/>
  <c r="DM1266" i="5"/>
  <c r="DM1270" i="5"/>
  <c r="DM1274" i="5"/>
  <c r="DM1278" i="5"/>
  <c r="DM1282" i="5"/>
  <c r="DM1286" i="5"/>
  <c r="DM1290" i="5"/>
  <c r="DM1294" i="5"/>
  <c r="DM1298" i="5"/>
  <c r="DM1302" i="5"/>
  <c r="DM1306" i="5"/>
  <c r="DM1310" i="5"/>
  <c r="DM1314" i="5"/>
  <c r="DM1318" i="5"/>
  <c r="DM1322" i="5"/>
  <c r="DM1326" i="5"/>
  <c r="DM1330" i="5"/>
  <c r="DM1334" i="5"/>
  <c r="DM1338" i="5"/>
  <c r="DM1342" i="5"/>
  <c r="DM1346" i="5"/>
  <c r="DM777" i="5"/>
  <c r="DM812" i="5"/>
  <c r="DM847" i="5"/>
  <c r="DM899" i="5"/>
  <c r="DM915" i="5"/>
  <c r="DM931" i="5"/>
  <c r="DM947" i="5"/>
  <c r="DM963" i="5"/>
  <c r="DM979" i="5"/>
  <c r="DM995" i="5"/>
  <c r="DM1011" i="5"/>
  <c r="DM1027" i="5"/>
  <c r="DM1043" i="5"/>
  <c r="DM1059" i="5"/>
  <c r="DM1075" i="5"/>
  <c r="DM1091" i="5"/>
  <c r="DM1107" i="5"/>
  <c r="DM1123" i="5"/>
  <c r="DM1143" i="5"/>
  <c r="DM1175" i="5"/>
  <c r="DM1188" i="5"/>
  <c r="DM1201" i="5"/>
  <c r="DM1223" i="5"/>
  <c r="DM1236" i="5"/>
  <c r="DM1249" i="5"/>
  <c r="DM1153" i="5"/>
  <c r="DM1171" i="5"/>
  <c r="DM1184" i="5"/>
  <c r="DM1197" i="5"/>
  <c r="DM1219" i="5"/>
  <c r="DM1232" i="5"/>
  <c r="DM1245" i="5"/>
  <c r="DM1172" i="5"/>
  <c r="DM1185" i="5"/>
  <c r="DM679" i="5"/>
  <c r="DM1139" i="5"/>
  <c r="DM1167" i="5"/>
  <c r="DM1180" i="5"/>
  <c r="DM1193" i="5"/>
  <c r="DM1215" i="5"/>
  <c r="DM1228" i="5"/>
  <c r="DM1241" i="5"/>
  <c r="DM1263" i="5"/>
  <c r="DM1267" i="5"/>
  <c r="DM1271" i="5"/>
  <c r="DM1275" i="5"/>
  <c r="DM1279" i="5"/>
  <c r="DM1283" i="5"/>
  <c r="DM1287" i="5"/>
  <c r="DM1291" i="5"/>
  <c r="DM1295" i="5"/>
  <c r="DM1299" i="5"/>
  <c r="DM1303" i="5"/>
  <c r="DM1307" i="5"/>
  <c r="DM1311" i="5"/>
  <c r="DM1315" i="5"/>
  <c r="DM1319" i="5"/>
  <c r="DM1323" i="5"/>
  <c r="DM1327" i="5"/>
  <c r="DM1331" i="5"/>
  <c r="DM1335" i="5"/>
  <c r="DM1339" i="5"/>
  <c r="DM1343" i="5"/>
  <c r="DM1347" i="5"/>
  <c r="DM825" i="5"/>
  <c r="DM860" i="5"/>
  <c r="DM895" i="5"/>
  <c r="DM911" i="5"/>
  <c r="DM927" i="5"/>
  <c r="DM943" i="5"/>
  <c r="DM959" i="5"/>
  <c r="DM975" i="5"/>
  <c r="DM991" i="5"/>
  <c r="DM1007" i="5"/>
  <c r="DM1023" i="5"/>
  <c r="DM1039" i="5"/>
  <c r="DM1055" i="5"/>
  <c r="DM1071" i="5"/>
  <c r="DM1087" i="5"/>
  <c r="DM1103" i="5"/>
  <c r="DM1119" i="5"/>
  <c r="DM1149" i="5"/>
  <c r="DM1163" i="5"/>
  <c r="DM1176" i="5"/>
  <c r="DM1189" i="5"/>
  <c r="DM1211" i="5"/>
  <c r="DM1224" i="5"/>
  <c r="DM1237" i="5"/>
  <c r="DM1259" i="5"/>
  <c r="CD22" i="2"/>
  <c r="CD26" i="2"/>
  <c r="CD30" i="2"/>
  <c r="CD34" i="2"/>
  <c r="CD38" i="2"/>
  <c r="CD42" i="2"/>
  <c r="CD46" i="2"/>
  <c r="CD50" i="2"/>
  <c r="CD54" i="2"/>
  <c r="CD58" i="2"/>
  <c r="CD62" i="2"/>
  <c r="CD66" i="2"/>
  <c r="CD70" i="2"/>
  <c r="CD74" i="2"/>
  <c r="CD78" i="2"/>
  <c r="CD82" i="2"/>
  <c r="CD86" i="2"/>
  <c r="CD90" i="2"/>
  <c r="CD94" i="2"/>
  <c r="CD98" i="2"/>
  <c r="CD102" i="2"/>
  <c r="CD106" i="2"/>
  <c r="CD110" i="2"/>
  <c r="CD114" i="2"/>
  <c r="CD118" i="2"/>
  <c r="CD122" i="2"/>
  <c r="CD126" i="2"/>
  <c r="CD130" i="2"/>
  <c r="CD134" i="2"/>
  <c r="CD138" i="2"/>
  <c r="CD142" i="2"/>
  <c r="CD146" i="2"/>
  <c r="CD150" i="2"/>
  <c r="CD154" i="2"/>
  <c r="CD158" i="2"/>
  <c r="CD162" i="2"/>
  <c r="CD166" i="2"/>
  <c r="CD170" i="2"/>
  <c r="CD174" i="2"/>
  <c r="CD178" i="2"/>
  <c r="CD182" i="2"/>
  <c r="CD186" i="2"/>
  <c r="CD190" i="2"/>
  <c r="CD194" i="2"/>
  <c r="CD198" i="2"/>
  <c r="CD202" i="2"/>
  <c r="CD206" i="2"/>
  <c r="CD210" i="2"/>
  <c r="CD214" i="2"/>
  <c r="CD218" i="2"/>
  <c r="CD222" i="2"/>
  <c r="CD226" i="2"/>
  <c r="CD230" i="2"/>
  <c r="CD234" i="2"/>
  <c r="CD238" i="2"/>
  <c r="CD242" i="2"/>
  <c r="CD246" i="2"/>
  <c r="CD250" i="2"/>
  <c r="CD254" i="2"/>
  <c r="CD258" i="2"/>
  <c r="CD262" i="2"/>
  <c r="CD266" i="2"/>
  <c r="CD270" i="2"/>
  <c r="CD274" i="2"/>
  <c r="CD278" i="2"/>
  <c r="CD282" i="2"/>
  <c r="CD286" i="2"/>
  <c r="CD290" i="2"/>
  <c r="CD294" i="2"/>
  <c r="CD298" i="2"/>
  <c r="CD302" i="2"/>
  <c r="CD306" i="2"/>
  <c r="CD310" i="2"/>
  <c r="CD314" i="2"/>
  <c r="CD318" i="2"/>
  <c r="CD322" i="2"/>
  <c r="CD326" i="2"/>
  <c r="CD330" i="2"/>
  <c r="CD334" i="2"/>
  <c r="CD20" i="2"/>
  <c r="CD24" i="2"/>
  <c r="CD28" i="2"/>
  <c r="CD32" i="2"/>
  <c r="CD36" i="2"/>
  <c r="CD40" i="2"/>
  <c r="CD44" i="2"/>
  <c r="CD48" i="2"/>
  <c r="CD52" i="2"/>
  <c r="CD56" i="2"/>
  <c r="CD60" i="2"/>
  <c r="CD64" i="2"/>
  <c r="CD68" i="2"/>
  <c r="CD72" i="2"/>
  <c r="CD76" i="2"/>
  <c r="CD80" i="2"/>
  <c r="CD84" i="2"/>
  <c r="CD88" i="2"/>
  <c r="CD92" i="2"/>
  <c r="CD96" i="2"/>
  <c r="CD100" i="2"/>
  <c r="CD104" i="2"/>
  <c r="CD108" i="2"/>
  <c r="CD112" i="2"/>
  <c r="CD116" i="2"/>
  <c r="CD120" i="2"/>
  <c r="CD124" i="2"/>
  <c r="CD128" i="2"/>
  <c r="CD132" i="2"/>
  <c r="CD136" i="2"/>
  <c r="CD140" i="2"/>
  <c r="CD144" i="2"/>
  <c r="CD148" i="2"/>
  <c r="CD152" i="2"/>
  <c r="CD156" i="2"/>
  <c r="CD160" i="2"/>
  <c r="CD164" i="2"/>
  <c r="CD168" i="2"/>
  <c r="CD172" i="2"/>
  <c r="CD176" i="2"/>
  <c r="CD180" i="2"/>
  <c r="CD184" i="2"/>
  <c r="CD188" i="2"/>
  <c r="CD192" i="2"/>
  <c r="CD196" i="2"/>
  <c r="CD200" i="2"/>
  <c r="CD204" i="2"/>
  <c r="CD208" i="2"/>
  <c r="CD212" i="2"/>
  <c r="CD216" i="2"/>
  <c r="CD220" i="2"/>
  <c r="CD224" i="2"/>
  <c r="CD228" i="2"/>
  <c r="CD232" i="2"/>
  <c r="CD236" i="2"/>
  <c r="CD240" i="2"/>
  <c r="CD244" i="2"/>
  <c r="CD248" i="2"/>
  <c r="CD252" i="2"/>
  <c r="CD256" i="2"/>
  <c r="CD260" i="2"/>
  <c r="CD264" i="2"/>
  <c r="CD268" i="2"/>
  <c r="CD272" i="2"/>
  <c r="CD276" i="2"/>
  <c r="CD280" i="2"/>
  <c r="CD284" i="2"/>
  <c r="CD288" i="2"/>
  <c r="CD292" i="2"/>
  <c r="CD296" i="2"/>
  <c r="CD300" i="2"/>
  <c r="CD304" i="2"/>
  <c r="CD308" i="2"/>
  <c r="CD312" i="2"/>
  <c r="CD316" i="2"/>
  <c r="CD320" i="2"/>
  <c r="CD324" i="2"/>
  <c r="CD328" i="2"/>
  <c r="CD332" i="2"/>
  <c r="CD336" i="2"/>
  <c r="CD340" i="2"/>
  <c r="CD344" i="2"/>
  <c r="CD348" i="2"/>
  <c r="CD352" i="2"/>
  <c r="CD356" i="2"/>
  <c r="CD21" i="2"/>
  <c r="CD45" i="2"/>
  <c r="CD69" i="2"/>
  <c r="CD93" i="2"/>
  <c r="CD117" i="2"/>
  <c r="CD141" i="2"/>
  <c r="CD165" i="2"/>
  <c r="CD189" i="2"/>
  <c r="CD213" i="2"/>
  <c r="CD237" i="2"/>
  <c r="CD261" i="2"/>
  <c r="CD285" i="2"/>
  <c r="CD309" i="2"/>
  <c r="CD333" i="2"/>
  <c r="CD342" i="2"/>
  <c r="CD355" i="2"/>
  <c r="CD31" i="2"/>
  <c r="CD55" i="2"/>
  <c r="CD79" i="2"/>
  <c r="CD103" i="2"/>
  <c r="CD127" i="2"/>
  <c r="CD151" i="2"/>
  <c r="CD175" i="2"/>
  <c r="CD199" i="2"/>
  <c r="CD223" i="2"/>
  <c r="CD247" i="2"/>
  <c r="CD271" i="2"/>
  <c r="CD295" i="2"/>
  <c r="CD319" i="2"/>
  <c r="CD41" i="2"/>
  <c r="CD65" i="2"/>
  <c r="CD89" i="2"/>
  <c r="CD113" i="2"/>
  <c r="CD137" i="2"/>
  <c r="CD161" i="2"/>
  <c r="CD185" i="2"/>
  <c r="CD209" i="2"/>
  <c r="CD233" i="2"/>
  <c r="CD257" i="2"/>
  <c r="CD281" i="2"/>
  <c r="CD305" i="2"/>
  <c r="CD329" i="2"/>
  <c r="CD27" i="2"/>
  <c r="CD51" i="2"/>
  <c r="CD75" i="2"/>
  <c r="CD99" i="2"/>
  <c r="CD123" i="2"/>
  <c r="CD147" i="2"/>
  <c r="CD171" i="2"/>
  <c r="CD195" i="2"/>
  <c r="CD219" i="2"/>
  <c r="CD243" i="2"/>
  <c r="CD267" i="2"/>
  <c r="CD291" i="2"/>
  <c r="CD315" i="2"/>
  <c r="CD37" i="2"/>
  <c r="CD61" i="2"/>
  <c r="CD85" i="2"/>
  <c r="CD109" i="2"/>
  <c r="CD133" i="2"/>
  <c r="CD157" i="2"/>
  <c r="CD181" i="2"/>
  <c r="CD205" i="2"/>
  <c r="CD229" i="2"/>
  <c r="CD253" i="2"/>
  <c r="CD277" i="2"/>
  <c r="CD301" i="2"/>
  <c r="CD325" i="2"/>
  <c r="CD339" i="2"/>
  <c r="CD33" i="2"/>
  <c r="CD57" i="2"/>
  <c r="CD81" i="2"/>
  <c r="CD105" i="2"/>
  <c r="CD129" i="2"/>
  <c r="CD153" i="2"/>
  <c r="CD177" i="2"/>
  <c r="CD201" i="2"/>
  <c r="CD225" i="2"/>
  <c r="CD249" i="2"/>
  <c r="CD273" i="2"/>
  <c r="CD297" i="2"/>
  <c r="CD321" i="2"/>
  <c r="CD353" i="2"/>
  <c r="CD43" i="2"/>
  <c r="CD67" i="2"/>
  <c r="CD91" i="2"/>
  <c r="CD115" i="2"/>
  <c r="CD139" i="2"/>
  <c r="CD163" i="2"/>
  <c r="CD187" i="2"/>
  <c r="CD211" i="2"/>
  <c r="CD235" i="2"/>
  <c r="CD259" i="2"/>
  <c r="CD283" i="2"/>
  <c r="CD307" i="2"/>
  <c r="CD331" i="2"/>
  <c r="CD29" i="2"/>
  <c r="CD53" i="2"/>
  <c r="CD77" i="2"/>
  <c r="CD101" i="2"/>
  <c r="CD125" i="2"/>
  <c r="CD149" i="2"/>
  <c r="CD173" i="2"/>
  <c r="CD197" i="2"/>
  <c r="CD221" i="2"/>
  <c r="CD245" i="2"/>
  <c r="CD269" i="2"/>
  <c r="CD293" i="2"/>
  <c r="CD317" i="2"/>
  <c r="CD39" i="2"/>
  <c r="CD63" i="2"/>
  <c r="CD87" i="2"/>
  <c r="CD111" i="2"/>
  <c r="CD135" i="2"/>
  <c r="CD159" i="2"/>
  <c r="CD183" i="2"/>
  <c r="CD207" i="2"/>
  <c r="CD231" i="2"/>
  <c r="CD255" i="2"/>
  <c r="CD279" i="2"/>
  <c r="CD303" i="2"/>
  <c r="CD327" i="2"/>
  <c r="CD341" i="2"/>
  <c r="CD354" i="2"/>
  <c r="CD35" i="2"/>
  <c r="CD59" i="2"/>
  <c r="CD83" i="2"/>
  <c r="CD107" i="2"/>
  <c r="CD131" i="2"/>
  <c r="CD155" i="2"/>
  <c r="CD179" i="2"/>
  <c r="CD203" i="2"/>
  <c r="CD227" i="2"/>
  <c r="CD251" i="2"/>
  <c r="CD275" i="2"/>
  <c r="CD299" i="2"/>
  <c r="CD323" i="2"/>
  <c r="CD346" i="2"/>
  <c r="CD359" i="2"/>
  <c r="CD363" i="2"/>
  <c r="CD367" i="2"/>
  <c r="CD371" i="2"/>
  <c r="CD375" i="2"/>
  <c r="CD379" i="2"/>
  <c r="CD383" i="2"/>
  <c r="CD387" i="2"/>
  <c r="CD391" i="2"/>
  <c r="CD395" i="2"/>
  <c r="CD399" i="2"/>
  <c r="CD403" i="2"/>
  <c r="CD407" i="2"/>
  <c r="CD411" i="2"/>
  <c r="CD415" i="2"/>
  <c r="CD419" i="2"/>
  <c r="CD423" i="2"/>
  <c r="CD427" i="2"/>
  <c r="CD431" i="2"/>
  <c r="CD435" i="2"/>
  <c r="CD439" i="2"/>
  <c r="CD443" i="2"/>
  <c r="CD447" i="2"/>
  <c r="CD451" i="2"/>
  <c r="CD455" i="2"/>
  <c r="CD459" i="2"/>
  <c r="CD463" i="2"/>
  <c r="CD467" i="2"/>
  <c r="CD471" i="2"/>
  <c r="CD475" i="2"/>
  <c r="CD479" i="2"/>
  <c r="CD483" i="2"/>
  <c r="CD487" i="2"/>
  <c r="CD491" i="2"/>
  <c r="CD495" i="2"/>
  <c r="CD499" i="2"/>
  <c r="CD503" i="2"/>
  <c r="CD507" i="2"/>
  <c r="CD511" i="2"/>
  <c r="CD515" i="2"/>
  <c r="CD519" i="2"/>
  <c r="CD523" i="2"/>
  <c r="CD527" i="2"/>
  <c r="CD531" i="2"/>
  <c r="CD535" i="2"/>
  <c r="CD539" i="2"/>
  <c r="CD543" i="2"/>
  <c r="CD547" i="2"/>
  <c r="CD551" i="2"/>
  <c r="CD555" i="2"/>
  <c r="CD559" i="2"/>
  <c r="CD563" i="2"/>
  <c r="CD567" i="2"/>
  <c r="CD571" i="2"/>
  <c r="CD575" i="2"/>
  <c r="CD579" i="2"/>
  <c r="CD583" i="2"/>
  <c r="CD587" i="2"/>
  <c r="CD591" i="2"/>
  <c r="CD595" i="2"/>
  <c r="CD599" i="2"/>
  <c r="CD603" i="2"/>
  <c r="CD607" i="2"/>
  <c r="CD611" i="2"/>
  <c r="CD615" i="2"/>
  <c r="CD619" i="2"/>
  <c r="CD623" i="2"/>
  <c r="CD627" i="2"/>
  <c r="CD631" i="2"/>
  <c r="CD635" i="2"/>
  <c r="CD639" i="2"/>
  <c r="CD643" i="2"/>
  <c r="CD647" i="2"/>
  <c r="CD651" i="2"/>
  <c r="CD655" i="2"/>
  <c r="CD659" i="2"/>
  <c r="CD663" i="2"/>
  <c r="CD667" i="2"/>
  <c r="CD671" i="2"/>
  <c r="CD675" i="2"/>
  <c r="CD679" i="2"/>
  <c r="CD683" i="2"/>
  <c r="CD687" i="2"/>
  <c r="CD691" i="2"/>
  <c r="CD695" i="2"/>
  <c r="CD699" i="2"/>
  <c r="CD703" i="2"/>
  <c r="CD707" i="2"/>
  <c r="CD711" i="2"/>
  <c r="CD715" i="2"/>
  <c r="CD719" i="2"/>
  <c r="CD723" i="2"/>
  <c r="CD727" i="2"/>
  <c r="CD731" i="2"/>
  <c r="CD735" i="2"/>
  <c r="CD739" i="2"/>
  <c r="CD743" i="2"/>
  <c r="CD747" i="2"/>
  <c r="CD751" i="2"/>
  <c r="CD755" i="2"/>
  <c r="CD759" i="2"/>
  <c r="CD763" i="2"/>
  <c r="CD767" i="2"/>
  <c r="CD771" i="2"/>
  <c r="CD775" i="2"/>
  <c r="CD779" i="2"/>
  <c r="CD783" i="2"/>
  <c r="CD787" i="2"/>
  <c r="CD791" i="2"/>
  <c r="CD795" i="2"/>
  <c r="CD799" i="2"/>
  <c r="CD803" i="2"/>
  <c r="CD807" i="2"/>
  <c r="CD811" i="2"/>
  <c r="CD815" i="2"/>
  <c r="CD819" i="2"/>
  <c r="CD823" i="2"/>
  <c r="CD827" i="2"/>
  <c r="CD831" i="2"/>
  <c r="CD835" i="2"/>
  <c r="CD839" i="2"/>
  <c r="CD843" i="2"/>
  <c r="CD847" i="2"/>
  <c r="CD851" i="2"/>
  <c r="CD855" i="2"/>
  <c r="CD859" i="2"/>
  <c r="CD863" i="2"/>
  <c r="CD867" i="2"/>
  <c r="CD871" i="2"/>
  <c r="CD875" i="2"/>
  <c r="CD879" i="2"/>
  <c r="CD883" i="2"/>
  <c r="CD887" i="2"/>
  <c r="CD891" i="2"/>
  <c r="CD895" i="2"/>
  <c r="CD899" i="2"/>
  <c r="CD903" i="2"/>
  <c r="CD907" i="2"/>
  <c r="CD911" i="2"/>
  <c r="CD915" i="2"/>
  <c r="CD919" i="2"/>
  <c r="CD923" i="2"/>
  <c r="CD927" i="2"/>
  <c r="CD931" i="2"/>
  <c r="CD935" i="2"/>
  <c r="CD939" i="2"/>
  <c r="CD943" i="2"/>
  <c r="CD947" i="2"/>
  <c r="CD951" i="2"/>
  <c r="CD955" i="2"/>
  <c r="CD959" i="2"/>
  <c r="CD963" i="2"/>
  <c r="CD967" i="2"/>
  <c r="CD971" i="2"/>
  <c r="CD975" i="2"/>
  <c r="CD979" i="2"/>
  <c r="CD143" i="2"/>
  <c r="CD287" i="2"/>
  <c r="CD338" i="2"/>
  <c r="CD358" i="2"/>
  <c r="CD380" i="2"/>
  <c r="CD393" i="2"/>
  <c r="CD406" i="2"/>
  <c r="CD428" i="2"/>
  <c r="CD441" i="2"/>
  <c r="CD454" i="2"/>
  <c r="CD476" i="2"/>
  <c r="CD489" i="2"/>
  <c r="CD502" i="2"/>
  <c r="CD524" i="2"/>
  <c r="CD537" i="2"/>
  <c r="CD550" i="2"/>
  <c r="CD572" i="2"/>
  <c r="CD585" i="2"/>
  <c r="CD598" i="2"/>
  <c r="CD620" i="2"/>
  <c r="CD633" i="2"/>
  <c r="CD646" i="2"/>
  <c r="CD668" i="2"/>
  <c r="CD681" i="2"/>
  <c r="CD694" i="2"/>
  <c r="CD716" i="2"/>
  <c r="CD729" i="2"/>
  <c r="CD742" i="2"/>
  <c r="CD764" i="2"/>
  <c r="CD97" i="2"/>
  <c r="CD241" i="2"/>
  <c r="CD376" i="2"/>
  <c r="CD389" i="2"/>
  <c r="CD402" i="2"/>
  <c r="CD424" i="2"/>
  <c r="CD437" i="2"/>
  <c r="CD450" i="2"/>
  <c r="CD472" i="2"/>
  <c r="CD485" i="2"/>
  <c r="CD498" i="2"/>
  <c r="CD520" i="2"/>
  <c r="CD533" i="2"/>
  <c r="CD546" i="2"/>
  <c r="CD568" i="2"/>
  <c r="CD581" i="2"/>
  <c r="CD594" i="2"/>
  <c r="CD616" i="2"/>
  <c r="CD629" i="2"/>
  <c r="CD642" i="2"/>
  <c r="CD664" i="2"/>
  <c r="CD677" i="2"/>
  <c r="CD690" i="2"/>
  <c r="CD712" i="2"/>
  <c r="CD725" i="2"/>
  <c r="CD738" i="2"/>
  <c r="CD760" i="2"/>
  <c r="CD23" i="2"/>
  <c r="CD167" i="2"/>
  <c r="CD311" i="2"/>
  <c r="CD349" i="2"/>
  <c r="CD372" i="2"/>
  <c r="CD385" i="2"/>
  <c r="CD398" i="2"/>
  <c r="CD420" i="2"/>
  <c r="CD433" i="2"/>
  <c r="CD446" i="2"/>
  <c r="CD468" i="2"/>
  <c r="CD481" i="2"/>
  <c r="CD494" i="2"/>
  <c r="CD516" i="2"/>
  <c r="CD529" i="2"/>
  <c r="CD542" i="2"/>
  <c r="CD564" i="2"/>
  <c r="CD577" i="2"/>
  <c r="CD590" i="2"/>
  <c r="CD612" i="2"/>
  <c r="CD625" i="2"/>
  <c r="CD638" i="2"/>
  <c r="CD660" i="2"/>
  <c r="CD673" i="2"/>
  <c r="CD686" i="2"/>
  <c r="CD708" i="2"/>
  <c r="CD721" i="2"/>
  <c r="CD734" i="2"/>
  <c r="CD756" i="2"/>
  <c r="CD769" i="2"/>
  <c r="CD782" i="2"/>
  <c r="CD121" i="2"/>
  <c r="CD265" i="2"/>
  <c r="CD368" i="2"/>
  <c r="CD381" i="2"/>
  <c r="CD394" i="2"/>
  <c r="CD416" i="2"/>
  <c r="CD429" i="2"/>
  <c r="CD442" i="2"/>
  <c r="CD464" i="2"/>
  <c r="CD477" i="2"/>
  <c r="CD490" i="2"/>
  <c r="CD512" i="2"/>
  <c r="CD525" i="2"/>
  <c r="CD538" i="2"/>
  <c r="CD560" i="2"/>
  <c r="CD573" i="2"/>
  <c r="CD586" i="2"/>
  <c r="CD608" i="2"/>
  <c r="CD621" i="2"/>
  <c r="CD634" i="2"/>
  <c r="CD656" i="2"/>
  <c r="CD669" i="2"/>
  <c r="CD682" i="2"/>
  <c r="CD704" i="2"/>
  <c r="CD717" i="2"/>
  <c r="CD730" i="2"/>
  <c r="CD752" i="2"/>
  <c r="CD765" i="2"/>
  <c r="CD778" i="2"/>
  <c r="CD800" i="2"/>
  <c r="CD813" i="2"/>
  <c r="CD826" i="2"/>
  <c r="CD848" i="2"/>
  <c r="CD861" i="2"/>
  <c r="CD874" i="2"/>
  <c r="CD896" i="2"/>
  <c r="CD909" i="2"/>
  <c r="CD922" i="2"/>
  <c r="CD944" i="2"/>
  <c r="CD957" i="2"/>
  <c r="CD970" i="2"/>
  <c r="CD983" i="2"/>
  <c r="CD987" i="2"/>
  <c r="CD991" i="2"/>
  <c r="CD995" i="2"/>
  <c r="CD47" i="2"/>
  <c r="CD191" i="2"/>
  <c r="CD335" i="2"/>
  <c r="CD345" i="2"/>
  <c r="CD364" i="2"/>
  <c r="CD377" i="2"/>
  <c r="CD390" i="2"/>
  <c r="CD412" i="2"/>
  <c r="CD425" i="2"/>
  <c r="CD438" i="2"/>
  <c r="CD460" i="2"/>
  <c r="CD473" i="2"/>
  <c r="CD486" i="2"/>
  <c r="CD508" i="2"/>
  <c r="CD521" i="2"/>
  <c r="CD534" i="2"/>
  <c r="CD556" i="2"/>
  <c r="CD569" i="2"/>
  <c r="CD582" i="2"/>
  <c r="CD604" i="2"/>
  <c r="CD617" i="2"/>
  <c r="CD630" i="2"/>
  <c r="CD652" i="2"/>
  <c r="CD665" i="2"/>
  <c r="CD678" i="2"/>
  <c r="CD700" i="2"/>
  <c r="CD145" i="2"/>
  <c r="CD289" i="2"/>
  <c r="CD350" i="2"/>
  <c r="CD360" i="2"/>
  <c r="CD373" i="2"/>
  <c r="CD386" i="2"/>
  <c r="CD408" i="2"/>
  <c r="CD421" i="2"/>
  <c r="CD434" i="2"/>
  <c r="CD456" i="2"/>
  <c r="CD469" i="2"/>
  <c r="CD482" i="2"/>
  <c r="CD504" i="2"/>
  <c r="CD517" i="2"/>
  <c r="CD530" i="2"/>
  <c r="CD552" i="2"/>
  <c r="CD565" i="2"/>
  <c r="CD578" i="2"/>
  <c r="CD600" i="2"/>
  <c r="CD613" i="2"/>
  <c r="CD626" i="2"/>
  <c r="CD648" i="2"/>
  <c r="CD661" i="2"/>
  <c r="CD674" i="2"/>
  <c r="CD696" i="2"/>
  <c r="CD709" i="2"/>
  <c r="CD722" i="2"/>
  <c r="CD744" i="2"/>
  <c r="CD757" i="2"/>
  <c r="CD770" i="2"/>
  <c r="CD792" i="2"/>
  <c r="CD805" i="2"/>
  <c r="CD818" i="2"/>
  <c r="CD840" i="2"/>
  <c r="CD853" i="2"/>
  <c r="CD866" i="2"/>
  <c r="CD888" i="2"/>
  <c r="CD901" i="2"/>
  <c r="CD914" i="2"/>
  <c r="CD936" i="2"/>
  <c r="CD949" i="2"/>
  <c r="CD962" i="2"/>
  <c r="CD71" i="2"/>
  <c r="CD215" i="2"/>
  <c r="CD369" i="2"/>
  <c r="CD382" i="2"/>
  <c r="CD404" i="2"/>
  <c r="CD417" i="2"/>
  <c r="CD430" i="2"/>
  <c r="CD452" i="2"/>
  <c r="CD465" i="2"/>
  <c r="CD478" i="2"/>
  <c r="CD500" i="2"/>
  <c r="CD513" i="2"/>
  <c r="CD526" i="2"/>
  <c r="CD548" i="2"/>
  <c r="CD561" i="2"/>
  <c r="CD574" i="2"/>
  <c r="CD596" i="2"/>
  <c r="CD609" i="2"/>
  <c r="CD622" i="2"/>
  <c r="CD644" i="2"/>
  <c r="CD657" i="2"/>
  <c r="CD670" i="2"/>
  <c r="CD692" i="2"/>
  <c r="CD705" i="2"/>
  <c r="CD718" i="2"/>
  <c r="CD740" i="2"/>
  <c r="CD753" i="2"/>
  <c r="CD766" i="2"/>
  <c r="CD788" i="2"/>
  <c r="CD801" i="2"/>
  <c r="CD814" i="2"/>
  <c r="CD836" i="2"/>
  <c r="CD849" i="2"/>
  <c r="CD862" i="2"/>
  <c r="CD884" i="2"/>
  <c r="CD897" i="2"/>
  <c r="CD910" i="2"/>
  <c r="CD932" i="2"/>
  <c r="CD945" i="2"/>
  <c r="CD958" i="2"/>
  <c r="CD980" i="2"/>
  <c r="CD984" i="2"/>
  <c r="CD988" i="2"/>
  <c r="CD992" i="2"/>
  <c r="CD996" i="2"/>
  <c r="CD1000" i="2"/>
  <c r="CD1004" i="2"/>
  <c r="CD1008" i="2"/>
  <c r="CD1012" i="2"/>
  <c r="CD1016" i="2"/>
  <c r="CD1020" i="2"/>
  <c r="CD1024" i="2"/>
  <c r="CD1028" i="2"/>
  <c r="CD1032" i="2"/>
  <c r="CD1036" i="2"/>
  <c r="CD1040" i="2"/>
  <c r="CD1044" i="2"/>
  <c r="CD1048" i="2"/>
  <c r="CD1052" i="2"/>
  <c r="CD1056" i="2"/>
  <c r="CD1060" i="2"/>
  <c r="CD1064" i="2"/>
  <c r="CD1068" i="2"/>
  <c r="CD1072" i="2"/>
  <c r="CD1076" i="2"/>
  <c r="CD1080" i="2"/>
  <c r="CD1084" i="2"/>
  <c r="CD1088" i="2"/>
  <c r="CD1092" i="2"/>
  <c r="CD1096" i="2"/>
  <c r="CD1100" i="2"/>
  <c r="CD1104" i="2"/>
  <c r="CD1108" i="2"/>
  <c r="CD1112" i="2"/>
  <c r="CD1116" i="2"/>
  <c r="CD1120" i="2"/>
  <c r="CD1124" i="2"/>
  <c r="CD1128" i="2"/>
  <c r="CD1132" i="2"/>
  <c r="CD1136" i="2"/>
  <c r="CD1140" i="2"/>
  <c r="CD1144" i="2"/>
  <c r="CD1148" i="2"/>
  <c r="CD1152" i="2"/>
  <c r="CD1156" i="2"/>
  <c r="CD25" i="2"/>
  <c r="CD169" i="2"/>
  <c r="CD313" i="2"/>
  <c r="CD365" i="2"/>
  <c r="CD378" i="2"/>
  <c r="CD400" i="2"/>
  <c r="CD413" i="2"/>
  <c r="CD426" i="2"/>
  <c r="CD448" i="2"/>
  <c r="CD461" i="2"/>
  <c r="CD474" i="2"/>
  <c r="CD496" i="2"/>
  <c r="CD509" i="2"/>
  <c r="CD522" i="2"/>
  <c r="CD544" i="2"/>
  <c r="CD557" i="2"/>
  <c r="CD570" i="2"/>
  <c r="CD592" i="2"/>
  <c r="CD605" i="2"/>
  <c r="CD618" i="2"/>
  <c r="CD640" i="2"/>
  <c r="CD653" i="2"/>
  <c r="CD666" i="2"/>
  <c r="CD688" i="2"/>
  <c r="CD49" i="2"/>
  <c r="CD193" i="2"/>
  <c r="CD337" i="2"/>
  <c r="CD347" i="2"/>
  <c r="CD357" i="2"/>
  <c r="CD370" i="2"/>
  <c r="CD392" i="2"/>
  <c r="CD405" i="2"/>
  <c r="CD418" i="2"/>
  <c r="CD440" i="2"/>
  <c r="CD453" i="2"/>
  <c r="CD466" i="2"/>
  <c r="CD488" i="2"/>
  <c r="CD501" i="2"/>
  <c r="CD514" i="2"/>
  <c r="CD536" i="2"/>
  <c r="CD549" i="2"/>
  <c r="CD562" i="2"/>
  <c r="CD584" i="2"/>
  <c r="CD597" i="2"/>
  <c r="CD610" i="2"/>
  <c r="CD632" i="2"/>
  <c r="CD645" i="2"/>
  <c r="CD658" i="2"/>
  <c r="CD680" i="2"/>
  <c r="CD693" i="2"/>
  <c r="CD706" i="2"/>
  <c r="CD728" i="2"/>
  <c r="CD741" i="2"/>
  <c r="CD754" i="2"/>
  <c r="CD776" i="2"/>
  <c r="CD789" i="2"/>
  <c r="CD802" i="2"/>
  <c r="CD824" i="2"/>
  <c r="CD837" i="2"/>
  <c r="CD850" i="2"/>
  <c r="CD872" i="2"/>
  <c r="CD885" i="2"/>
  <c r="CD898" i="2"/>
  <c r="CD920" i="2"/>
  <c r="CD933" i="2"/>
  <c r="CD946" i="2"/>
  <c r="CD968" i="2"/>
  <c r="CD981" i="2"/>
  <c r="CD985" i="2"/>
  <c r="CD989" i="2"/>
  <c r="CD993" i="2"/>
  <c r="CD997" i="2"/>
  <c r="CD1001" i="2"/>
  <c r="CD1005" i="2"/>
  <c r="CD1009" i="2"/>
  <c r="CD1013" i="2"/>
  <c r="CD1017" i="2"/>
  <c r="CD1021" i="2"/>
  <c r="CD119" i="2"/>
  <c r="CD263" i="2"/>
  <c r="CD366" i="2"/>
  <c r="CD388" i="2"/>
  <c r="CD401" i="2"/>
  <c r="CD414" i="2"/>
  <c r="CD436" i="2"/>
  <c r="CD449" i="2"/>
  <c r="CD462" i="2"/>
  <c r="CD484" i="2"/>
  <c r="CD497" i="2"/>
  <c r="CD510" i="2"/>
  <c r="CD532" i="2"/>
  <c r="CD545" i="2"/>
  <c r="CD558" i="2"/>
  <c r="CD580" i="2"/>
  <c r="CD593" i="2"/>
  <c r="CD606" i="2"/>
  <c r="CD361" i="2"/>
  <c r="CD457" i="2"/>
  <c r="CD553" i="2"/>
  <c r="CD637" i="2"/>
  <c r="CD702" i="2"/>
  <c r="CD713" i="2"/>
  <c r="CD749" i="2"/>
  <c r="CD780" i="2"/>
  <c r="CD809" i="2"/>
  <c r="CD857" i="2"/>
  <c r="CD905" i="2"/>
  <c r="CD953" i="2"/>
  <c r="CD1007" i="2"/>
  <c r="CD1026" i="2"/>
  <c r="CD1039" i="2"/>
  <c r="CD1061" i="2"/>
  <c r="CD1074" i="2"/>
  <c r="CD1087" i="2"/>
  <c r="CD1109" i="2"/>
  <c r="CD1122" i="2"/>
  <c r="CD1135" i="2"/>
  <c r="CD1157" i="2"/>
  <c r="CD1161" i="2"/>
  <c r="CD1165" i="2"/>
  <c r="CD1169" i="2"/>
  <c r="CD1173" i="2"/>
  <c r="CD1177" i="2"/>
  <c r="CD1181" i="2"/>
  <c r="CD1185" i="2"/>
  <c r="CD1189" i="2"/>
  <c r="CD1193" i="2"/>
  <c r="CD1197" i="2"/>
  <c r="CD1201" i="2"/>
  <c r="CD1205" i="2"/>
  <c r="CD1130" i="2"/>
  <c r="CD1139" i="2"/>
  <c r="CD384" i="2"/>
  <c r="CD480" i="2"/>
  <c r="CD576" i="2"/>
  <c r="CD676" i="2"/>
  <c r="CD724" i="2"/>
  <c r="CD745" i="2"/>
  <c r="CD785" i="2"/>
  <c r="CD790" i="2"/>
  <c r="CD833" i="2"/>
  <c r="CD838" i="2"/>
  <c r="CD881" i="2"/>
  <c r="CD886" i="2"/>
  <c r="CD929" i="2"/>
  <c r="CD934" i="2"/>
  <c r="CD977" i="2"/>
  <c r="CD982" i="2"/>
  <c r="CD998" i="2"/>
  <c r="CD1022" i="2"/>
  <c r="CD1035" i="2"/>
  <c r="CD1057" i="2"/>
  <c r="CD1070" i="2"/>
  <c r="CD1083" i="2"/>
  <c r="CD1105" i="2"/>
  <c r="CD1118" i="2"/>
  <c r="CD1131" i="2"/>
  <c r="CD1153" i="2"/>
  <c r="CD828" i="2"/>
  <c r="CD1065" i="2"/>
  <c r="CD396" i="2"/>
  <c r="CD492" i="2"/>
  <c r="CD588" i="2"/>
  <c r="CD649" i="2"/>
  <c r="CD654" i="2"/>
  <c r="CD698" i="2"/>
  <c r="CD829" i="2"/>
  <c r="CD877" i="2"/>
  <c r="CD925" i="2"/>
  <c r="CD973" i="2"/>
  <c r="CD1003" i="2"/>
  <c r="CD1031" i="2"/>
  <c r="CD1053" i="2"/>
  <c r="CD1066" i="2"/>
  <c r="CD1079" i="2"/>
  <c r="CD1101" i="2"/>
  <c r="CD1114" i="2"/>
  <c r="CD1127" i="2"/>
  <c r="CD1149" i="2"/>
  <c r="CD1069" i="2"/>
  <c r="CD938" i="2"/>
  <c r="CD1030" i="2"/>
  <c r="CD95" i="2"/>
  <c r="CD351" i="2"/>
  <c r="CD362" i="2"/>
  <c r="CD458" i="2"/>
  <c r="CD554" i="2"/>
  <c r="CD714" i="2"/>
  <c r="CD750" i="2"/>
  <c r="CD761" i="2"/>
  <c r="CD781" i="2"/>
  <c r="CD810" i="2"/>
  <c r="CD820" i="2"/>
  <c r="CD858" i="2"/>
  <c r="CD868" i="2"/>
  <c r="CD906" i="2"/>
  <c r="CD916" i="2"/>
  <c r="CD954" i="2"/>
  <c r="CD964" i="2"/>
  <c r="CD1018" i="2"/>
  <c r="CD1027" i="2"/>
  <c r="CD1049" i="2"/>
  <c r="CD1062" i="2"/>
  <c r="CD1075" i="2"/>
  <c r="CD1097" i="2"/>
  <c r="CD1110" i="2"/>
  <c r="CD1123" i="2"/>
  <c r="CD1145" i="2"/>
  <c r="CD1158" i="2"/>
  <c r="CD1162" i="2"/>
  <c r="CD1166" i="2"/>
  <c r="CD1170" i="2"/>
  <c r="CD1174" i="2"/>
  <c r="CD1178" i="2"/>
  <c r="CD1182" i="2"/>
  <c r="CD1186" i="2"/>
  <c r="CD1190" i="2"/>
  <c r="CD1194" i="2"/>
  <c r="CD1198" i="2"/>
  <c r="CD1202" i="2"/>
  <c r="CD1206" i="2"/>
  <c r="CD1082" i="2"/>
  <c r="CD1095" i="2"/>
  <c r="CD852" i="2"/>
  <c r="CD890" i="2"/>
  <c r="CD1002" i="2"/>
  <c r="CD1043" i="2"/>
  <c r="CD1078" i="2"/>
  <c r="CD374" i="2"/>
  <c r="CD470" i="2"/>
  <c r="CD566" i="2"/>
  <c r="CD628" i="2"/>
  <c r="CD672" i="2"/>
  <c r="CD720" i="2"/>
  <c r="CD746" i="2"/>
  <c r="CD772" i="2"/>
  <c r="CD786" i="2"/>
  <c r="CD796" i="2"/>
  <c r="CD806" i="2"/>
  <c r="CD825" i="2"/>
  <c r="CD834" i="2"/>
  <c r="CD844" i="2"/>
  <c r="CD854" i="2"/>
  <c r="CD873" i="2"/>
  <c r="CD882" i="2"/>
  <c r="CD892" i="2"/>
  <c r="CD902" i="2"/>
  <c r="CD921" i="2"/>
  <c r="CD930" i="2"/>
  <c r="CD940" i="2"/>
  <c r="CD950" i="2"/>
  <c r="CD969" i="2"/>
  <c r="CD978" i="2"/>
  <c r="CD994" i="2"/>
  <c r="CD999" i="2"/>
  <c r="CD1023" i="2"/>
  <c r="CD1045" i="2"/>
  <c r="CD1058" i="2"/>
  <c r="CD1071" i="2"/>
  <c r="CD1093" i="2"/>
  <c r="CD1106" i="2"/>
  <c r="CD1119" i="2"/>
  <c r="CD1141" i="2"/>
  <c r="CD1154" i="2"/>
  <c r="CD1011" i="2"/>
  <c r="CD876" i="2"/>
  <c r="CD1113" i="2"/>
  <c r="CD239" i="2"/>
  <c r="CD397" i="2"/>
  <c r="CD493" i="2"/>
  <c r="CD589" i="2"/>
  <c r="CD650" i="2"/>
  <c r="CD710" i="2"/>
  <c r="CD736" i="2"/>
  <c r="CD777" i="2"/>
  <c r="CD816" i="2"/>
  <c r="CD830" i="2"/>
  <c r="CD864" i="2"/>
  <c r="CD878" i="2"/>
  <c r="CD912" i="2"/>
  <c r="CD926" i="2"/>
  <c r="CD960" i="2"/>
  <c r="CD974" i="2"/>
  <c r="CD1014" i="2"/>
  <c r="CD1041" i="2"/>
  <c r="CD1054" i="2"/>
  <c r="CD1067" i="2"/>
  <c r="CD1089" i="2"/>
  <c r="CD1102" i="2"/>
  <c r="CD1115" i="2"/>
  <c r="CD1137" i="2"/>
  <c r="CD1150" i="2"/>
  <c r="CD1107" i="2"/>
  <c r="CD942" i="2"/>
  <c r="CD976" i="2"/>
  <c r="CD986" i="2"/>
  <c r="CD541" i="2"/>
  <c r="CD794" i="2"/>
  <c r="CD73" i="2"/>
  <c r="CD409" i="2"/>
  <c r="CD505" i="2"/>
  <c r="CD601" i="2"/>
  <c r="CD684" i="2"/>
  <c r="CD689" i="2"/>
  <c r="CD726" i="2"/>
  <c r="CD762" i="2"/>
  <c r="CD821" i="2"/>
  <c r="CD869" i="2"/>
  <c r="CD917" i="2"/>
  <c r="CD965" i="2"/>
  <c r="CD1019" i="2"/>
  <c r="CD1037" i="2"/>
  <c r="CD1050" i="2"/>
  <c r="CD1063" i="2"/>
  <c r="CD1085" i="2"/>
  <c r="CD1098" i="2"/>
  <c r="CD1111" i="2"/>
  <c r="CD1133" i="2"/>
  <c r="CD1146" i="2"/>
  <c r="CD1159" i="2"/>
  <c r="CD1163" i="2"/>
  <c r="CD1167" i="2"/>
  <c r="CD1171" i="2"/>
  <c r="CD1175" i="2"/>
  <c r="CD1179" i="2"/>
  <c r="CD1183" i="2"/>
  <c r="CD1187" i="2"/>
  <c r="CD1191" i="2"/>
  <c r="CD1195" i="2"/>
  <c r="CD1199" i="2"/>
  <c r="CD1203" i="2"/>
  <c r="CD1207" i="2"/>
  <c r="CD990" i="2"/>
  <c r="CD1010" i="2"/>
  <c r="CD1033" i="2"/>
  <c r="CD1046" i="2"/>
  <c r="CD1059" i="2"/>
  <c r="CD1081" i="2"/>
  <c r="CD1094" i="2"/>
  <c r="CD1129" i="2"/>
  <c r="CD1142" i="2"/>
  <c r="CD1155" i="2"/>
  <c r="CD1047" i="2"/>
  <c r="CD432" i="2"/>
  <c r="CD528" i="2"/>
  <c r="CD624" i="2"/>
  <c r="CD662" i="2"/>
  <c r="CD732" i="2"/>
  <c r="CD768" i="2"/>
  <c r="CD773" i="2"/>
  <c r="CD797" i="2"/>
  <c r="CD845" i="2"/>
  <c r="CD893" i="2"/>
  <c r="CD941" i="2"/>
  <c r="CD1117" i="2"/>
  <c r="CD445" i="2"/>
  <c r="CD900" i="2"/>
  <c r="CD924" i="2"/>
  <c r="CD972" i="2"/>
  <c r="CD217" i="2"/>
  <c r="CD444" i="2"/>
  <c r="CD540" i="2"/>
  <c r="CD737" i="2"/>
  <c r="CD758" i="2"/>
  <c r="CD793" i="2"/>
  <c r="CD812" i="2"/>
  <c r="CD817" i="2"/>
  <c r="CD841" i="2"/>
  <c r="CD860" i="2"/>
  <c r="CD865" i="2"/>
  <c r="CD889" i="2"/>
  <c r="CD908" i="2"/>
  <c r="CD913" i="2"/>
  <c r="CD937" i="2"/>
  <c r="CD956" i="2"/>
  <c r="CD961" i="2"/>
  <c r="CD1015" i="2"/>
  <c r="CD1029" i="2"/>
  <c r="CD1042" i="2"/>
  <c r="CD1055" i="2"/>
  <c r="CD1077" i="2"/>
  <c r="CD1090" i="2"/>
  <c r="CD1103" i="2"/>
  <c r="CD1125" i="2"/>
  <c r="CD1138" i="2"/>
  <c r="CD1151" i="2"/>
  <c r="CD846" i="2"/>
  <c r="CD894" i="2"/>
  <c r="CD1034" i="2"/>
  <c r="CD948" i="2"/>
  <c r="CD1091" i="2"/>
  <c r="CD1126" i="2"/>
  <c r="CD410" i="2"/>
  <c r="CD506" i="2"/>
  <c r="CD602" i="2"/>
  <c r="CD636" i="2"/>
  <c r="CD641" i="2"/>
  <c r="CD685" i="2"/>
  <c r="CD701" i="2"/>
  <c r="CD748" i="2"/>
  <c r="CD808" i="2"/>
  <c r="CD822" i="2"/>
  <c r="CD856" i="2"/>
  <c r="CD870" i="2"/>
  <c r="CD904" i="2"/>
  <c r="CD918" i="2"/>
  <c r="CD952" i="2"/>
  <c r="CD966" i="2"/>
  <c r="CD1006" i="2"/>
  <c r="CD1025" i="2"/>
  <c r="CD1038" i="2"/>
  <c r="CD1051" i="2"/>
  <c r="CD1073" i="2"/>
  <c r="CD1086" i="2"/>
  <c r="CD1099" i="2"/>
  <c r="CD1121" i="2"/>
  <c r="CD1134" i="2"/>
  <c r="CD1147" i="2"/>
  <c r="CD1160" i="2"/>
  <c r="CD1164" i="2"/>
  <c r="CD1168" i="2"/>
  <c r="CD1172" i="2"/>
  <c r="CD1176" i="2"/>
  <c r="CD1180" i="2"/>
  <c r="CD1184" i="2"/>
  <c r="CD1188" i="2"/>
  <c r="CD1192" i="2"/>
  <c r="CD1196" i="2"/>
  <c r="CD1200" i="2"/>
  <c r="CD1204" i="2"/>
  <c r="CD343" i="2"/>
  <c r="CD422" i="2"/>
  <c r="CD518" i="2"/>
  <c r="CD614" i="2"/>
  <c r="CD733" i="2"/>
  <c r="CD774" i="2"/>
  <c r="CD784" i="2"/>
  <c r="CD798" i="2"/>
  <c r="CD832" i="2"/>
  <c r="CD880" i="2"/>
  <c r="CD928" i="2"/>
  <c r="CD1143" i="2"/>
  <c r="CD697" i="2"/>
  <c r="CD804" i="2"/>
  <c r="CD842" i="2"/>
  <c r="DH19" i="3"/>
  <c r="DH23" i="3"/>
  <c r="DH27" i="3"/>
  <c r="DH31" i="3"/>
  <c r="DH35" i="3"/>
  <c r="DH39" i="3"/>
  <c r="DH43" i="3"/>
  <c r="DH47" i="3"/>
  <c r="DH51" i="3"/>
  <c r="DH55" i="3"/>
  <c r="DH59" i="3"/>
  <c r="DH63" i="3"/>
  <c r="DH67" i="3"/>
  <c r="DH71" i="3"/>
  <c r="DH75" i="3"/>
  <c r="DH79" i="3"/>
  <c r="DH83" i="3"/>
  <c r="DH87" i="3"/>
  <c r="DH91" i="3"/>
  <c r="DH95" i="3"/>
  <c r="DH99" i="3"/>
  <c r="DH103" i="3"/>
  <c r="DH107" i="3"/>
  <c r="DH111" i="3"/>
  <c r="DH115" i="3"/>
  <c r="DH119" i="3"/>
  <c r="DH123" i="3"/>
  <c r="DH127" i="3"/>
  <c r="DH131" i="3"/>
  <c r="DH135" i="3"/>
  <c r="DH139" i="3"/>
  <c r="DH143" i="3"/>
  <c r="DH147" i="3"/>
  <c r="DH151" i="3"/>
  <c r="DH155" i="3"/>
  <c r="DH159" i="3"/>
  <c r="DH163" i="3"/>
  <c r="DH167" i="3"/>
  <c r="DH171" i="3"/>
  <c r="DH175" i="3"/>
  <c r="DH179" i="3"/>
  <c r="DH183" i="3"/>
  <c r="DH187" i="3"/>
  <c r="DH191" i="3"/>
  <c r="DH195" i="3"/>
  <c r="DH199" i="3"/>
  <c r="DH203" i="3"/>
  <c r="DH207" i="3"/>
  <c r="DH211" i="3"/>
  <c r="DH215" i="3"/>
  <c r="DH219" i="3"/>
  <c r="DH223" i="3"/>
  <c r="DH227" i="3"/>
  <c r="DH231" i="3"/>
  <c r="DH235" i="3"/>
  <c r="DH239" i="3"/>
  <c r="DH243" i="3"/>
  <c r="DH247" i="3"/>
  <c r="DH251" i="3"/>
  <c r="DH255" i="3"/>
  <c r="DH259" i="3"/>
  <c r="DH263" i="3"/>
  <c r="DH267" i="3"/>
  <c r="DH271" i="3"/>
  <c r="DH275" i="3"/>
  <c r="DH279" i="3"/>
  <c r="DH283" i="3"/>
  <c r="DH287" i="3"/>
  <c r="DH291" i="3"/>
  <c r="DH295" i="3"/>
  <c r="DH299" i="3"/>
  <c r="DH303" i="3"/>
  <c r="DH307" i="3"/>
  <c r="DH311" i="3"/>
  <c r="DH315" i="3"/>
  <c r="DH319" i="3"/>
  <c r="DH323" i="3"/>
  <c r="DH327" i="3"/>
  <c r="DH331" i="3"/>
  <c r="DH335" i="3"/>
  <c r="DH339" i="3"/>
  <c r="DH343" i="3"/>
  <c r="DH347" i="3"/>
  <c r="DH351" i="3"/>
  <c r="DH355" i="3"/>
  <c r="DH25" i="3"/>
  <c r="DH38" i="3"/>
  <c r="DH21" i="3"/>
  <c r="DH17" i="3"/>
  <c r="DH22" i="3"/>
  <c r="DH44" i="3"/>
  <c r="DH57" i="3"/>
  <c r="DH70" i="3"/>
  <c r="DH92" i="3"/>
  <c r="DH105" i="3"/>
  <c r="DH118" i="3"/>
  <c r="DH140" i="3"/>
  <c r="DH153" i="3"/>
  <c r="DH166" i="3"/>
  <c r="DH188" i="3"/>
  <c r="DH201" i="3"/>
  <c r="DH214" i="3"/>
  <c r="DH236" i="3"/>
  <c r="DH249" i="3"/>
  <c r="DH262" i="3"/>
  <c r="DH284" i="3"/>
  <c r="DH297" i="3"/>
  <c r="DH310" i="3"/>
  <c r="DH332" i="3"/>
  <c r="DH345" i="3"/>
  <c r="DH358" i="3"/>
  <c r="DH362" i="3"/>
  <c r="DH366" i="3"/>
  <c r="DH370" i="3"/>
  <c r="DH374" i="3"/>
  <c r="DH378" i="3"/>
  <c r="DH382" i="3"/>
  <c r="DH386" i="3"/>
  <c r="DH390" i="3"/>
  <c r="DH394" i="3"/>
  <c r="DH398" i="3"/>
  <c r="DH402" i="3"/>
  <c r="DH406" i="3"/>
  <c r="DH410" i="3"/>
  <c r="DH414" i="3"/>
  <c r="DH418" i="3"/>
  <c r="DH422" i="3"/>
  <c r="DH426" i="3"/>
  <c r="DH430" i="3"/>
  <c r="DH434" i="3"/>
  <c r="DH438" i="3"/>
  <c r="DH442" i="3"/>
  <c r="DH446" i="3"/>
  <c r="DH450" i="3"/>
  <c r="DH454" i="3"/>
  <c r="DH458" i="3"/>
  <c r="DH462" i="3"/>
  <c r="DH466" i="3"/>
  <c r="DH470" i="3"/>
  <c r="DH474" i="3"/>
  <c r="DH478" i="3"/>
  <c r="DH482" i="3"/>
  <c r="DH486" i="3"/>
  <c r="DH490" i="3"/>
  <c r="DH494" i="3"/>
  <c r="DH498" i="3"/>
  <c r="DH502" i="3"/>
  <c r="DH506" i="3"/>
  <c r="DH510" i="3"/>
  <c r="DH514" i="3"/>
  <c r="DH518" i="3"/>
  <c r="DH522" i="3"/>
  <c r="DH526" i="3"/>
  <c r="DH530" i="3"/>
  <c r="DH534" i="3"/>
  <c r="DH538" i="3"/>
  <c r="DH542" i="3"/>
  <c r="DH546" i="3"/>
  <c r="DH550" i="3"/>
  <c r="DH554" i="3"/>
  <c r="DH558" i="3"/>
  <c r="DH562" i="3"/>
  <c r="DH566" i="3"/>
  <c r="DH570" i="3"/>
  <c r="DH574" i="3"/>
  <c r="DH578" i="3"/>
  <c r="DH582" i="3"/>
  <c r="DH586" i="3"/>
  <c r="DH590" i="3"/>
  <c r="DH594" i="3"/>
  <c r="DH598" i="3"/>
  <c r="DH602" i="3"/>
  <c r="DH606" i="3"/>
  <c r="DH610" i="3"/>
  <c r="DH18" i="3"/>
  <c r="DH40" i="3"/>
  <c r="DH53" i="3"/>
  <c r="DH66" i="3"/>
  <c r="DH88" i="3"/>
  <c r="DH101" i="3"/>
  <c r="DH114" i="3"/>
  <c r="DH136" i="3"/>
  <c r="DH149" i="3"/>
  <c r="DH162" i="3"/>
  <c r="DH184" i="3"/>
  <c r="DH197" i="3"/>
  <c r="DH210" i="3"/>
  <c r="DH232" i="3"/>
  <c r="DH245" i="3"/>
  <c r="DH258" i="3"/>
  <c r="DH280" i="3"/>
  <c r="DH293" i="3"/>
  <c r="DH306" i="3"/>
  <c r="DH328" i="3"/>
  <c r="DH341" i="3"/>
  <c r="DH354" i="3"/>
  <c r="DH32" i="3"/>
  <c r="DH45" i="3"/>
  <c r="DH28" i="3"/>
  <c r="DH24" i="3"/>
  <c r="DH20" i="3"/>
  <c r="DH33" i="3"/>
  <c r="DH46" i="3"/>
  <c r="DH68" i="3"/>
  <c r="DH81" i="3"/>
  <c r="DH94" i="3"/>
  <c r="DH116" i="3"/>
  <c r="DH129" i="3"/>
  <c r="DH142" i="3"/>
  <c r="DH164" i="3"/>
  <c r="DH177" i="3"/>
  <c r="DH190" i="3"/>
  <c r="DH212" i="3"/>
  <c r="DH225" i="3"/>
  <c r="DH238" i="3"/>
  <c r="DH260" i="3"/>
  <c r="DH273" i="3"/>
  <c r="DH286" i="3"/>
  <c r="DH308" i="3"/>
  <c r="DH321" i="3"/>
  <c r="DH334" i="3"/>
  <c r="DH356" i="3"/>
  <c r="DH360" i="3"/>
  <c r="DH364" i="3"/>
  <c r="DH368" i="3"/>
  <c r="DH372" i="3"/>
  <c r="DH376" i="3"/>
  <c r="DH380" i="3"/>
  <c r="DH384" i="3"/>
  <c r="DH388" i="3"/>
  <c r="DH392" i="3"/>
  <c r="DH396" i="3"/>
  <c r="DH400" i="3"/>
  <c r="DH404" i="3"/>
  <c r="DH408" i="3"/>
  <c r="DH412" i="3"/>
  <c r="DH416" i="3"/>
  <c r="DH420" i="3"/>
  <c r="DH424" i="3"/>
  <c r="DH428" i="3"/>
  <c r="DH432" i="3"/>
  <c r="DH436" i="3"/>
  <c r="DH440" i="3"/>
  <c r="DH444" i="3"/>
  <c r="DH448" i="3"/>
  <c r="DH452" i="3"/>
  <c r="DH456" i="3"/>
  <c r="DH460" i="3"/>
  <c r="DH464" i="3"/>
  <c r="DH468" i="3"/>
  <c r="DH472" i="3"/>
  <c r="DH476" i="3"/>
  <c r="DH480" i="3"/>
  <c r="DH484" i="3"/>
  <c r="DH488" i="3"/>
  <c r="DH492" i="3"/>
  <c r="DH496" i="3"/>
  <c r="DH500" i="3"/>
  <c r="DH504" i="3"/>
  <c r="DH508" i="3"/>
  <c r="DH512" i="3"/>
  <c r="DH516" i="3"/>
  <c r="DH520" i="3"/>
  <c r="DH524" i="3"/>
  <c r="DH528" i="3"/>
  <c r="DH532" i="3"/>
  <c r="DH536" i="3"/>
  <c r="DH540" i="3"/>
  <c r="DH544" i="3"/>
  <c r="DH548" i="3"/>
  <c r="DH552" i="3"/>
  <c r="DH556" i="3"/>
  <c r="DH560" i="3"/>
  <c r="DH564" i="3"/>
  <c r="DH568" i="3"/>
  <c r="DH572" i="3"/>
  <c r="DH576" i="3"/>
  <c r="DH580" i="3"/>
  <c r="DH584" i="3"/>
  <c r="DH588" i="3"/>
  <c r="DH592" i="3"/>
  <c r="DH596" i="3"/>
  <c r="DH600" i="3"/>
  <c r="DH604" i="3"/>
  <c r="DH608" i="3"/>
  <c r="DH48" i="3"/>
  <c r="DH76" i="3"/>
  <c r="DH85" i="3"/>
  <c r="DH104" i="3"/>
  <c r="DH113" i="3"/>
  <c r="DH132" i="3"/>
  <c r="DH146" i="3"/>
  <c r="DH160" i="3"/>
  <c r="DH165" i="3"/>
  <c r="DH174" i="3"/>
  <c r="DH193" i="3"/>
  <c r="DH221" i="3"/>
  <c r="DH230" i="3"/>
  <c r="DH240" i="3"/>
  <c r="DH268" i="3"/>
  <c r="DH277" i="3"/>
  <c r="DH296" i="3"/>
  <c r="DH305" i="3"/>
  <c r="DH324" i="3"/>
  <c r="DH338" i="3"/>
  <c r="DH352" i="3"/>
  <c r="DH357" i="3"/>
  <c r="DH381" i="3"/>
  <c r="DH405" i="3"/>
  <c r="DH429" i="3"/>
  <c r="DH453" i="3"/>
  <c r="DH477" i="3"/>
  <c r="DH501" i="3"/>
  <c r="DH525" i="3"/>
  <c r="DH549" i="3"/>
  <c r="DH573" i="3"/>
  <c r="DH597" i="3"/>
  <c r="DH62" i="3"/>
  <c r="DH72" i="3"/>
  <c r="DH90" i="3"/>
  <c r="DH109" i="3"/>
  <c r="DH137" i="3"/>
  <c r="DH156" i="3"/>
  <c r="DH170" i="3"/>
  <c r="DH198" i="3"/>
  <c r="DH217" i="3"/>
  <c r="DH226" i="3"/>
  <c r="DH254" i="3"/>
  <c r="DH264" i="3"/>
  <c r="DH282" i="3"/>
  <c r="DH301" i="3"/>
  <c r="DH329" i="3"/>
  <c r="DH348" i="3"/>
  <c r="DH367" i="3"/>
  <c r="DH391" i="3"/>
  <c r="DH415" i="3"/>
  <c r="DH439" i="3"/>
  <c r="DH463" i="3"/>
  <c r="DH487" i="3"/>
  <c r="DH511" i="3"/>
  <c r="DH535" i="3"/>
  <c r="DH559" i="3"/>
  <c r="DH583" i="3"/>
  <c r="DH607" i="3"/>
  <c r="DH58" i="3"/>
  <c r="DH100" i="3"/>
  <c r="DH128" i="3"/>
  <c r="DH189" i="3"/>
  <c r="DH250" i="3"/>
  <c r="DH292" i="3"/>
  <c r="DH320" i="3"/>
  <c r="DH377" i="3"/>
  <c r="DH401" i="3"/>
  <c r="DH425" i="3"/>
  <c r="DH449" i="3"/>
  <c r="DH473" i="3"/>
  <c r="DH497" i="3"/>
  <c r="DH521" i="3"/>
  <c r="DH545" i="3"/>
  <c r="DH569" i="3"/>
  <c r="DH593" i="3"/>
  <c r="DH612" i="3"/>
  <c r="DH616" i="3"/>
  <c r="DH620" i="3"/>
  <c r="DH624" i="3"/>
  <c r="DH628" i="3"/>
  <c r="DH632" i="3"/>
  <c r="DH636" i="3"/>
  <c r="DH640" i="3"/>
  <c r="DH644" i="3"/>
  <c r="DH648" i="3"/>
  <c r="DH652" i="3"/>
  <c r="DH656" i="3"/>
  <c r="DH660" i="3"/>
  <c r="DH664" i="3"/>
  <c r="DH668" i="3"/>
  <c r="DH672" i="3"/>
  <c r="DH676" i="3"/>
  <c r="DH680" i="3"/>
  <c r="DH684" i="3"/>
  <c r="DH688" i="3"/>
  <c r="DH692" i="3"/>
  <c r="DH696" i="3"/>
  <c r="DH700" i="3"/>
  <c r="DH704" i="3"/>
  <c r="DH708" i="3"/>
  <c r="DH712" i="3"/>
  <c r="DH716" i="3"/>
  <c r="DH720" i="3"/>
  <c r="DH724" i="3"/>
  <c r="DH728" i="3"/>
  <c r="DH732" i="3"/>
  <c r="DH736" i="3"/>
  <c r="DH740" i="3"/>
  <c r="DH744" i="3"/>
  <c r="DH748" i="3"/>
  <c r="DH752" i="3"/>
  <c r="DH756" i="3"/>
  <c r="DH760" i="3"/>
  <c r="DH764" i="3"/>
  <c r="DH768" i="3"/>
  <c r="DH772" i="3"/>
  <c r="DH776" i="3"/>
  <c r="DH780" i="3"/>
  <c r="DH784" i="3"/>
  <c r="DH29" i="3"/>
  <c r="DH34" i="3"/>
  <c r="DH49" i="3"/>
  <c r="DH77" i="3"/>
  <c r="DH86" i="3"/>
  <c r="DH96" i="3"/>
  <c r="DH124" i="3"/>
  <c r="DH133" i="3"/>
  <c r="DH152" i="3"/>
  <c r="DH161" i="3"/>
  <c r="DH180" i="3"/>
  <c r="DH194" i="3"/>
  <c r="DH208" i="3"/>
  <c r="DH213" i="3"/>
  <c r="DH222" i="3"/>
  <c r="DH241" i="3"/>
  <c r="DH269" i="3"/>
  <c r="DH278" i="3"/>
  <c r="DH288" i="3"/>
  <c r="DH316" i="3"/>
  <c r="DH325" i="3"/>
  <c r="DH344" i="3"/>
  <c r="DH353" i="3"/>
  <c r="DH363" i="3"/>
  <c r="DH387" i="3"/>
  <c r="DH411" i="3"/>
  <c r="DH435" i="3"/>
  <c r="DH459" i="3"/>
  <c r="DH483" i="3"/>
  <c r="DH507" i="3"/>
  <c r="DH531" i="3"/>
  <c r="DH555" i="3"/>
  <c r="DH579" i="3"/>
  <c r="DH603" i="3"/>
  <c r="DH54" i="3"/>
  <c r="DH73" i="3"/>
  <c r="DH82" i="3"/>
  <c r="DH110" i="3"/>
  <c r="DH120" i="3"/>
  <c r="DH138" i="3"/>
  <c r="DH157" i="3"/>
  <c r="DH185" i="3"/>
  <c r="DH204" i="3"/>
  <c r="DH218" i="3"/>
  <c r="DH246" i="3"/>
  <c r="DH265" i="3"/>
  <c r="DH274" i="3"/>
  <c r="DH302" i="3"/>
  <c r="DH312" i="3"/>
  <c r="DH330" i="3"/>
  <c r="DH349" i="3"/>
  <c r="DH373" i="3"/>
  <c r="DH397" i="3"/>
  <c r="DH421" i="3"/>
  <c r="DH445" i="3"/>
  <c r="DH469" i="3"/>
  <c r="DH493" i="3"/>
  <c r="DH517" i="3"/>
  <c r="DH541" i="3"/>
  <c r="DH565" i="3"/>
  <c r="DH589" i="3"/>
  <c r="DH813" i="3"/>
  <c r="DH841" i="3"/>
  <c r="DH849" i="3"/>
  <c r="DH857" i="3"/>
  <c r="DH865" i="3"/>
  <c r="DH873" i="3"/>
  <c r="DH881" i="3"/>
  <c r="DH885" i="3"/>
  <c r="DH893" i="3"/>
  <c r="DH901" i="3"/>
  <c r="DH905" i="3"/>
  <c r="DH913" i="3"/>
  <c r="DH921" i="3"/>
  <c r="DH929" i="3"/>
  <c r="DH933" i="3"/>
  <c r="DH941" i="3"/>
  <c r="DH106" i="3"/>
  <c r="DH148" i="3"/>
  <c r="DH176" i="3"/>
  <c r="DH237" i="3"/>
  <c r="DH298" i="3"/>
  <c r="DH340" i="3"/>
  <c r="DH359" i="3"/>
  <c r="DH383" i="3"/>
  <c r="DH407" i="3"/>
  <c r="DH431" i="3"/>
  <c r="DH455" i="3"/>
  <c r="DH479" i="3"/>
  <c r="DH503" i="3"/>
  <c r="DH527" i="3"/>
  <c r="DH551" i="3"/>
  <c r="DH575" i="3"/>
  <c r="DH599" i="3"/>
  <c r="DH613" i="3"/>
  <c r="DH617" i="3"/>
  <c r="DH621" i="3"/>
  <c r="DH625" i="3"/>
  <c r="DH629" i="3"/>
  <c r="DH633" i="3"/>
  <c r="DH637" i="3"/>
  <c r="DH641" i="3"/>
  <c r="DH645" i="3"/>
  <c r="DH649" i="3"/>
  <c r="DH653" i="3"/>
  <c r="DH657" i="3"/>
  <c r="DH661" i="3"/>
  <c r="DH665" i="3"/>
  <c r="DH669" i="3"/>
  <c r="DH673" i="3"/>
  <c r="DH677" i="3"/>
  <c r="DH681" i="3"/>
  <c r="DH685" i="3"/>
  <c r="DH689" i="3"/>
  <c r="DH693" i="3"/>
  <c r="DH697" i="3"/>
  <c r="DH701" i="3"/>
  <c r="DH705" i="3"/>
  <c r="DH709" i="3"/>
  <c r="DH713" i="3"/>
  <c r="DH717" i="3"/>
  <c r="DH721" i="3"/>
  <c r="DH725" i="3"/>
  <c r="DH729" i="3"/>
  <c r="DH733" i="3"/>
  <c r="DH737" i="3"/>
  <c r="DH741" i="3"/>
  <c r="DH745" i="3"/>
  <c r="DH749" i="3"/>
  <c r="DH753" i="3"/>
  <c r="DH757" i="3"/>
  <c r="DH761" i="3"/>
  <c r="DH765" i="3"/>
  <c r="DH769" i="3"/>
  <c r="DH773" i="3"/>
  <c r="DH777" i="3"/>
  <c r="DH781" i="3"/>
  <c r="DH785" i="3"/>
  <c r="DH789" i="3"/>
  <c r="DH793" i="3"/>
  <c r="DH797" i="3"/>
  <c r="DH801" i="3"/>
  <c r="DH805" i="3"/>
  <c r="DH809" i="3"/>
  <c r="DH817" i="3"/>
  <c r="DH821" i="3"/>
  <c r="DH825" i="3"/>
  <c r="DH829" i="3"/>
  <c r="DH833" i="3"/>
  <c r="DH837" i="3"/>
  <c r="DH845" i="3"/>
  <c r="DH853" i="3"/>
  <c r="DH861" i="3"/>
  <c r="DH869" i="3"/>
  <c r="DH877" i="3"/>
  <c r="DH889" i="3"/>
  <c r="DH897" i="3"/>
  <c r="DH909" i="3"/>
  <c r="DH917" i="3"/>
  <c r="DH925" i="3"/>
  <c r="DH937" i="3"/>
  <c r="DH945" i="3"/>
  <c r="DH30" i="3"/>
  <c r="DH50" i="3"/>
  <c r="DH64" i="3"/>
  <c r="DH69" i="3"/>
  <c r="DH78" i="3"/>
  <c r="DH97" i="3"/>
  <c r="DH125" i="3"/>
  <c r="DH134" i="3"/>
  <c r="DH144" i="3"/>
  <c r="DH172" i="3"/>
  <c r="DH181" i="3"/>
  <c r="DH200" i="3"/>
  <c r="DH209" i="3"/>
  <c r="DH228" i="3"/>
  <c r="DH242" i="3"/>
  <c r="DH256" i="3"/>
  <c r="DH261" i="3"/>
  <c r="DH270" i="3"/>
  <c r="DH289" i="3"/>
  <c r="DH317" i="3"/>
  <c r="DH326" i="3"/>
  <c r="DH336" i="3"/>
  <c r="DH369" i="3"/>
  <c r="DH393" i="3"/>
  <c r="DH417" i="3"/>
  <c r="DH441" i="3"/>
  <c r="DH465" i="3"/>
  <c r="DH489" i="3"/>
  <c r="DH513" i="3"/>
  <c r="DH537" i="3"/>
  <c r="DH561" i="3"/>
  <c r="DH585" i="3"/>
  <c r="DH609" i="3"/>
  <c r="DH60" i="3"/>
  <c r="DH74" i="3"/>
  <c r="DH102" i="3"/>
  <c r="DH121" i="3"/>
  <c r="DH130" i="3"/>
  <c r="DH158" i="3"/>
  <c r="DH168" i="3"/>
  <c r="DH186" i="3"/>
  <c r="DH205" i="3"/>
  <c r="DH233" i="3"/>
  <c r="DH252" i="3"/>
  <c r="DH266" i="3"/>
  <c r="DH294" i="3"/>
  <c r="DH313" i="3"/>
  <c r="DH322" i="3"/>
  <c r="DH350" i="3"/>
  <c r="DH379" i="3"/>
  <c r="DH403" i="3"/>
  <c r="DH427" i="3"/>
  <c r="DH451" i="3"/>
  <c r="DH475" i="3"/>
  <c r="DH499" i="3"/>
  <c r="DH523" i="3"/>
  <c r="DH547" i="3"/>
  <c r="DH571" i="3"/>
  <c r="DH595" i="3"/>
  <c r="DH26" i="3"/>
  <c r="DH36" i="3"/>
  <c r="DH41" i="3"/>
  <c r="DH93" i="3"/>
  <c r="DH154" i="3"/>
  <c r="DH196" i="3"/>
  <c r="DH224" i="3"/>
  <c r="DH285" i="3"/>
  <c r="DH346" i="3"/>
  <c r="DH365" i="3"/>
  <c r="DH389" i="3"/>
  <c r="DH413" i="3"/>
  <c r="DH437" i="3"/>
  <c r="DH461" i="3"/>
  <c r="DH485" i="3"/>
  <c r="DH509" i="3"/>
  <c r="DH533" i="3"/>
  <c r="DH557" i="3"/>
  <c r="DH581" i="3"/>
  <c r="DH605" i="3"/>
  <c r="DH614" i="3"/>
  <c r="DH618" i="3"/>
  <c r="DH622" i="3"/>
  <c r="DH626" i="3"/>
  <c r="DH630" i="3"/>
  <c r="DH634" i="3"/>
  <c r="DH638" i="3"/>
  <c r="DH642" i="3"/>
  <c r="DH646" i="3"/>
  <c r="DH650" i="3"/>
  <c r="DH654" i="3"/>
  <c r="DH658" i="3"/>
  <c r="DH662" i="3"/>
  <c r="DH666" i="3"/>
  <c r="DH670" i="3"/>
  <c r="DH674" i="3"/>
  <c r="DH678" i="3"/>
  <c r="DH682" i="3"/>
  <c r="DH686" i="3"/>
  <c r="DH690" i="3"/>
  <c r="DH694" i="3"/>
  <c r="DH698" i="3"/>
  <c r="DH702" i="3"/>
  <c r="DH706" i="3"/>
  <c r="DH710" i="3"/>
  <c r="DH714" i="3"/>
  <c r="DH718" i="3"/>
  <c r="DH722" i="3"/>
  <c r="DH726" i="3"/>
  <c r="DH730" i="3"/>
  <c r="DH734" i="3"/>
  <c r="DH738" i="3"/>
  <c r="DH742" i="3"/>
  <c r="DH746" i="3"/>
  <c r="DH750" i="3"/>
  <c r="DH754" i="3"/>
  <c r="DH758" i="3"/>
  <c r="DH762" i="3"/>
  <c r="DH766" i="3"/>
  <c r="DH770" i="3"/>
  <c r="DH774" i="3"/>
  <c r="DH778" i="3"/>
  <c r="DH782" i="3"/>
  <c r="DH786" i="3"/>
  <c r="DH790" i="3"/>
  <c r="DH794" i="3"/>
  <c r="DH798" i="3"/>
  <c r="DH802" i="3"/>
  <c r="DH806" i="3"/>
  <c r="DH810" i="3"/>
  <c r="DH814" i="3"/>
  <c r="DH818" i="3"/>
  <c r="DH822" i="3"/>
  <c r="DH826" i="3"/>
  <c r="DH830" i="3"/>
  <c r="DH834" i="3"/>
  <c r="DH838" i="3"/>
  <c r="DH842" i="3"/>
  <c r="DH846" i="3"/>
  <c r="DH850" i="3"/>
  <c r="DH854" i="3"/>
  <c r="DH858" i="3"/>
  <c r="DH862" i="3"/>
  <c r="DH866" i="3"/>
  <c r="DH870" i="3"/>
  <c r="DH874" i="3"/>
  <c r="DH878" i="3"/>
  <c r="DH882" i="3"/>
  <c r="DH886" i="3"/>
  <c r="DH56" i="3"/>
  <c r="DH65" i="3"/>
  <c r="DH84" i="3"/>
  <c r="DH98" i="3"/>
  <c r="DH112" i="3"/>
  <c r="DH117" i="3"/>
  <c r="DH126" i="3"/>
  <c r="DH145" i="3"/>
  <c r="DH173" i="3"/>
  <c r="DH182" i="3"/>
  <c r="DH192" i="3"/>
  <c r="DH220" i="3"/>
  <c r="DH229" i="3"/>
  <c r="DH248" i="3"/>
  <c r="DH257" i="3"/>
  <c r="DH276" i="3"/>
  <c r="DH290" i="3"/>
  <c r="DH304" i="3"/>
  <c r="DH309" i="3"/>
  <c r="DH318" i="3"/>
  <c r="DH337" i="3"/>
  <c r="DH375" i="3"/>
  <c r="DH399" i="3"/>
  <c r="DH423" i="3"/>
  <c r="DH447" i="3"/>
  <c r="DH471" i="3"/>
  <c r="DH495" i="3"/>
  <c r="DH519" i="3"/>
  <c r="DH543" i="3"/>
  <c r="DH567" i="3"/>
  <c r="DH591" i="3"/>
  <c r="DH61" i="3"/>
  <c r="DH89" i="3"/>
  <c r="DH108" i="3"/>
  <c r="DH122" i="3"/>
  <c r="DH150" i="3"/>
  <c r="DH169" i="3"/>
  <c r="DH178" i="3"/>
  <c r="DH206" i="3"/>
  <c r="DH216" i="3"/>
  <c r="DH234" i="3"/>
  <c r="DH253" i="3"/>
  <c r="DH281" i="3"/>
  <c r="DH300" i="3"/>
  <c r="DH314" i="3"/>
  <c r="DH342" i="3"/>
  <c r="DH361" i="3"/>
  <c r="DH385" i="3"/>
  <c r="DH409" i="3"/>
  <c r="DH433" i="3"/>
  <c r="DH457" i="3"/>
  <c r="DH481" i="3"/>
  <c r="DH505" i="3"/>
  <c r="DH529" i="3"/>
  <c r="DH553" i="3"/>
  <c r="DH577" i="3"/>
  <c r="DH601" i="3"/>
  <c r="DH395" i="3"/>
  <c r="DH639" i="3"/>
  <c r="DH655" i="3"/>
  <c r="DH671" i="3"/>
  <c r="DH687" i="3"/>
  <c r="DH703" i="3"/>
  <c r="DH719" i="3"/>
  <c r="DH735" i="3"/>
  <c r="DH902" i="3"/>
  <c r="DH915" i="3"/>
  <c r="DH928" i="3"/>
  <c r="DH851" i="3"/>
  <c r="DH907" i="3"/>
  <c r="DH920" i="3"/>
  <c r="DH847" i="3"/>
  <c r="DH419" i="3"/>
  <c r="DH827" i="3"/>
  <c r="DH911" i="3"/>
  <c r="DH942" i="3"/>
  <c r="DH890" i="3"/>
  <c r="DH903" i="3"/>
  <c r="DH936" i="3"/>
  <c r="DH52" i="3"/>
  <c r="DH141" i="3"/>
  <c r="DH443" i="3"/>
  <c r="DH832" i="3"/>
  <c r="DH880" i="3"/>
  <c r="DH272" i="3"/>
  <c r="DH467" i="3"/>
  <c r="DH619" i="3"/>
  <c r="DH635" i="3"/>
  <c r="DH651" i="3"/>
  <c r="DH667" i="3"/>
  <c r="DH683" i="3"/>
  <c r="DH699" i="3"/>
  <c r="DH715" i="3"/>
  <c r="DH731" i="3"/>
  <c r="DH747" i="3"/>
  <c r="DH763" i="3"/>
  <c r="DH779" i="3"/>
  <c r="DH799" i="3"/>
  <c r="DH823" i="3"/>
  <c r="DH871" i="3"/>
  <c r="DH916" i="3"/>
  <c r="DH938" i="3"/>
  <c r="DH491" i="3"/>
  <c r="DH804" i="3"/>
  <c r="DH828" i="3"/>
  <c r="DH852" i="3"/>
  <c r="DH876" i="3"/>
  <c r="DH899" i="3"/>
  <c r="DH912" i="3"/>
  <c r="DH934" i="3"/>
  <c r="DH42" i="3"/>
  <c r="DH202" i="3"/>
  <c r="DH515" i="3"/>
  <c r="DH795" i="3"/>
  <c r="DH819" i="3"/>
  <c r="DH843" i="3"/>
  <c r="DH867" i="3"/>
  <c r="DH895" i="3"/>
  <c r="DH908" i="3"/>
  <c r="DH930" i="3"/>
  <c r="DH943" i="3"/>
  <c r="DH887" i="3"/>
  <c r="DH796" i="3"/>
  <c r="DH896" i="3"/>
  <c r="DH835" i="3"/>
  <c r="DH840" i="3"/>
  <c r="DH888" i="3"/>
  <c r="DH910" i="3"/>
  <c r="DH37" i="3"/>
  <c r="DH244" i="3"/>
  <c r="DH333" i="3"/>
  <c r="DH539" i="3"/>
  <c r="DH615" i="3"/>
  <c r="DH631" i="3"/>
  <c r="DH647" i="3"/>
  <c r="DH663" i="3"/>
  <c r="DH679" i="3"/>
  <c r="DH695" i="3"/>
  <c r="DH711" i="3"/>
  <c r="DH727" i="3"/>
  <c r="DH743" i="3"/>
  <c r="DH759" i="3"/>
  <c r="DH775" i="3"/>
  <c r="DH800" i="3"/>
  <c r="DH824" i="3"/>
  <c r="DH848" i="3"/>
  <c r="DH872" i="3"/>
  <c r="DH891" i="3"/>
  <c r="DH904" i="3"/>
  <c r="DH926" i="3"/>
  <c r="DH939" i="3"/>
  <c r="DH791" i="3"/>
  <c r="DH839" i="3"/>
  <c r="DH863" i="3"/>
  <c r="DH900" i="3"/>
  <c r="DH922" i="3"/>
  <c r="DH844" i="3"/>
  <c r="DH868" i="3"/>
  <c r="DH859" i="3"/>
  <c r="DH892" i="3"/>
  <c r="DH927" i="3"/>
  <c r="DH940" i="3"/>
  <c r="DH864" i="3"/>
  <c r="DH563" i="3"/>
  <c r="DH815" i="3"/>
  <c r="DH935" i="3"/>
  <c r="DH587" i="3"/>
  <c r="DH931" i="3"/>
  <c r="DH944" i="3"/>
  <c r="DH739" i="3"/>
  <c r="DH771" i="3"/>
  <c r="DH787" i="3"/>
  <c r="DH811" i="3"/>
  <c r="DH820" i="3"/>
  <c r="DH918" i="3"/>
  <c r="DH755" i="3"/>
  <c r="DH883" i="3"/>
  <c r="DH914" i="3"/>
  <c r="DH611" i="3"/>
  <c r="DH627" i="3"/>
  <c r="DH643" i="3"/>
  <c r="DH659" i="3"/>
  <c r="DH675" i="3"/>
  <c r="DH691" i="3"/>
  <c r="DH707" i="3"/>
  <c r="DH723" i="3"/>
  <c r="DH792" i="3"/>
  <c r="DH816" i="3"/>
  <c r="DH923" i="3"/>
  <c r="DH80" i="3"/>
  <c r="DH371" i="3"/>
  <c r="DH807" i="3"/>
  <c r="DH831" i="3"/>
  <c r="DH855" i="3"/>
  <c r="DH879" i="3"/>
  <c r="DH906" i="3"/>
  <c r="DH919" i="3"/>
  <c r="DH932" i="3"/>
  <c r="DH623" i="3"/>
  <c r="DH751" i="3"/>
  <c r="DH767" i="3"/>
  <c r="DH783" i="3"/>
  <c r="DH788" i="3"/>
  <c r="DH812" i="3"/>
  <c r="DH836" i="3"/>
  <c r="DH860" i="3"/>
  <c r="DH884" i="3"/>
  <c r="DH803" i="3"/>
  <c r="DH875" i="3"/>
  <c r="DH898" i="3"/>
  <c r="DH924" i="3"/>
  <c r="DH808" i="3"/>
  <c r="DH856" i="3"/>
  <c r="DH894" i="3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A3" i="5"/>
  <c r="BB3" i="5"/>
  <c r="BC3" i="5"/>
  <c r="BD3" i="5"/>
  <c r="BE3" i="5"/>
  <c r="BF3" i="5"/>
  <c r="BG3" i="5"/>
  <c r="BH3" i="5"/>
  <c r="BI3" i="5"/>
  <c r="BJ3" i="5"/>
  <c r="BK3" i="5"/>
  <c r="BL3" i="5"/>
  <c r="BM3" i="5"/>
  <c r="BN3" i="5"/>
  <c r="BO3" i="5"/>
  <c r="BP3" i="5"/>
  <c r="BQ3" i="5"/>
  <c r="BR3" i="5"/>
  <c r="BS3" i="5"/>
  <c r="BT3" i="5"/>
  <c r="BU3" i="5"/>
  <c r="BV3" i="5"/>
  <c r="BW3" i="5"/>
  <c r="BX3" i="5"/>
  <c r="BY3" i="5"/>
  <c r="BZ3" i="5"/>
  <c r="CA3" i="5"/>
  <c r="CB3" i="5"/>
  <c r="CC3" i="5"/>
  <c r="CD3" i="5"/>
  <c r="CE3" i="5"/>
  <c r="CF3" i="5"/>
  <c r="CG3" i="5"/>
  <c r="CH3" i="5"/>
  <c r="CI3" i="5"/>
  <c r="CJ3" i="5"/>
  <c r="CK3" i="5"/>
  <c r="CL3" i="5"/>
  <c r="CM3" i="5"/>
  <c r="CN3" i="5"/>
  <c r="CO3" i="5"/>
  <c r="CP3" i="5"/>
  <c r="CQ3" i="5"/>
  <c r="CR3" i="5"/>
  <c r="CS3" i="5"/>
  <c r="CT3" i="5"/>
  <c r="CU3" i="5"/>
  <c r="CV3" i="5"/>
  <c r="CW3" i="5"/>
  <c r="CX3" i="5"/>
  <c r="CY3" i="5"/>
  <c r="CZ3" i="5"/>
  <c r="DA3" i="5"/>
  <c r="DB3" i="5"/>
  <c r="DC3" i="5"/>
  <c r="DD3" i="5"/>
  <c r="DE3" i="5"/>
  <c r="DF3" i="5"/>
  <c r="DG3" i="5"/>
  <c r="DH3" i="5"/>
  <c r="DI3" i="5"/>
  <c r="DJ3" i="5"/>
  <c r="DK3" i="5"/>
  <c r="DL3" i="5"/>
  <c r="DM3" i="5"/>
  <c r="S3" i="5"/>
  <c r="T3" i="5"/>
  <c r="U3" i="5"/>
  <c r="V3" i="5"/>
  <c r="BL8" i="5" l="1"/>
  <c r="AB8" i="5"/>
  <c r="BL3" i="3"/>
  <c r="BM3" i="3"/>
  <c r="BE3" i="3"/>
  <c r="BF3" i="3"/>
  <c r="AK3" i="3"/>
  <c r="AL3" i="3"/>
  <c r="AM3" i="3"/>
  <c r="AN3" i="3"/>
  <c r="AO3" i="3"/>
  <c r="AP3" i="3"/>
  <c r="AQ3" i="3"/>
  <c r="W3" i="3"/>
  <c r="V3" i="3"/>
  <c r="P3" i="3"/>
  <c r="Q3" i="3"/>
  <c r="CC3" i="2" l="1"/>
  <c r="CD3" i="2"/>
  <c r="AU3" i="2" l="1"/>
  <c r="AV3" i="2"/>
  <c r="AP3" i="2"/>
  <c r="AQ3" i="2"/>
  <c r="Z3" i="2"/>
  <c r="AA3" i="2"/>
  <c r="R3" i="2"/>
  <c r="S3" i="2"/>
  <c r="DK10" i="5" l="1"/>
  <c r="DK9" i="5"/>
  <c r="DL9" i="5" l="1"/>
  <c r="DM9" i="5" s="1"/>
  <c r="DL10" i="5"/>
  <c r="DM10" i="5" s="1"/>
  <c r="DL11" i="5"/>
  <c r="DL7" i="5"/>
  <c r="DM7" i="5" l="1"/>
  <c r="DM11" i="5"/>
  <c r="DK8" i="5"/>
  <c r="DK11" i="5"/>
  <c r="DK7" i="5"/>
  <c r="CC7" i="2" l="1"/>
  <c r="CD7" i="2" s="1"/>
  <c r="CC8" i="2" l="1"/>
  <c r="CD8" i="2" s="1"/>
  <c r="CB8" i="2"/>
  <c r="DG8" i="3"/>
  <c r="DH8" i="3" s="1"/>
  <c r="CC11" i="2" l="1"/>
  <c r="CD11" i="2" s="1"/>
  <c r="CC9" i="2"/>
  <c r="CD9" i="2" s="1"/>
  <c r="CB9" i="2"/>
  <c r="DG9" i="3"/>
  <c r="DH9" i="3" s="1"/>
  <c r="DF9" i="3"/>
  <c r="CB11" i="2" l="1"/>
  <c r="DG10" i="3"/>
  <c r="DH10" i="3" s="1"/>
  <c r="DF10" i="3"/>
  <c r="CC12" i="2"/>
  <c r="CD12" i="2" s="1"/>
  <c r="CB12" i="2"/>
  <c r="DG12" i="3" l="1"/>
  <c r="DH12" i="3" s="1"/>
  <c r="DF12" i="3"/>
  <c r="CC13" i="2"/>
  <c r="CD13" i="2" s="1"/>
  <c r="CB13" i="2"/>
  <c r="DG11" i="3"/>
  <c r="DH11" i="3" s="1"/>
  <c r="DF11" i="3"/>
  <c r="CC14" i="2" l="1"/>
  <c r="CD14" i="2" s="1"/>
  <c r="CB14" i="2"/>
  <c r="CC15" i="2" l="1"/>
  <c r="CD15" i="2" s="1"/>
  <c r="CB15" i="2"/>
  <c r="DG13" i="3"/>
  <c r="DH13" i="3" s="1"/>
  <c r="DF13" i="3"/>
  <c r="DG15" i="3" l="1"/>
  <c r="DH15" i="3" s="1"/>
  <c r="DF15" i="3"/>
  <c r="DG16" i="3"/>
  <c r="DH16" i="3" s="1"/>
  <c r="DF16" i="3"/>
  <c r="DG14" i="3"/>
  <c r="DH14" i="3" s="1"/>
  <c r="DF14" i="3"/>
  <c r="CC16" i="2" l="1"/>
  <c r="CD16" i="2" s="1"/>
  <c r="CB16" i="2"/>
  <c r="CC17" i="2"/>
  <c r="CD17" i="2" s="1"/>
  <c r="CB17" i="2"/>
  <c r="DL8" i="5" l="1"/>
  <c r="DM8" i="5" s="1"/>
  <c r="AG3" i="2"/>
  <c r="AH3" i="2"/>
  <c r="AI3" i="2"/>
  <c r="R3" i="5" l="1"/>
  <c r="Q3" i="5"/>
  <c r="P3" i="5"/>
  <c r="O3" i="5"/>
  <c r="N3" i="5"/>
  <c r="M3" i="5"/>
  <c r="L3" i="5"/>
  <c r="L3" i="3" l="1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AZ3" i="3"/>
  <c r="BA3" i="3"/>
  <c r="BB3" i="3"/>
  <c r="BC3" i="3"/>
  <c r="BD3" i="3"/>
  <c r="BG3" i="3"/>
  <c r="BH3" i="3"/>
  <c r="BI3" i="3"/>
  <c r="BJ3" i="3"/>
  <c r="BK3" i="3"/>
  <c r="BN3" i="3"/>
  <c r="BO3" i="3"/>
  <c r="BP3" i="3"/>
  <c r="BQ3" i="3"/>
  <c r="BR3" i="3"/>
  <c r="BS3" i="3"/>
  <c r="BT3" i="3"/>
  <c r="BU3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AY3" i="3"/>
  <c r="DF8" i="3"/>
  <c r="DG3" i="3"/>
  <c r="DH3" i="3"/>
  <c r="DF3" i="3"/>
  <c r="DE3" i="3"/>
  <c r="DD3" i="3"/>
  <c r="DC3" i="3"/>
  <c r="CO3" i="3"/>
  <c r="CN3" i="3"/>
  <c r="CM3" i="3"/>
  <c r="CK3" i="3"/>
  <c r="CJ3" i="3"/>
  <c r="CI3" i="3"/>
  <c r="AW3" i="3"/>
  <c r="AV3" i="3"/>
  <c r="AU3" i="3"/>
  <c r="AT3" i="3"/>
  <c r="AS3" i="3"/>
  <c r="AR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U3" i="3"/>
  <c r="T3" i="3"/>
  <c r="S3" i="3"/>
  <c r="R3" i="3"/>
  <c r="O3" i="3"/>
  <c r="N3" i="3"/>
  <c r="M3" i="3"/>
  <c r="AX3" i="3"/>
  <c r="BZ3" i="2"/>
  <c r="CA3" i="2"/>
  <c r="CB3" i="2"/>
  <c r="CL7" i="2"/>
  <c r="D6" i="1" l="1"/>
  <c r="M3" i="2"/>
  <c r="N3" i="2"/>
  <c r="O3" i="2"/>
  <c r="P3" i="2"/>
  <c r="Q3" i="2"/>
  <c r="T3" i="2"/>
  <c r="U3" i="2"/>
  <c r="V3" i="2"/>
  <c r="W3" i="2"/>
  <c r="X3" i="2"/>
  <c r="Y3" i="2"/>
  <c r="AB3" i="2"/>
  <c r="AC3" i="2"/>
  <c r="AD3" i="2"/>
  <c r="AE3" i="2"/>
  <c r="AF3" i="2"/>
  <c r="AJ3" i="2"/>
  <c r="AK3" i="2"/>
  <c r="AL3" i="2"/>
  <c r="AM3" i="2"/>
  <c r="AN3" i="2"/>
  <c r="AO3" i="2"/>
  <c r="AR3" i="2"/>
  <c r="AS3" i="2"/>
  <c r="AT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L3" i="2"/>
  <c r="C3" i="4"/>
  <c r="C2" i="4"/>
  <c r="AS17" i="2" l="1"/>
  <c r="AS12" i="2"/>
  <c r="AS14" i="2"/>
  <c r="AS13" i="2"/>
  <c r="AS15" i="2" l="1"/>
  <c r="AS16" i="2"/>
  <c r="AS11" i="2"/>
  <c r="AS9" i="2"/>
  <c r="AS8" i="2"/>
  <c r="AS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Petree, David</author>
  </authors>
  <commentList>
    <comment ref="P6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10 to 12 feet</t>
        </r>
      </text>
    </comment>
    <comment ref="Q6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Specified Grade is not currently handled
</t>
        </r>
      </text>
    </comment>
    <comment ref="T6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0 to 10 feet
</t>
        </r>
      </text>
    </comment>
    <comment ref="U6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0 to 6</t>
        </r>
      </text>
    </comment>
    <comment ref="AG6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AH6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AI6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AJ6" authorId="0" shapeId="0" xr:uid="{00000000-0006-0000-0100-000008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Does not handle Work Zone Currently
</t>
        </r>
      </text>
    </comment>
    <comment ref="AZ6" authorId="0" shapeId="0" xr:uid="{00000000-0006-0000-0100-000009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BA6" authorId="0" shapeId="0" xr:uid="{00000000-0006-0000-0100-00000A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BB6" authorId="0" shapeId="0" xr:uid="{00000000-0006-0000-0100-00000B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Petree, David</author>
  </authors>
  <commentList>
    <comment ref="L7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Must be 3 or Greater.
If 2 lanes, manual input is required
</t>
        </r>
      </text>
    </comment>
    <comment ref="O7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Specified Grade is not currently handled
</t>
        </r>
      </text>
    </comment>
    <comment ref="AC7" authorId="0" shapeId="0" xr:uid="{00000000-0006-0000-0200-000004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AD7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AE7" authorId="0" shapeId="0" xr:uid="{00000000-0006-0000-0200-000006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AU7" authorId="0" shapeId="0" xr:uid="{00000000-0006-0000-0200-000007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AV7" authorId="0" shapeId="0" xr:uid="{00000000-0006-0000-0200-000008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AW7" authorId="0" shapeId="0" xr:uid="{00000000-0006-0000-0200-000009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BA7" authorId="0" shapeId="0" xr:uid="{00000000-0006-0000-0200-00000A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1 or 2</t>
        </r>
      </text>
    </comment>
    <comment ref="BQ7" authorId="0" shapeId="0" xr:uid="{36452B67-E45C-4CE0-9667-1473A719D793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BR7" authorId="0" shapeId="0" xr:uid="{6F3FC0FF-8E6A-4DE7-A822-467E23F56F69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BS7" authorId="0" shapeId="0" xr:uid="{90090A50-FBCB-470E-884A-F7EF530BA007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Petree, David</author>
  </authors>
  <commentList>
    <comment ref="Q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0 to 4</t>
        </r>
      </text>
    </comment>
    <comment ref="AB6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When Cross Weaving Managed Lane, GP Through Demand</t>
        </r>
      </text>
    </comment>
    <comment ref="AG6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AL6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AM6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AT6" authorId="0" shapeId="0" xr:uid="{00000000-0006-0000-0300-000007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When Cross Weaving Managed Lane, Demand Leaving Managed Lane</t>
        </r>
      </text>
    </comment>
    <comment ref="AY6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When Cross Weaving Managed Lane, Managed Lane Through Demand</t>
        </r>
      </text>
    </comment>
    <comment ref="BD6" authorId="0" shapeId="0" xr:uid="{00000000-0006-0000-0300-000009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BE6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BL6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When Cross Weaving Managed Lane, Demand Entering Managed Lane</t>
        </r>
      </text>
    </comment>
    <comment ref="BQ6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CO6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CP6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  <comment ref="CQ6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Petree, David:</t>
        </r>
        <r>
          <rPr>
            <sz val="8"/>
            <color indexed="81"/>
            <rFont val="Tahoma"/>
            <family val="2"/>
          </rPr>
          <t xml:space="preserve">
Only Adjust if Needed; otherwise leave blank</t>
        </r>
      </text>
    </comment>
  </commentList>
</comments>
</file>

<file path=xl/sharedStrings.xml><?xml version="1.0" encoding="utf-8"?>
<sst xmlns="http://schemas.openxmlformats.org/spreadsheetml/2006/main" count="1268" uniqueCount="433">
  <si>
    <t>&lt;?xml version="1.0"?&gt;</t>
  </si>
  <si>
    <t>Basic Input</t>
  </si>
  <si>
    <t xml:space="preserve">Analyst </t>
  </si>
  <si>
    <t>DLP</t>
  </si>
  <si>
    <t>Organization</t>
  </si>
  <si>
    <t>HDR Inc.</t>
  </si>
  <si>
    <t>Date</t>
  </si>
  <si>
    <t xml:space="preserve">Analysis Year </t>
  </si>
  <si>
    <t>Period ID</t>
  </si>
  <si>
    <t xml:space="preserve">Facility Name </t>
  </si>
  <si>
    <t>Facility Loaction</t>
  </si>
  <si>
    <t xml:space="preserve">Jurisdiction </t>
  </si>
  <si>
    <t>Project ID</t>
  </si>
  <si>
    <t xml:space="preserve">File Name Base Dir </t>
  </si>
  <si>
    <t>*Add \</t>
  </si>
  <si>
    <t xml:space="preserve">File Name Base </t>
  </si>
  <si>
    <t xml:space="preserve">File Name  </t>
  </si>
  <si>
    <t>File Version</t>
  </si>
  <si>
    <t xml:space="preserve">Program </t>
  </si>
  <si>
    <t>Unit File</t>
  </si>
  <si>
    <t>USC</t>
  </si>
  <si>
    <t>ID</t>
  </si>
  <si>
    <t>LinkID</t>
  </si>
  <si>
    <t>Starting X</t>
  </si>
  <si>
    <t>Starting Y</t>
  </si>
  <si>
    <t>Ending X</t>
  </si>
  <si>
    <t>Ending Y</t>
  </si>
  <si>
    <t>GIS Mapping</t>
  </si>
  <si>
    <t>Open Lanes</t>
  </si>
  <si>
    <t>Geometric Data</t>
  </si>
  <si>
    <t>Measured FFs</t>
  </si>
  <si>
    <t>Lane Width (ft)</t>
  </si>
  <si>
    <t>Terrain Type</t>
  </si>
  <si>
    <t>Right Side Clearance (ft)</t>
  </si>
  <si>
    <t>Total Ramp Density (ramps/mi)</t>
  </si>
  <si>
    <t>Managed Lane</t>
  </si>
  <si>
    <t>Demand Data</t>
  </si>
  <si>
    <t>Demand (veh/h)</t>
  </si>
  <si>
    <t>Total Truck (%)</t>
  </si>
  <si>
    <t>PHF</t>
  </si>
  <si>
    <t>Adjustment Factors</t>
  </si>
  <si>
    <t>Driver Population</t>
  </si>
  <si>
    <t>Weather Type</t>
  </si>
  <si>
    <t>Incident Type</t>
  </si>
  <si>
    <t>Speed Adjustment Factor</t>
  </si>
  <si>
    <t>Capacity Adjustment Factor</t>
  </si>
  <si>
    <t>Demand Adjustment Factor</t>
  </si>
  <si>
    <t>Work Zone</t>
  </si>
  <si>
    <t>Base Free Flow Speed (mph)</t>
  </si>
  <si>
    <t>Free Flow Speed (mph)</t>
  </si>
  <si>
    <t>Number of Lanes</t>
  </si>
  <si>
    <t>Managed Lane Type</t>
  </si>
  <si>
    <t>Demand (vph)</t>
  </si>
  <si>
    <t>Total Truck %</t>
  </si>
  <si>
    <t>Work Zone Data</t>
  </si>
  <si>
    <t>Lane Closure Type</t>
  </si>
  <si>
    <t>Area Type</t>
  </si>
  <si>
    <t>Daylight or Night</t>
  </si>
  <si>
    <t>Percent Drop in Capacity %</t>
  </si>
  <si>
    <t>Barrier Type</t>
  </si>
  <si>
    <t>Lateral Distance</t>
  </si>
  <si>
    <t>Speed Limit (mph)</t>
  </si>
  <si>
    <t>Segment</t>
  </si>
  <si>
    <t>Level</t>
  </si>
  <si>
    <t>Rolling</t>
  </si>
  <si>
    <t>Night</t>
  </si>
  <si>
    <t>Daylight</t>
  </si>
  <si>
    <t>Yes</t>
  </si>
  <si>
    <t>No</t>
  </si>
  <si>
    <t>Flow Rate (pc/h/ln)</t>
  </si>
  <si>
    <t>Capacity (pc/h/ln)</t>
  </si>
  <si>
    <t>V/C</t>
  </si>
  <si>
    <t>Average Speed (mph)</t>
  </si>
  <si>
    <t>Density (pc/mi/ln)</t>
  </si>
  <si>
    <t>LOS</t>
  </si>
  <si>
    <t>Managed Lanes Results</t>
  </si>
  <si>
    <t>General Purpose Results</t>
  </si>
  <si>
    <t>File Name</t>
  </si>
  <si>
    <t>Route</t>
  </si>
  <si>
    <t>Dir</t>
  </si>
  <si>
    <t>FreeFlowSpeed</t>
  </si>
  <si>
    <t>Terrain</t>
  </si>
  <si>
    <t>DemandInput</t>
  </si>
  <si>
    <t>Lanes</t>
  </si>
  <si>
    <t>PeakHourFactor</t>
  </si>
  <si>
    <t>TotalTruckProportion</t>
  </si>
  <si>
    <t>WeatherImpacts</t>
  </si>
  <si>
    <t>IncidentImpacts</t>
  </si>
  <si>
    <t>IncludeWorkZone</t>
  </si>
  <si>
    <t>Density</t>
  </si>
  <si>
    <t>Los</t>
  </si>
  <si>
    <t>AverageSpeed</t>
  </si>
  <si>
    <t>DemandCapacityRatio</t>
  </si>
  <si>
    <t>BaseCapacityPerLane</t>
  </si>
  <si>
    <t>AdjustedDemandPc</t>
  </si>
  <si>
    <t>LaneWidth</t>
  </si>
  <si>
    <t>RightSideClearance</t>
  </si>
  <si>
    <t>RampDensity</t>
  </si>
  <si>
    <t>UserCapacityAdjustmentFactor</t>
  </si>
  <si>
    <t>UserSpeedAdjustmentFactor</t>
  </si>
  <si>
    <t>UserDemandAdjustmentFactor</t>
  </si>
  <si>
    <t>IncludeManagedLane</t>
  </si>
  <si>
    <t>DriverPopulationImpacts</t>
  </si>
  <si>
    <t>ManagedLaneType</t>
  </si>
  <si>
    <t>Basic\</t>
  </si>
  <si>
    <t>NonSevereWeather</t>
  </si>
  <si>
    <t>MediumRain</t>
  </si>
  <si>
    <t>HeavyRain</t>
  </si>
  <si>
    <t>LightSnow</t>
  </si>
  <si>
    <t>LightMediumSnow</t>
  </si>
  <si>
    <t>NoIncident</t>
  </si>
  <si>
    <t>ShoulderClosed</t>
  </si>
  <si>
    <t>MediumHeavySnow</t>
  </si>
  <si>
    <t>HeavySnow</t>
  </si>
  <si>
    <t>SevereCold</t>
  </si>
  <si>
    <t>LowVisibility</t>
  </si>
  <si>
    <t>VeryLowVisibility</t>
  </si>
  <si>
    <t>MinimalVisibility</t>
  </si>
  <si>
    <t>Familiar</t>
  </si>
  <si>
    <t>MostlyFamiliar</t>
  </si>
  <si>
    <t>BalancedMix</t>
  </si>
  <si>
    <t>MostlyUnfamiliar</t>
  </si>
  <si>
    <t>Unfamiliar</t>
  </si>
  <si>
    <t>ContinuousAccess</t>
  </si>
  <si>
    <t>UrbanArea</t>
  </si>
  <si>
    <t>RuralArea</t>
  </si>
  <si>
    <t>HardBarrierSeparation</t>
  </si>
  <si>
    <t>SoftBarrierSeparation</t>
  </si>
  <si>
    <t>IsMeasuredFreeFlowSpeed</t>
  </si>
  <si>
    <t>Buffer1</t>
  </si>
  <si>
    <t>Barrier1</t>
  </si>
  <si>
    <t>Proj</t>
  </si>
  <si>
    <t>Ramp Segment</t>
  </si>
  <si>
    <t>Freeway Lanes</t>
  </si>
  <si>
    <t>Freeway Length (ft)</t>
  </si>
  <si>
    <t>Freeway Inputs</t>
  </si>
  <si>
    <t>Ramp Inputs</t>
  </si>
  <si>
    <t>Ramp Side</t>
  </si>
  <si>
    <t>FFS (mph)</t>
  </si>
  <si>
    <t>Side</t>
  </si>
  <si>
    <t>First Accel Lane (ft)</t>
  </si>
  <si>
    <t>Second Accel Lane (ft)</t>
  </si>
  <si>
    <t>Upstream Ramp Data</t>
  </si>
  <si>
    <t>Upstream Ramp</t>
  </si>
  <si>
    <t>Distance to Ramp (ft)</t>
  </si>
  <si>
    <t>Downstream Ramp Data</t>
  </si>
  <si>
    <t>Downstream Ramp</t>
  </si>
  <si>
    <t>Right</t>
  </si>
  <si>
    <t>Left</t>
  </si>
  <si>
    <t>Adjacent Ramps</t>
  </si>
  <si>
    <t>Merge</t>
  </si>
  <si>
    <t>Diverge</t>
  </si>
  <si>
    <t>Freeway Results</t>
  </si>
  <si>
    <t>Flow Rate (pc/h)</t>
  </si>
  <si>
    <t>Capacity (pc/h)</t>
  </si>
  <si>
    <t>Ramp Results</t>
  </si>
  <si>
    <t>Density in Area (pc/mi/ln)</t>
  </si>
  <si>
    <t>Ramp Junction Speed (mph)</t>
  </si>
  <si>
    <t>Density (pc/mi/h)</t>
  </si>
  <si>
    <t>Ramps\</t>
  </si>
  <si>
    <t>Ramp Type</t>
  </si>
  <si>
    <t>Length</t>
  </si>
  <si>
    <t>SegmentTypeInput</t>
  </si>
  <si>
    <t>RightSideRamp</t>
  </si>
  <si>
    <t>AccelerationLaneOne</t>
  </si>
  <si>
    <t>AccelerationLaneTwo</t>
  </si>
  <si>
    <t>Highway or C-D Roadway</t>
  </si>
  <si>
    <t>IsHighwayRamp</t>
  </si>
  <si>
    <t>UpstreamType</t>
  </si>
  <si>
    <t>DownstreamType</t>
  </si>
  <si>
    <t>DistanceToUpstream</t>
  </si>
  <si>
    <t>DistanceToDownstream</t>
  </si>
  <si>
    <t>UpstreamRampTerrain</t>
  </si>
  <si>
    <t>DownstreamRampTerrain</t>
  </si>
  <si>
    <t>UpstreamRampDemandVeh</t>
  </si>
  <si>
    <t>UpstreamRampTruck</t>
  </si>
  <si>
    <t>UpstreamRampPeakHourFactor</t>
  </si>
  <si>
    <t>DownstreamRampDemandVeh</t>
  </si>
  <si>
    <t>DownstreamRampTruck</t>
  </si>
  <si>
    <t>DownstreamRampPeakHourFactor</t>
  </si>
  <si>
    <t>AdjustedCapacityPc</t>
  </si>
  <si>
    <t>On-Ramp Area</t>
  </si>
  <si>
    <t>Ramp Junction</t>
  </si>
  <si>
    <t>Basic</t>
  </si>
  <si>
    <t>Ramp Speed (mph)</t>
  </si>
  <si>
    <t>OffRamp</t>
  </si>
  <si>
    <t>OnRamp</t>
  </si>
  <si>
    <t>Weave Segment</t>
  </si>
  <si>
    <t>Weaving Configuration</t>
  </si>
  <si>
    <t>Maneuver Lanes</t>
  </si>
  <si>
    <t>Short Length (ft)</t>
  </si>
  <si>
    <t>Interchange Density (int/mi)</t>
  </si>
  <si>
    <t>Min FR Lane Changes</t>
  </si>
  <si>
    <t>Min RF Lane Changes</t>
  </si>
  <si>
    <t>Min RR Lane Changes</t>
  </si>
  <si>
    <t>Cross Weaving Managed Lane</t>
  </si>
  <si>
    <t>One-Sided</t>
  </si>
  <si>
    <t>Two-Sided</t>
  </si>
  <si>
    <t>Freeway-to-Freeway Demand (vhe/h)</t>
  </si>
  <si>
    <t>R2R Total Truck (%)</t>
  </si>
  <si>
    <t>R2R Demand (veh/h)</t>
  </si>
  <si>
    <t>R2F Total Truck (%)</t>
  </si>
  <si>
    <t>R2F Demand (veh/h)</t>
  </si>
  <si>
    <t>R2F PHF</t>
  </si>
  <si>
    <t>R2R PHF</t>
  </si>
  <si>
    <t>On-Ramp Data</t>
  </si>
  <si>
    <t>F2R Demand (veh/h)</t>
  </si>
  <si>
    <t>F2R Total Truck (%)</t>
  </si>
  <si>
    <t>F2R PHF</t>
  </si>
  <si>
    <t>Off-Ramp Data</t>
  </si>
  <si>
    <t>GP Segment Type</t>
  </si>
  <si>
    <t>FFS of ML (mph)</t>
  </si>
  <si>
    <t>Ramp Terrain</t>
  </si>
  <si>
    <t>Ramp PHF</t>
  </si>
  <si>
    <t>Ramp Total Truck (%)</t>
  </si>
  <si>
    <t>Min Cross Weaving Length (ft)</t>
  </si>
  <si>
    <t>Cross-Weave Demand (veh/h)</t>
  </si>
  <si>
    <t>Cross Weaving Data</t>
  </si>
  <si>
    <t>Cross Weaving Type</t>
  </si>
  <si>
    <t>Upstream On-Ramp</t>
  </si>
  <si>
    <t>InterchangeDensity</t>
  </si>
  <si>
    <t>IsCrossWeavingManagedLane</t>
  </si>
  <si>
    <t>LaneChangeRampToRamp</t>
  </si>
  <si>
    <t>LaneChangeRampToFreeway</t>
  </si>
  <si>
    <t>LaneChangeFreewayToRamp</t>
  </si>
  <si>
    <t>ShortLength</t>
  </si>
  <si>
    <t>LaneWeaving</t>
  </si>
  <si>
    <t>OnRampLanes</t>
  </si>
  <si>
    <t>OnRampFreeFlowSpeed</t>
  </si>
  <si>
    <t>RampToFreewayDemandInput</t>
  </si>
  <si>
    <t>RampToFreewayPeakHourFactor</t>
  </si>
  <si>
    <t>RampToRampDemandInput</t>
  </si>
  <si>
    <t>RampToRampPeakHourFactor</t>
  </si>
  <si>
    <t>RampToFreewayTotalTruckProportion</t>
  </si>
  <si>
    <t>RampToRampTotalTruckProportion</t>
  </si>
  <si>
    <t>RampToFreewayDemandAdjustmentFactor</t>
  </si>
  <si>
    <t>RampToRampDemandAdjustmentFactor</t>
  </si>
  <si>
    <t>OffRampLanes</t>
  </si>
  <si>
    <t>OffRampFreeFlowSpeed</t>
  </si>
  <si>
    <t>FreewayToRampDemandInput</t>
  </si>
  <si>
    <t>FreewayToRampTotalTruckProportion</t>
  </si>
  <si>
    <t>FreewayToRampPeakHourFactor</t>
  </si>
  <si>
    <t>FreewayToRampDemandAdjustmentFactor</t>
  </si>
  <si>
    <t>R2F Demand Adjustment  Factor</t>
  </si>
  <si>
    <t>R2R Demand Adjustment  Factor</t>
  </si>
  <si>
    <t>F2R Demand Adjustment  Factor</t>
  </si>
  <si>
    <t>FreewayToFreewayDemandInput</t>
  </si>
  <si>
    <t>Weaving Intensity Factor</t>
  </si>
  <si>
    <t>Average Non-Weaving Speed (mph)</t>
  </si>
  <si>
    <t>Average Weaving Speed (mph)</t>
  </si>
  <si>
    <t>TimePeriodData</t>
  </si>
  <si>
    <t>CrossWeaveTerrainType</t>
  </si>
  <si>
    <t>MinCrossWeavingLength</t>
  </si>
  <si>
    <t>IsOnRampUpstream</t>
  </si>
  <si>
    <t>FreeFlowSpeedManagedLane</t>
  </si>
  <si>
    <t>CrossWeaveDemandInput</t>
  </si>
  <si>
    <t>CrossWeavePeakHourFactor</t>
  </si>
  <si>
    <t>CrossWeaveTotalTruck</t>
  </si>
  <si>
    <t>Weave\</t>
  </si>
  <si>
    <t>IsOneSidedWeave</t>
  </si>
  <si>
    <t>Upstream OnRamp</t>
  </si>
  <si>
    <t>Downstream OffRamp</t>
  </si>
  <si>
    <r>
      <t>Freeway Segment</t>
    </r>
    <r>
      <rPr>
        <b/>
        <vertAlign val="superscript"/>
        <sz val="10"/>
        <color indexed="8"/>
        <rFont val="Calibri"/>
        <family val="2"/>
      </rPr>
      <t>1</t>
    </r>
  </si>
  <si>
    <t xml:space="preserve">Notes: </t>
  </si>
  <si>
    <t>EASTBOUND</t>
  </si>
  <si>
    <t>WESTBOUND</t>
  </si>
  <si>
    <t>Grade</t>
  </si>
  <si>
    <t>Percent Grade (%)</t>
  </si>
  <si>
    <t>Grade Length (mi)</t>
  </si>
  <si>
    <t>GradeLength</t>
  </si>
  <si>
    <t>Single Unit Truck (%)</t>
  </si>
  <si>
    <t>Tractor Trailer (%)</t>
  </si>
  <si>
    <t>SingleUnitTruckProportion</t>
  </si>
  <si>
    <t>TractorTrailerProportion</t>
  </si>
  <si>
    <t>OnRampTerrainType</t>
  </si>
  <si>
    <t>OffRampTerrainType</t>
  </si>
  <si>
    <t>OnRampGrade</t>
  </si>
  <si>
    <t>OnRampGradeLength</t>
  </si>
  <si>
    <t>RampToFreewayTractorTrailerProportion</t>
  </si>
  <si>
    <t>RampToRampTractorTrailerProportion</t>
  </si>
  <si>
    <t>RampToRampSingleUnitTruckProportion</t>
  </si>
  <si>
    <t>OffRampGrade</t>
  </si>
  <si>
    <t>OffRampGradeLength</t>
  </si>
  <si>
    <t>FreewayToRampSingleUnitTruckProportion</t>
  </si>
  <si>
    <t>FreewayToRampTractorTrailerProportion</t>
  </si>
  <si>
    <t>F2R Single Unit Truck (%)</t>
  </si>
  <si>
    <t>F2R Tractor Trailer (%)</t>
  </si>
  <si>
    <t>R2R Single Unit Truck (%)</t>
  </si>
  <si>
    <t>R2R Tractor Trailer (%)</t>
  </si>
  <si>
    <t>R2F Single Unit Truck (%)</t>
  </si>
  <si>
    <t>R2F Tractor Trailer (%)</t>
  </si>
  <si>
    <t>RampToFreewaySingleUnitTruckProportion</t>
  </si>
  <si>
    <t>I-95</t>
  </si>
  <si>
    <t>NYCDOT</t>
  </si>
  <si>
    <t>Cross Bronx Exp</t>
  </si>
  <si>
    <t>I-295</t>
  </si>
  <si>
    <t>Btwn Randall off/Randall on</t>
  </si>
  <si>
    <t>Buffer2</t>
  </si>
  <si>
    <t>Btwn Throgs Neck off/Throgs Neck on</t>
  </si>
  <si>
    <t>&lt;-----</t>
  </si>
  <si>
    <t>Input Analyst's Initial</t>
  </si>
  <si>
    <t>Enter HDR or HDR Engineering</t>
  </si>
  <si>
    <t>Auto updated with today's date</t>
  </si>
  <si>
    <t>Analysis Year (2019, 2025, 2035, etc.)</t>
  </si>
  <si>
    <t>Analysis Period (AM_Peak, PM_Peak, Midday, Weekend_Peak, Etc)</t>
  </si>
  <si>
    <t>Facility Name. Information Only</t>
  </si>
  <si>
    <t>Facility Location. Information Only</t>
  </si>
  <si>
    <t>Jurisdiction of the Facility. Information Only</t>
  </si>
  <si>
    <t>Project ID and/or Name. Information Only</t>
  </si>
  <si>
    <t>Enter the location of base file directory (Basic, Ramps, and Weave)</t>
  </si>
  <si>
    <t>Not Used</t>
  </si>
  <si>
    <t>Enter the scenario</t>
  </si>
  <si>
    <t>WB</t>
  </si>
  <si>
    <t>Btwn I-95 off/Randall off</t>
  </si>
  <si>
    <t>Btwn I-278 off/I-95 on</t>
  </si>
  <si>
    <t>Btwn Cross Bronx off/Cross Bronx on</t>
  </si>
  <si>
    <t>Btwn Cross Bronx on/White Plains on</t>
  </si>
  <si>
    <t>Btwn Rosedale off/Rosedale on</t>
  </si>
  <si>
    <t>Btwn Rosedale on/Sheridan on</t>
  </si>
  <si>
    <t>Btwn Sheridan on/3rd off</t>
  </si>
  <si>
    <t>Btwn 3rd off/Webster on</t>
  </si>
  <si>
    <t>Btwn I-87 off/I-87 on</t>
  </si>
  <si>
    <t>Throgs Neck off</t>
  </si>
  <si>
    <t>Randall off</t>
  </si>
  <si>
    <t>Cross Bronx on</t>
  </si>
  <si>
    <t>Rosedale on</t>
  </si>
  <si>
    <t>Sheridan loop on</t>
  </si>
  <si>
    <t>Sheridan on</t>
  </si>
  <si>
    <t>3rd off</t>
  </si>
  <si>
    <t>Webster on</t>
  </si>
  <si>
    <t>Jerome off</t>
  </si>
  <si>
    <t>Btwn Throgs Neck on and I-695 off</t>
  </si>
  <si>
    <t>Btwn Randall on and I-278 off</t>
  </si>
  <si>
    <t>Btwn I-95 on and Cross Bronx off</t>
  </si>
  <si>
    <t>Btwn White Plains on and Rosedale off</t>
  </si>
  <si>
    <t>Btwn Jerome on and I-87 off</t>
  </si>
  <si>
    <t>Traffic Demand</t>
  </si>
  <si>
    <t>Performance</t>
  </si>
  <si>
    <t>Volume</t>
  </si>
  <si>
    <t>Weaving Volume</t>
  </si>
  <si>
    <t>Merge/Diverge</t>
  </si>
  <si>
    <t>Weave</t>
  </si>
  <si>
    <t>Segment Type</t>
  </si>
  <si>
    <t>Mainline Volume</t>
  </si>
  <si>
    <t>On-ramp Volume</t>
  </si>
  <si>
    <t>Off-ramp Volume</t>
  </si>
  <si>
    <t>Vrr assumption</t>
  </si>
  <si>
    <t>Vff</t>
  </si>
  <si>
    <t>Vfr</t>
  </si>
  <si>
    <t>Vrf</t>
  </si>
  <si>
    <t>Vrr</t>
  </si>
  <si>
    <t>Freeway V/C</t>
  </si>
  <si>
    <t>Ramp V/C</t>
  </si>
  <si>
    <t>EB CBE from Off-Ramp to I-87/Major Deegan to On-Ramp from I-87/Major Deegan</t>
  </si>
  <si>
    <t>On-Ramp from I-87/Major Deegan</t>
  </si>
  <si>
    <t>Overlap</t>
  </si>
  <si>
    <t>V(ML)</t>
  </si>
  <si>
    <t>V'(ML)</t>
  </si>
  <si>
    <t>On-Ramp from Washington Bridge to Off-Ramp to Jerome Avenue</t>
  </si>
  <si>
    <t>EB CBE from Off-Ramp to Jerome Avenue to On-Ramp from Jerome Avenue</t>
  </si>
  <si>
    <t>On-Ramp from Jerome Avenue</t>
  </si>
  <si>
    <t>V(On)</t>
  </si>
  <si>
    <t>V(Off)</t>
  </si>
  <si>
    <t>Off-Ramp to Webster Avenue</t>
  </si>
  <si>
    <t>EB CBE from Off-Ramp to Webster Avenue to On-Ramp from 3rd Avenue</t>
  </si>
  <si>
    <t>On-Ramp from 3rd Avenue</t>
  </si>
  <si>
    <t>EB CBE from On-Ramp from 3rd Avenue to Off-Ramp to Sheridan Boulevard</t>
  </si>
  <si>
    <t>Off-Ramp to Sheridan Boulevard</t>
  </si>
  <si>
    <t>If Vrr is X percent of V(On), then Vrr = X*V(On)</t>
  </si>
  <si>
    <t>EB CBE from Off-Ramp to Sheridan Boulevard to Off-Ramp to Rosedale Avenue</t>
  </si>
  <si>
    <t>Then Vrf = V(On)*(1-X), Vff = V'(ML)-V(On), Vfr = V(ML)-V'(ML)+ V(On)</t>
  </si>
  <si>
    <t>Off-Ramp to Rosedale Avenue</t>
  </si>
  <si>
    <t>V(ML): Mainline volume upstream of the weaving segment</t>
  </si>
  <si>
    <t>EB CBE from Off-Ramp to Rosedale Avenue to On-Ramp from CBE Service Road</t>
  </si>
  <si>
    <t>V'(ML): Mainline volume downstream of the weaving segment</t>
  </si>
  <si>
    <t>On-Ramp from CBE Service Road to Off-Ramp to White Plains Road</t>
  </si>
  <si>
    <t>V(On): On-ramp volume of the weaving segment</t>
  </si>
  <si>
    <t>EB CBE from Off-Ramp to White Plains Road to On-Ramp from Hugh Grant Circle</t>
  </si>
  <si>
    <t>V(Off): Off-ramp volume of the weaving segment</t>
  </si>
  <si>
    <t>On-Ramp from Hugh Grant Circle to Off-Ramp to Castle Hill Avenue</t>
  </si>
  <si>
    <t>Vff: Freeway to freeway volume</t>
  </si>
  <si>
    <t>EB CBE from Off-Ramp to Castle Hill Avenue to Off-Ramp to I-678</t>
  </si>
  <si>
    <t>Vfr: Freeway to ramp volume</t>
  </si>
  <si>
    <t>Off-Ramp to I-678</t>
  </si>
  <si>
    <t>Vrf: Ramp to freeway volume</t>
  </si>
  <si>
    <t>Vrr:Ramp to ramp volume</t>
  </si>
  <si>
    <t>Off-Ramp to I-95</t>
  </si>
  <si>
    <t>EB CBE from Off-Ramp to I-95 to On-Ramp from I-278</t>
  </si>
  <si>
    <t>EB from On-ramp from I-278 to off-ramp to Randall Avenue</t>
  </si>
  <si>
    <t>EB CBE from Off-Ramp to Randall Avenue to On-Ramp from Randall Avenue</t>
  </si>
  <si>
    <t>On-Ramp to Randall Avenue</t>
  </si>
  <si>
    <t>EB CBE from On-Ramp from Randall Avenue to Lane Drop</t>
  </si>
  <si>
    <t>EB CBE from Lane Drop to On-Ramp from I-695</t>
  </si>
  <si>
    <t>EB CBE from On-Ramp from I-695 to Off-Ramp to Harding Avenue</t>
  </si>
  <si>
    <t>EB CBE from  Off-Ramp to Harding Avenue to On-Ramp from Harding Avenue</t>
  </si>
  <si>
    <t>On-Ramp from Harding Avenue</t>
  </si>
  <si>
    <t>Off-Ramp to Lawton Avenue</t>
  </si>
  <si>
    <t>WB CBE from Off-Ramp to Lawton Avenue to On-Ramp from Lawton Avenue</t>
  </si>
  <si>
    <t>On-Ramp from Lawton Avenue to Off-Ramp to I-695</t>
  </si>
  <si>
    <t>WB CBE from Off-Ramp to I-695 to Diverge 34</t>
  </si>
  <si>
    <t>Off-Ramp to Randall Avenue</t>
  </si>
  <si>
    <t>WB CBE from Off-Ramp to Randall Avenue to On-Ramp from Randall Avenue</t>
  </si>
  <si>
    <t>On-Ramp from Randall Avenue to Off-Ramp to I-278</t>
  </si>
  <si>
    <t>WB CBE from Off-Ramp to I-278 to Lane Drop</t>
  </si>
  <si>
    <t>WB CBE from Lane Drop to On-Ramp from I-278</t>
  </si>
  <si>
    <t>On-Ramp from I-278 to Off-Ramp to CBE Service Road</t>
  </si>
  <si>
    <t>WB CBE from Off-Ramp to CBE Service Road to On-Ramp from CBE Service Road</t>
  </si>
  <si>
    <t>On-Ramp from CBE Service Road</t>
  </si>
  <si>
    <t>WB CBE from On-Ramp from CBE Service Road to On-Ramp from White Plains Road</t>
  </si>
  <si>
    <t>On-Ramp from White Plains Road to Off-Ramp to Rosedale Avenue</t>
  </si>
  <si>
    <t>WB CBE from Off-Ramp to Rosedale Avenue to On-Ramp from Rosedale Avenue</t>
  </si>
  <si>
    <t>On-Ramp from Rosedale Avenue</t>
  </si>
  <si>
    <t>WB CBE from On-Ramp from Rosedale Avenue to On-Ramp from Sheridan Boulevard</t>
  </si>
  <si>
    <t>On-Ramp from Sheridan Boulevard</t>
  </si>
  <si>
    <t>On-Ramp from E 177th Street</t>
  </si>
  <si>
    <t>WB CBE from On-Ramp from E 177th Street to Off-Ramp to 3rd Avenue</t>
  </si>
  <si>
    <t>Off-Ramp to 3rd Avenue</t>
  </si>
  <si>
    <t>WB CBE from Off-Ramp to 3rd Avenue to On-Ramp from Webster Avenue</t>
  </si>
  <si>
    <t>On-Ramp from Webster Avenue</t>
  </si>
  <si>
    <t>Off-Ramp to Jermome Avenue</t>
  </si>
  <si>
    <t>On-Ramp from Jerome Avenue to Off-Ramp to I-87/Major Deegan</t>
  </si>
  <si>
    <t>WB CBE from Off-Ramp to I-87/Major Deegan to Alexander Hamilton Bridge</t>
  </si>
  <si>
    <t>D</t>
  </si>
  <si>
    <t>C</t>
  </si>
  <si>
    <t>B</t>
  </si>
  <si>
    <t>F</t>
  </si>
  <si>
    <t>A</t>
  </si>
  <si>
    <t>1. The freeway segments were analyzed based on the Highway Capacity Manual (HCM) 7th Edition.</t>
  </si>
  <si>
    <t>C:\PWWORKING\east01\d2591108\</t>
  </si>
  <si>
    <t>EX_PM</t>
  </si>
  <si>
    <t>HCS 8.1</t>
  </si>
  <si>
    <t>Table 4.  Existing (Year 2019) Condition Cross Bronx Expressway Mainline Westbound Segment PM Peak Hour Level of Service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</si>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</sst>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0.0"/>
    <numFmt numFmtId="165" formatCode="0.000"/>
    <numFmt numFmtId="166" formatCode="0.0%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sz val="8"/>
      <color indexed="22"/>
      <name val="Arial Narrow"/>
      <family val="2"/>
    </font>
    <font>
      <sz val="8"/>
      <color indexed="36"/>
      <name val="Arial Narrow"/>
      <family val="2"/>
    </font>
    <font>
      <u/>
      <sz val="8"/>
      <color theme="10"/>
      <name val="Arial Narrow"/>
      <family val="2"/>
    </font>
    <font>
      <u/>
      <sz val="9.35"/>
      <color theme="10"/>
      <name val="Calibri"/>
      <family val="2"/>
    </font>
    <font>
      <sz val="10"/>
      <name val="Arial"/>
      <family val="2"/>
    </font>
    <font>
      <sz val="10"/>
      <color theme="1"/>
      <name val="Arial Narrow"/>
      <family val="2"/>
    </font>
    <font>
      <sz val="10"/>
      <color theme="0" tint="-0.14999847407452621"/>
      <name val="Arial Narrow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rgb="FF881280"/>
      <name val="Courier New"/>
      <family val="3"/>
    </font>
    <font>
      <sz val="10"/>
      <color theme="0" tint="-0.249977111117893"/>
      <name val="Arial Narrow"/>
      <family val="2"/>
    </font>
    <font>
      <b/>
      <sz val="10"/>
      <color theme="1"/>
      <name val="Arial Narrow"/>
      <family val="2"/>
    </font>
    <font>
      <b/>
      <sz val="10"/>
      <color theme="4" tint="-0.249977111117893"/>
      <name val="Arial Narrow"/>
      <family val="2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vertAlign val="superscript"/>
      <sz val="10"/>
      <color indexed="8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 diagonalUp="1">
      <left/>
      <right/>
      <top style="medium">
        <color indexed="64"/>
      </top>
      <bottom/>
      <diagonal style="medium">
        <color indexed="64"/>
      </diagonal>
    </border>
    <border>
      <left/>
      <right/>
      <top style="medium">
        <color indexed="64"/>
      </top>
      <bottom/>
      <diagonal/>
    </border>
    <border diagonalDown="1">
      <left/>
      <right/>
      <top style="medium">
        <color indexed="64"/>
      </top>
      <bottom/>
      <diagonal style="medium">
        <color indexed="64"/>
      </diagonal>
    </border>
    <border diagonalUp="1">
      <left/>
      <right/>
      <top/>
      <bottom/>
      <diagonal style="medium">
        <color indexed="64"/>
      </diagonal>
    </border>
    <border diagonalDown="1">
      <left/>
      <right/>
      <top/>
      <bottom/>
      <diagonal style="medium">
        <color indexed="64"/>
      </diagonal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/>
    <xf numFmtId="44" fontId="3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/>
    <xf numFmtId="0" fontId="1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193">
    <xf numFmtId="0" fontId="0" fillId="0" borderId="0" xfId="0"/>
    <xf numFmtId="0" fontId="2" fillId="0" borderId="0" xfId="1"/>
    <xf numFmtId="0" fontId="2" fillId="0" borderId="0" xfId="1" applyAlignment="1">
      <alignment horizontal="left"/>
    </xf>
    <xf numFmtId="22" fontId="2" fillId="0" borderId="0" xfId="1" applyNumberFormat="1"/>
    <xf numFmtId="18" fontId="2" fillId="0" borderId="0" xfId="1" applyNumberFormat="1"/>
    <xf numFmtId="0" fontId="6" fillId="0" borderId="0" xfId="1" applyFont="1" applyAlignment="1">
      <alignment horizontal="left"/>
    </xf>
    <xf numFmtId="14" fontId="2" fillId="0" borderId="0" xfId="1" applyNumberFormat="1" applyAlignment="1">
      <alignment horizontal="left"/>
    </xf>
    <xf numFmtId="0" fontId="3" fillId="0" borderId="0" xfId="1" applyFont="1" applyFill="1" applyAlignment="1">
      <alignment horizontal="left"/>
    </xf>
    <xf numFmtId="0" fontId="5" fillId="0" borderId="0" xfId="1" applyFont="1"/>
    <xf numFmtId="0" fontId="4" fillId="0" borderId="0" xfId="1" applyFont="1"/>
    <xf numFmtId="0" fontId="5" fillId="0" borderId="0" xfId="1" applyFont="1" applyAlignment="1">
      <alignment horizontal="left"/>
    </xf>
    <xf numFmtId="0" fontId="2" fillId="2" borderId="0" xfId="1" applyFill="1"/>
    <xf numFmtId="0" fontId="7" fillId="2" borderId="0" xfId="3" applyFill="1" applyAlignment="1">
      <alignment horizontal="left"/>
    </xf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10" fillId="0" borderId="2" xfId="0" applyFont="1" applyBorder="1" applyAlignment="1">
      <alignment horizontal="center" wrapText="1"/>
    </xf>
    <xf numFmtId="0" fontId="10" fillId="3" borderId="0" xfId="0" applyFont="1" applyFill="1"/>
    <xf numFmtId="0" fontId="10" fillId="3" borderId="0" xfId="0" applyFont="1" applyFill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3" xfId="0" applyFont="1" applyBorder="1" applyAlignment="1">
      <alignment horizontal="center" wrapText="1"/>
    </xf>
    <xf numFmtId="0" fontId="11" fillId="0" borderId="0" xfId="0" applyFont="1" applyFill="1"/>
    <xf numFmtId="0" fontId="11" fillId="0" borderId="0" xfId="0" applyFont="1" applyAlignment="1">
      <alignment horizontal="center" wrapText="1"/>
    </xf>
    <xf numFmtId="0" fontId="11" fillId="0" borderId="0" xfId="0" applyFont="1"/>
    <xf numFmtId="9" fontId="10" fillId="0" borderId="0" xfId="9" applyFont="1" applyAlignment="1">
      <alignment horizontal="center"/>
    </xf>
    <xf numFmtId="0" fontId="11" fillId="0" borderId="0" xfId="0" applyFont="1" applyFill="1" applyAlignment="1">
      <alignment horizontal="center"/>
    </xf>
    <xf numFmtId="0" fontId="14" fillId="0" borderId="0" xfId="0" applyFont="1"/>
    <xf numFmtId="1" fontId="10" fillId="0" borderId="0" xfId="0" applyNumberFormat="1" applyFont="1" applyAlignment="1">
      <alignment horizontal="center"/>
    </xf>
    <xf numFmtId="164" fontId="10" fillId="0" borderId="0" xfId="0" applyNumberFormat="1" applyFont="1" applyAlignment="1">
      <alignment horizontal="center"/>
    </xf>
    <xf numFmtId="0" fontId="15" fillId="0" borderId="0" xfId="0" applyFont="1"/>
    <xf numFmtId="0" fontId="10" fillId="0" borderId="2" xfId="0" applyFont="1" applyFill="1" applyBorder="1" applyAlignment="1">
      <alignment horizontal="center" wrapText="1"/>
    </xf>
    <xf numFmtId="0" fontId="17" fillId="0" borderId="0" xfId="0" applyFont="1"/>
    <xf numFmtId="0" fontId="11" fillId="0" borderId="0" xfId="0" applyFont="1" applyFill="1" applyBorder="1" applyAlignment="1">
      <alignment horizontal="center"/>
    </xf>
    <xf numFmtId="0" fontId="10" fillId="0" borderId="0" xfId="0" applyFont="1" applyBorder="1" applyAlignment="1">
      <alignment horizontal="center" wrapText="1"/>
    </xf>
    <xf numFmtId="0" fontId="10" fillId="0" borderId="0" xfId="0" applyFont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0" fillId="0" borderId="5" xfId="0" applyFont="1" applyBorder="1" applyAlignment="1">
      <alignment horizontal="center" wrapText="1"/>
    </xf>
    <xf numFmtId="9" fontId="10" fillId="0" borderId="0" xfId="9" applyFont="1" applyFill="1" applyAlignment="1">
      <alignment horizontal="center"/>
    </xf>
    <xf numFmtId="0" fontId="3" fillId="0" borderId="0" xfId="4" applyFill="1" applyAlignment="1">
      <alignment horizontal="center"/>
    </xf>
    <xf numFmtId="0" fontId="1" fillId="0" borderId="0" xfId="5"/>
    <xf numFmtId="0" fontId="18" fillId="0" borderId="0" xfId="5" applyFont="1" applyAlignment="1">
      <alignment horizontal="center"/>
    </xf>
    <xf numFmtId="0" fontId="26" fillId="0" borderId="0" xfId="5" applyFont="1"/>
    <xf numFmtId="0" fontId="0" fillId="0" borderId="0" xfId="5" applyFont="1"/>
    <xf numFmtId="0" fontId="10" fillId="0" borderId="0" xfId="0" applyFont="1" applyFill="1" applyBorder="1" applyAlignment="1">
      <alignment horizontal="center"/>
    </xf>
    <xf numFmtId="9" fontId="3" fillId="0" borderId="0" xfId="9" applyFont="1" applyFill="1" applyAlignment="1">
      <alignment horizontal="center"/>
    </xf>
    <xf numFmtId="165" fontId="10" fillId="0" borderId="0" xfId="0" applyNumberFormat="1" applyFont="1" applyAlignment="1">
      <alignment horizontal="center"/>
    </xf>
    <xf numFmtId="14" fontId="10" fillId="0" borderId="0" xfId="0" applyNumberFormat="1" applyFont="1"/>
    <xf numFmtId="0" fontId="10" fillId="0" borderId="0" xfId="0" applyFont="1" applyAlignment="1">
      <alignment horizontal="left"/>
    </xf>
    <xf numFmtId="0" fontId="2" fillId="0" borderId="0" xfId="1" applyFont="1" applyAlignment="1">
      <alignment horizontal="left"/>
    </xf>
    <xf numFmtId="164" fontId="10" fillId="0" borderId="0" xfId="9" applyNumberFormat="1" applyFont="1" applyAlignment="1">
      <alignment horizontal="center"/>
    </xf>
    <xf numFmtId="1" fontId="10" fillId="0" borderId="0" xfId="9" applyNumberFormat="1" applyFont="1" applyAlignment="1">
      <alignment horizontal="center"/>
    </xf>
    <xf numFmtId="0" fontId="2" fillId="0" borderId="0" xfId="1" applyFont="1" applyFill="1" applyAlignment="1">
      <alignment horizontal="left"/>
    </xf>
    <xf numFmtId="0" fontId="2" fillId="4" borderId="0" xfId="1" applyFill="1"/>
    <xf numFmtId="3" fontId="23" fillId="0" borderId="12" xfId="5" applyNumberFormat="1" applyFont="1" applyBorder="1" applyAlignment="1">
      <alignment horizontal="center" vertical="center" wrapText="1"/>
    </xf>
    <xf numFmtId="1" fontId="23" fillId="0" borderId="13" xfId="5" applyNumberFormat="1" applyFont="1" applyBorder="1" applyAlignment="1">
      <alignment horizontal="center" vertical="center" wrapText="1"/>
    </xf>
    <xf numFmtId="164" fontId="23" fillId="0" borderId="13" xfId="5" applyNumberFormat="1" applyFont="1" applyBorder="1" applyAlignment="1">
      <alignment horizontal="center" vertical="center" wrapText="1"/>
    </xf>
    <xf numFmtId="0" fontId="23" fillId="0" borderId="33" xfId="5" applyFont="1" applyBorder="1" applyAlignment="1">
      <alignment horizontal="center" vertical="center" wrapText="1"/>
    </xf>
    <xf numFmtId="4" fontId="23" fillId="0" borderId="12" xfId="5" applyNumberFormat="1" applyFont="1" applyBorder="1" applyAlignment="1">
      <alignment horizontal="center" vertical="center" wrapText="1"/>
    </xf>
    <xf numFmtId="2" fontId="23" fillId="0" borderId="13" xfId="5" applyNumberFormat="1" applyFont="1" applyBorder="1" applyAlignment="1">
      <alignment horizontal="center" vertical="center" wrapText="1"/>
    </xf>
    <xf numFmtId="164" fontId="23" fillId="0" borderId="8" xfId="5" applyNumberFormat="1" applyFont="1" applyBorder="1" applyAlignment="1">
      <alignment horizontal="center" vertical="center" wrapText="1"/>
    </xf>
    <xf numFmtId="2" fontId="23" fillId="0" borderId="8" xfId="5" applyNumberFormat="1" applyFont="1" applyBorder="1" applyAlignment="1">
      <alignment horizontal="center" vertical="center" wrapText="1"/>
    </xf>
    <xf numFmtId="2" fontId="23" fillId="0" borderId="13" xfId="5" quotePrefix="1" applyNumberFormat="1" applyFont="1" applyBorder="1" applyAlignment="1">
      <alignment horizontal="center" vertical="center" wrapText="1"/>
    </xf>
    <xf numFmtId="0" fontId="23" fillId="0" borderId="14" xfId="5" applyFont="1" applyBorder="1" applyAlignment="1">
      <alignment horizontal="center" vertical="center" wrapText="1"/>
    </xf>
    <xf numFmtId="3" fontId="23" fillId="0" borderId="13" xfId="5" applyNumberFormat="1" applyFont="1" applyBorder="1" applyAlignment="1">
      <alignment horizontal="center" vertical="center" wrapText="1"/>
    </xf>
    <xf numFmtId="3" fontId="23" fillId="0" borderId="9" xfId="5" applyNumberFormat="1" applyFont="1" applyBorder="1" applyAlignment="1">
      <alignment horizontal="center" vertical="center" wrapText="1"/>
    </xf>
    <xf numFmtId="0" fontId="1" fillId="0" borderId="39" xfId="5" applyBorder="1"/>
    <xf numFmtId="2" fontId="22" fillId="0" borderId="13" xfId="5" applyNumberFormat="1" applyFont="1" applyBorder="1" applyAlignment="1">
      <alignment horizontal="center" vertical="center" wrapText="1"/>
    </xf>
    <xf numFmtId="164" fontId="24" fillId="0" borderId="13" xfId="5" applyNumberFormat="1" applyFont="1" applyBorder="1" applyAlignment="1">
      <alignment horizontal="center" vertical="center" wrapText="1"/>
    </xf>
    <xf numFmtId="2" fontId="24" fillId="0" borderId="8" xfId="5" applyNumberFormat="1" applyFont="1" applyBorder="1" applyAlignment="1">
      <alignment horizontal="center" vertical="center" wrapText="1"/>
    </xf>
    <xf numFmtId="0" fontId="24" fillId="0" borderId="14" xfId="5" applyFont="1" applyBorder="1" applyAlignment="1">
      <alignment horizontal="center" vertical="center" wrapText="1"/>
    </xf>
    <xf numFmtId="0" fontId="18" fillId="0" borderId="0" xfId="5" applyFont="1"/>
    <xf numFmtId="3" fontId="23" fillId="0" borderId="7" xfId="5" applyNumberFormat="1" applyFont="1" applyBorder="1" applyAlignment="1">
      <alignment horizontal="center" vertical="center" wrapText="1"/>
    </xf>
    <xf numFmtId="4" fontId="23" fillId="0" borderId="15" xfId="5" applyNumberFormat="1" applyFont="1" applyBorder="1" applyAlignment="1">
      <alignment horizontal="center" vertical="center" wrapText="1"/>
    </xf>
    <xf numFmtId="2" fontId="23" fillId="0" borderId="16" xfId="5" applyNumberFormat="1" applyFont="1" applyBorder="1" applyAlignment="1">
      <alignment horizontal="center" vertical="center" wrapText="1"/>
    </xf>
    <xf numFmtId="164" fontId="23" fillId="0" borderId="30" xfId="5" applyNumberFormat="1" applyFont="1" applyBorder="1" applyAlignment="1">
      <alignment horizontal="center" vertical="center" wrapText="1"/>
    </xf>
    <xf numFmtId="2" fontId="23" fillId="0" borderId="35" xfId="5" applyNumberFormat="1" applyFont="1" applyBorder="1" applyAlignment="1">
      <alignment horizontal="center" vertical="center" wrapText="1"/>
    </xf>
    <xf numFmtId="164" fontId="23" fillId="0" borderId="13" xfId="5" applyNumberFormat="1" applyFont="1" applyBorder="1" applyAlignment="1">
      <alignment horizontal="center" vertical="center"/>
    </xf>
    <xf numFmtId="0" fontId="23" fillId="0" borderId="14" xfId="5" applyFont="1" applyBorder="1" applyAlignment="1">
      <alignment horizontal="center" vertical="center"/>
    </xf>
    <xf numFmtId="3" fontId="23" fillId="0" borderId="33" xfId="5" applyNumberFormat="1" applyFont="1" applyBorder="1" applyAlignment="1">
      <alignment horizontal="center" vertical="center" wrapText="1"/>
    </xf>
    <xf numFmtId="3" fontId="23" fillId="0" borderId="43" xfId="5" applyNumberFormat="1" applyFont="1" applyBorder="1" applyAlignment="1">
      <alignment horizontal="center" vertical="center" wrapText="1"/>
    </xf>
    <xf numFmtId="2" fontId="23" fillId="0" borderId="11" xfId="5" applyNumberFormat="1" applyFont="1" applyBorder="1" applyAlignment="1">
      <alignment horizontal="center" vertical="center" wrapText="1"/>
    </xf>
    <xf numFmtId="164" fontId="23" fillId="0" borderId="11" xfId="5" applyNumberFormat="1" applyFont="1" applyBorder="1" applyAlignment="1">
      <alignment horizontal="center" vertical="center" wrapText="1"/>
    </xf>
    <xf numFmtId="164" fontId="23" fillId="0" borderId="10" xfId="5" applyNumberFormat="1" applyFont="1" applyBorder="1" applyAlignment="1">
      <alignment horizontal="center" vertical="center" wrapText="1"/>
    </xf>
    <xf numFmtId="0" fontId="23" fillId="0" borderId="24" xfId="5" applyFont="1" applyBorder="1" applyAlignment="1">
      <alignment horizontal="center" vertical="center" wrapText="1"/>
    </xf>
    <xf numFmtId="164" fontId="24" fillId="0" borderId="8" xfId="5" applyNumberFormat="1" applyFont="1" applyBorder="1" applyAlignment="1">
      <alignment horizontal="center" vertical="center" wrapText="1"/>
    </xf>
    <xf numFmtId="2" fontId="23" fillId="0" borderId="6" xfId="5" applyNumberFormat="1" applyFont="1" applyBorder="1" applyAlignment="1">
      <alignment horizontal="center" vertical="center" wrapText="1"/>
    </xf>
    <xf numFmtId="164" fontId="23" fillId="0" borderId="35" xfId="5" applyNumberFormat="1" applyFont="1" applyBorder="1" applyAlignment="1">
      <alignment horizontal="center" vertical="center" wrapText="1"/>
    </xf>
    <xf numFmtId="2" fontId="23" fillId="0" borderId="6" xfId="10" applyNumberFormat="1" applyFont="1" applyBorder="1" applyAlignment="1">
      <alignment horizontal="center" vertical="center" wrapText="1"/>
    </xf>
    <xf numFmtId="164" fontId="23" fillId="0" borderId="35" xfId="10" applyNumberFormat="1" applyFont="1" applyBorder="1" applyAlignment="1">
      <alignment horizontal="center" vertical="center" wrapText="1"/>
    </xf>
    <xf numFmtId="2" fontId="23" fillId="0" borderId="16" xfId="10" applyNumberFormat="1" applyFont="1" applyBorder="1" applyAlignment="1">
      <alignment horizontal="center" vertical="center" wrapText="1"/>
    </xf>
    <xf numFmtId="164" fontId="23" fillId="0" borderId="30" xfId="10" applyNumberFormat="1" applyFont="1" applyBorder="1" applyAlignment="1">
      <alignment horizontal="center" vertical="center" wrapText="1"/>
    </xf>
    <xf numFmtId="0" fontId="25" fillId="0" borderId="0" xfId="5" applyFont="1"/>
    <xf numFmtId="0" fontId="26" fillId="0" borderId="0" xfId="5" applyFont="1" applyAlignment="1">
      <alignment horizontal="center" vertical="center" wrapText="1"/>
    </xf>
    <xf numFmtId="3" fontId="26" fillId="0" borderId="0" xfId="5" applyNumberFormat="1" applyFont="1" applyAlignment="1">
      <alignment horizontal="right" vertical="center" wrapText="1"/>
    </xf>
    <xf numFmtId="2" fontId="26" fillId="0" borderId="0" xfId="5" applyNumberFormat="1" applyFont="1" applyAlignment="1">
      <alignment horizontal="center" vertical="center" wrapText="1"/>
    </xf>
    <xf numFmtId="164" fontId="26" fillId="0" borderId="0" xfId="5" applyNumberFormat="1" applyFont="1"/>
    <xf numFmtId="0" fontId="26" fillId="0" borderId="0" xfId="5" applyFont="1" applyAlignment="1">
      <alignment horizontal="left" vertical="center" indent="1"/>
    </xf>
    <xf numFmtId="3" fontId="10" fillId="0" borderId="0" xfId="0" applyNumberFormat="1" applyFont="1" applyAlignment="1">
      <alignment horizontal="center"/>
    </xf>
    <xf numFmtId="2" fontId="23" fillId="0" borderId="12" xfId="5" applyNumberFormat="1" applyFont="1" applyBorder="1" applyAlignment="1">
      <alignment horizontal="center" vertical="center" wrapText="1"/>
    </xf>
    <xf numFmtId="2" fontId="23" fillId="0" borderId="43" xfId="5" applyNumberFormat="1" applyFont="1" applyBorder="1" applyAlignment="1">
      <alignment horizontal="center" vertical="center" wrapText="1"/>
    </xf>
    <xf numFmtId="2" fontId="23" fillId="0" borderId="26" xfId="5" applyNumberFormat="1" applyFont="1" applyBorder="1" applyAlignment="1">
      <alignment horizontal="center" vertical="center" wrapText="1"/>
    </xf>
    <xf numFmtId="2" fontId="23" fillId="0" borderId="26" xfId="10" applyNumberFormat="1" applyFont="1" applyBorder="1" applyAlignment="1">
      <alignment horizontal="center" vertical="center" wrapText="1"/>
    </xf>
    <xf numFmtId="2" fontId="23" fillId="0" borderId="15" xfId="10" applyNumberFormat="1" applyFont="1" applyBorder="1" applyAlignment="1">
      <alignment horizontal="center" vertical="center" wrapText="1"/>
    </xf>
    <xf numFmtId="2" fontId="23" fillId="0" borderId="11" xfId="5" quotePrefix="1" applyNumberFormat="1" applyFont="1" applyBorder="1" applyAlignment="1">
      <alignment horizontal="center" vertical="center" wrapText="1"/>
    </xf>
    <xf numFmtId="2" fontId="23" fillId="0" borderId="10" xfId="5" applyNumberFormat="1" applyFont="1" applyBorder="1" applyAlignment="1">
      <alignment horizontal="center" vertical="center" wrapText="1"/>
    </xf>
    <xf numFmtId="2" fontId="22" fillId="0" borderId="11" xfId="5" applyNumberFormat="1" applyFont="1" applyBorder="1" applyAlignment="1">
      <alignment horizontal="center" vertical="center" wrapText="1"/>
    </xf>
    <xf numFmtId="2" fontId="23" fillId="0" borderId="6" xfId="5" quotePrefix="1" applyNumberFormat="1" applyFont="1" applyBorder="1" applyAlignment="1">
      <alignment horizontal="center" vertical="center" wrapText="1"/>
    </xf>
    <xf numFmtId="2" fontId="23" fillId="0" borderId="8" xfId="5" applyNumberFormat="1" applyFont="1" applyBorder="1" applyAlignment="1">
      <alignment horizontal="center" vertical="center"/>
    </xf>
    <xf numFmtId="0" fontId="10" fillId="5" borderId="3" xfId="0" applyFont="1" applyFill="1" applyBorder="1" applyAlignment="1">
      <alignment horizontal="center" wrapText="1"/>
    </xf>
    <xf numFmtId="0" fontId="23" fillId="0" borderId="27" xfId="5" applyFont="1" applyBorder="1" applyAlignment="1">
      <alignment horizontal="center" vertical="center" wrapText="1"/>
    </xf>
    <xf numFmtId="3" fontId="23" fillId="0" borderId="27" xfId="5" applyNumberFormat="1" applyFont="1" applyBorder="1" applyAlignment="1">
      <alignment horizontal="center" vertical="center" wrapText="1"/>
    </xf>
    <xf numFmtId="3" fontId="23" fillId="0" borderId="44" xfId="5" applyNumberFormat="1" applyFont="1" applyBorder="1" applyAlignment="1">
      <alignment horizontal="center" vertical="center" wrapText="1"/>
    </xf>
    <xf numFmtId="3" fontId="23" fillId="0" borderId="15" xfId="5" applyNumberFormat="1" applyFont="1" applyBorder="1" applyAlignment="1">
      <alignment horizontal="center" vertical="center" wrapText="1"/>
    </xf>
    <xf numFmtId="3" fontId="23" fillId="0" borderId="45" xfId="5" applyNumberFormat="1" applyFont="1" applyBorder="1" applyAlignment="1">
      <alignment horizontal="center" vertical="center" wrapText="1"/>
    </xf>
    <xf numFmtId="3" fontId="23" fillId="0" borderId="46" xfId="5" applyNumberFormat="1" applyFont="1" applyBorder="1" applyAlignment="1">
      <alignment horizontal="center" vertical="center" wrapText="1"/>
    </xf>
    <xf numFmtId="2" fontId="23" fillId="0" borderId="30" xfId="5" applyNumberFormat="1" applyFont="1" applyBorder="1" applyAlignment="1">
      <alignment horizontal="center" vertical="center" wrapText="1"/>
    </xf>
    <xf numFmtId="2" fontId="23" fillId="0" borderId="16" xfId="5" quotePrefix="1" applyNumberFormat="1" applyFont="1" applyBorder="1" applyAlignment="1">
      <alignment horizontal="center" vertical="center" wrapText="1"/>
    </xf>
    <xf numFmtId="164" fontId="24" fillId="0" borderId="16" xfId="5" applyNumberFormat="1" applyFont="1" applyBorder="1" applyAlignment="1">
      <alignment horizontal="center" vertical="center" wrapText="1"/>
    </xf>
    <xf numFmtId="0" fontId="23" fillId="0" borderId="17" xfId="5" applyFont="1" applyBorder="1" applyAlignment="1">
      <alignment horizontal="center" vertical="center" wrapText="1"/>
    </xf>
    <xf numFmtId="3" fontId="20" fillId="0" borderId="18" xfId="5" applyNumberFormat="1" applyFont="1" applyBorder="1" applyAlignment="1">
      <alignment horizontal="center" vertical="center" textRotation="90" wrapText="1"/>
    </xf>
    <xf numFmtId="2" fontId="20" fillId="0" borderId="19" xfId="5" applyNumberFormat="1" applyFont="1" applyBorder="1" applyAlignment="1">
      <alignment horizontal="center" vertical="center" textRotation="90" wrapText="1"/>
    </xf>
    <xf numFmtId="2" fontId="20" fillId="0" borderId="4" xfId="5" applyNumberFormat="1" applyFont="1" applyBorder="1" applyAlignment="1">
      <alignment horizontal="center" vertical="center" textRotation="90" wrapText="1"/>
    </xf>
    <xf numFmtId="2" fontId="20" fillId="0" borderId="37" xfId="5" applyNumberFormat="1" applyFont="1" applyBorder="1" applyAlignment="1">
      <alignment horizontal="center" vertical="center" textRotation="90" wrapText="1"/>
    </xf>
    <xf numFmtId="3" fontId="20" fillId="0" borderId="19" xfId="5" applyNumberFormat="1" applyFont="1" applyBorder="1" applyAlignment="1">
      <alignment horizontal="center" vertical="center" textRotation="90" wrapText="1"/>
    </xf>
    <xf numFmtId="2" fontId="20" fillId="0" borderId="20" xfId="5" applyNumberFormat="1" applyFont="1" applyBorder="1" applyAlignment="1">
      <alignment horizontal="center" vertical="center" textRotation="90" wrapText="1"/>
    </xf>
    <xf numFmtId="164" fontId="20" fillId="0" borderId="37" xfId="5" applyNumberFormat="1" applyFont="1" applyBorder="1" applyAlignment="1">
      <alignment horizontal="center" vertical="center" textRotation="90" wrapText="1"/>
    </xf>
    <xf numFmtId="2" fontId="20" fillId="0" borderId="22" xfId="5" applyNumberFormat="1" applyFont="1" applyBorder="1" applyAlignment="1">
      <alignment horizontal="center" vertical="center" textRotation="90" wrapText="1"/>
    </xf>
    <xf numFmtId="164" fontId="20" fillId="0" borderId="20" xfId="5" applyNumberFormat="1" applyFont="1" applyBorder="1" applyAlignment="1">
      <alignment horizontal="center" vertical="center" textRotation="90" wrapText="1"/>
    </xf>
    <xf numFmtId="164" fontId="20" fillId="0" borderId="22" xfId="5" applyNumberFormat="1" applyFont="1" applyBorder="1" applyAlignment="1">
      <alignment horizontal="center" vertical="center" textRotation="90" wrapText="1"/>
    </xf>
    <xf numFmtId="2" fontId="20" fillId="0" borderId="23" xfId="5" applyNumberFormat="1" applyFont="1" applyBorder="1" applyAlignment="1">
      <alignment horizontal="center" vertical="center" textRotation="90" wrapText="1"/>
    </xf>
    <xf numFmtId="164" fontId="23" fillId="0" borderId="16" xfId="5" applyNumberFormat="1" applyFont="1" applyBorder="1" applyAlignment="1">
      <alignment horizontal="center" vertical="center" wrapText="1"/>
    </xf>
    <xf numFmtId="164" fontId="23" fillId="0" borderId="13" xfId="5" quotePrefix="1" applyNumberFormat="1" applyFont="1" applyBorder="1" applyAlignment="1">
      <alignment horizontal="center" vertical="center" wrapText="1"/>
    </xf>
    <xf numFmtId="164" fontId="22" fillId="0" borderId="13" xfId="5" applyNumberFormat="1" applyFont="1" applyBorder="1" applyAlignment="1">
      <alignment horizontal="center" vertical="center" wrapText="1"/>
    </xf>
    <xf numFmtId="3" fontId="23" fillId="0" borderId="11" xfId="5" applyNumberFormat="1" applyFont="1" applyBorder="1" applyAlignment="1">
      <alignment horizontal="center" vertical="center" wrapText="1"/>
    </xf>
    <xf numFmtId="3" fontId="23" fillId="0" borderId="36" xfId="5" applyNumberFormat="1" applyFont="1" applyBorder="1" applyAlignment="1">
      <alignment horizontal="center" vertical="center" wrapText="1"/>
    </xf>
    <xf numFmtId="3" fontId="23" fillId="0" borderId="28" xfId="5" applyNumberFormat="1" applyFont="1" applyBorder="1" applyAlignment="1">
      <alignment horizontal="center" vertical="center" wrapText="1"/>
    </xf>
    <xf numFmtId="164" fontId="23" fillId="0" borderId="11" xfId="5" applyNumberFormat="1" applyFont="1" applyBorder="1" applyAlignment="1">
      <alignment horizontal="center" vertical="center"/>
    </xf>
    <xf numFmtId="2" fontId="23" fillId="0" borderId="10" xfId="5" applyNumberFormat="1" applyFont="1" applyBorder="1" applyAlignment="1">
      <alignment horizontal="center" vertical="center"/>
    </xf>
    <xf numFmtId="0" fontId="23" fillId="0" borderId="24" xfId="5" applyFont="1" applyBorder="1" applyAlignment="1">
      <alignment horizontal="center" vertical="center"/>
    </xf>
    <xf numFmtId="3" fontId="23" fillId="0" borderId="53" xfId="5" applyNumberFormat="1" applyFont="1" applyBorder="1" applyAlignment="1">
      <alignment horizontal="center" vertical="center" wrapText="1"/>
    </xf>
    <xf numFmtId="0" fontId="23" fillId="0" borderId="36" xfId="5" applyFont="1" applyBorder="1" applyAlignment="1">
      <alignment horizontal="center" vertical="center" wrapText="1"/>
    </xf>
    <xf numFmtId="0" fontId="23" fillId="0" borderId="28" xfId="5" applyFont="1" applyBorder="1" applyAlignment="1">
      <alignment horizontal="center" vertical="center" wrapText="1"/>
    </xf>
    <xf numFmtId="4" fontId="23" fillId="0" borderId="43" xfId="5" applyNumberFormat="1" applyFont="1" applyBorder="1" applyAlignment="1">
      <alignment horizontal="center" vertical="center" wrapText="1"/>
    </xf>
    <xf numFmtId="164" fontId="23" fillId="0" borderId="11" xfId="5" quotePrefix="1" applyNumberFormat="1" applyFont="1" applyBorder="1" applyAlignment="1">
      <alignment horizontal="center" vertical="center" wrapText="1"/>
    </xf>
    <xf numFmtId="0" fontId="1" fillId="0" borderId="54" xfId="5" applyBorder="1" applyAlignment="1">
      <alignment horizontal="center" vertical="center"/>
    </xf>
    <xf numFmtId="0" fontId="29" fillId="0" borderId="54" xfId="5" applyFont="1" applyBorder="1" applyAlignment="1">
      <alignment horizontal="center" vertical="center"/>
    </xf>
    <xf numFmtId="0" fontId="1" fillId="0" borderId="54" xfId="5" applyFont="1" applyBorder="1" applyAlignment="1">
      <alignment horizontal="center" vertical="center"/>
    </xf>
    <xf numFmtId="0" fontId="23" fillId="0" borderId="54" xfId="7" applyFont="1" applyBorder="1" applyAlignment="1">
      <alignment horizontal="left" vertical="center"/>
    </xf>
    <xf numFmtId="3" fontId="23" fillId="0" borderId="16" xfId="5" applyNumberFormat="1" applyFont="1" applyBorder="1" applyAlignment="1">
      <alignment horizontal="center" vertical="center" wrapText="1"/>
    </xf>
    <xf numFmtId="164" fontId="23" fillId="0" borderId="16" xfId="5" quotePrefix="1" applyNumberFormat="1" applyFont="1" applyBorder="1" applyAlignment="1">
      <alignment horizontal="center" vertical="center" wrapText="1"/>
    </xf>
    <xf numFmtId="2" fontId="24" fillId="0" borderId="30" xfId="5" applyNumberFormat="1" applyFont="1" applyBorder="1" applyAlignment="1">
      <alignment horizontal="center" vertical="center" wrapText="1"/>
    </xf>
    <xf numFmtId="164" fontId="24" fillId="0" borderId="30" xfId="5" applyNumberFormat="1" applyFont="1" applyBorder="1" applyAlignment="1">
      <alignment horizontal="center" vertical="center" wrapText="1"/>
    </xf>
    <xf numFmtId="0" fontId="24" fillId="0" borderId="17" xfId="5" applyFont="1" applyBorder="1" applyAlignment="1">
      <alignment horizontal="center" vertical="center" wrapText="1"/>
    </xf>
    <xf numFmtId="166" fontId="23" fillId="6" borderId="9" xfId="9" applyNumberFormat="1" applyFont="1" applyFill="1" applyBorder="1" applyAlignment="1">
      <alignment horizontal="center" vertical="center" wrapText="1"/>
    </xf>
    <xf numFmtId="0" fontId="30" fillId="0" borderId="54" xfId="7" applyFont="1" applyBorder="1" applyAlignment="1">
      <alignment horizontal="center" vertical="center"/>
    </xf>
    <xf numFmtId="0" fontId="10" fillId="0" borderId="2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6" fillId="0" borderId="0" xfId="0" applyFont="1" applyFill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" fillId="0" borderId="0" xfId="5" applyAlignment="1">
      <alignment horizontal="center"/>
    </xf>
    <xf numFmtId="0" fontId="1" fillId="0" borderId="38" xfId="5" applyBorder="1" applyAlignment="1">
      <alignment horizontal="center"/>
    </xf>
    <xf numFmtId="0" fontId="1" fillId="0" borderId="41" xfId="5" applyBorder="1" applyAlignment="1">
      <alignment horizontal="center"/>
    </xf>
    <xf numFmtId="0" fontId="1" fillId="0" borderId="40" xfId="5" applyBorder="1" applyAlignment="1">
      <alignment horizontal="center"/>
    </xf>
    <xf numFmtId="0" fontId="1" fillId="0" borderId="42" xfId="5" applyBorder="1" applyAlignment="1">
      <alignment horizontal="center"/>
    </xf>
    <xf numFmtId="0" fontId="18" fillId="0" borderId="50" xfId="5" applyFont="1" applyBorder="1" applyAlignment="1">
      <alignment horizontal="center" vertical="center"/>
    </xf>
    <xf numFmtId="0" fontId="18" fillId="0" borderId="51" xfId="5" applyFont="1" applyBorder="1" applyAlignment="1">
      <alignment horizontal="center" vertical="center"/>
    </xf>
    <xf numFmtId="0" fontId="18" fillId="0" borderId="52" xfId="5" applyFont="1" applyBorder="1" applyAlignment="1">
      <alignment horizontal="center" vertical="center"/>
    </xf>
    <xf numFmtId="0" fontId="22" fillId="0" borderId="22" xfId="5" applyFont="1" applyBorder="1" applyAlignment="1">
      <alignment horizontal="center" vertical="center" wrapText="1"/>
    </xf>
    <xf numFmtId="0" fontId="22" fillId="0" borderId="4" xfId="5" applyFont="1" applyBorder="1" applyAlignment="1">
      <alignment horizontal="center" vertical="center" wrapText="1"/>
    </xf>
    <xf numFmtId="0" fontId="22" fillId="0" borderId="23" xfId="5" applyFont="1" applyBorder="1" applyAlignment="1">
      <alignment horizontal="center" vertical="center" wrapText="1"/>
    </xf>
    <xf numFmtId="0" fontId="19" fillId="0" borderId="0" xfId="5" applyFont="1" applyAlignment="1">
      <alignment horizontal="center" vertical="center" wrapText="1"/>
    </xf>
    <xf numFmtId="0" fontId="20" fillId="0" borderId="47" xfId="5" applyFont="1" applyBorder="1" applyAlignment="1">
      <alignment horizontal="center" vertical="center" wrapText="1"/>
    </xf>
    <xf numFmtId="0" fontId="20" fillId="0" borderId="48" xfId="5" applyFont="1" applyBorder="1" applyAlignment="1">
      <alignment horizontal="center" vertical="center" wrapText="1"/>
    </xf>
    <xf numFmtId="0" fontId="20" fillId="0" borderId="49" xfId="5" applyFont="1" applyBorder="1" applyAlignment="1">
      <alignment horizontal="center" vertical="center" wrapText="1"/>
    </xf>
    <xf numFmtId="0" fontId="20" fillId="0" borderId="25" xfId="5" applyFont="1" applyBorder="1" applyAlignment="1">
      <alignment horizontal="center" vertical="center" wrapText="1"/>
    </xf>
    <xf numFmtId="0" fontId="20" fillId="0" borderId="21" xfId="5" applyFont="1" applyBorder="1" applyAlignment="1">
      <alignment horizontal="center" vertical="center" wrapText="1"/>
    </xf>
    <xf numFmtId="0" fontId="20" fillId="0" borderId="32" xfId="5" applyFont="1" applyBorder="1" applyAlignment="1">
      <alignment horizontal="center" vertical="center" wrapText="1"/>
    </xf>
    <xf numFmtId="0" fontId="20" fillId="0" borderId="34" xfId="5" applyFont="1" applyBorder="1" applyAlignment="1">
      <alignment horizontal="center" vertical="center" wrapText="1"/>
    </xf>
    <xf numFmtId="0" fontId="20" fillId="0" borderId="0" xfId="5" applyFont="1" applyAlignment="1">
      <alignment horizontal="center" vertical="center" wrapText="1"/>
    </xf>
    <xf numFmtId="0" fontId="20" fillId="0" borderId="29" xfId="5" applyFont="1" applyBorder="1" applyAlignment="1">
      <alignment horizontal="center" vertical="center" wrapText="1"/>
    </xf>
    <xf numFmtId="0" fontId="20" fillId="0" borderId="0" xfId="5" applyFont="1" applyBorder="1" applyAlignment="1">
      <alignment horizontal="center" vertical="center" wrapText="1"/>
    </xf>
    <xf numFmtId="0" fontId="20" fillId="0" borderId="18" xfId="5" applyFont="1" applyBorder="1" applyAlignment="1">
      <alignment horizontal="center" vertical="center" wrapText="1"/>
    </xf>
    <xf numFmtId="0" fontId="20" fillId="0" borderId="19" xfId="5" applyFont="1" applyBorder="1" applyAlignment="1">
      <alignment horizontal="center" vertical="center" wrapText="1"/>
    </xf>
    <xf numFmtId="0" fontId="20" fillId="0" borderId="22" xfId="5" applyFont="1" applyBorder="1" applyAlignment="1">
      <alignment horizontal="center" vertical="center" wrapText="1"/>
    </xf>
    <xf numFmtId="0" fontId="20" fillId="0" borderId="4" xfId="5" applyFont="1" applyBorder="1" applyAlignment="1">
      <alignment horizontal="center" vertical="center" wrapText="1"/>
    </xf>
    <xf numFmtId="0" fontId="20" fillId="0" borderId="23" xfId="5" applyFont="1" applyBorder="1" applyAlignment="1">
      <alignment horizontal="center" vertical="center" wrapText="1"/>
    </xf>
    <xf numFmtId="0" fontId="20" fillId="0" borderId="37" xfId="5" applyFont="1" applyBorder="1" applyAlignment="1">
      <alignment horizontal="center" vertical="center" wrapText="1"/>
    </xf>
    <xf numFmtId="0" fontId="31" fillId="0" borderId="32" xfId="5" applyFont="1" applyBorder="1" applyAlignment="1">
      <alignment horizontal="center" vertical="center" wrapText="1"/>
    </xf>
    <xf numFmtId="0" fontId="31" fillId="0" borderId="29" xfId="5" applyFont="1" applyBorder="1" applyAlignment="1">
      <alignment horizontal="center" vertical="center" wrapText="1"/>
    </xf>
    <xf numFmtId="0" fontId="31" fillId="0" borderId="31" xfId="5" applyFont="1" applyBorder="1" applyAlignment="1">
      <alignment horizontal="center" vertical="center" wrapText="1"/>
    </xf>
  </cellXfs>
  <cellStyles count="11">
    <cellStyle name="Currency 2" xfId="2" xr:uid="{00000000-0005-0000-0000-000000000000}"/>
    <cellStyle name="Hyperlink" xfId="3" builtinId="8"/>
    <cellStyle name="Hyperlink 2" xfId="6" xr:uid="{00000000-0005-0000-0000-000002000000}"/>
    <cellStyle name="Normal" xfId="0" builtinId="0"/>
    <cellStyle name="Normal 2" xfId="4" xr:uid="{00000000-0005-0000-0000-000005000000}"/>
    <cellStyle name="Normal 2 2" xfId="10" xr:uid="{F9D5DD48-1483-4677-8F69-A02302F09195}"/>
    <cellStyle name="Normal 3" xfId="5" xr:uid="{00000000-0005-0000-0000-000006000000}"/>
    <cellStyle name="Normal 4" xfId="1" xr:uid="{00000000-0005-0000-0000-000007000000}"/>
    <cellStyle name="Normal 5" xfId="7" xr:uid="{00000000-0005-0000-0000-000008000000}"/>
    <cellStyle name="Percent" xfId="9" builtinId="5"/>
    <cellStyle name="Percent 2" xfId="8" xr:uid="{00000000-0005-0000-0000-00000A000000}"/>
  </cellStyles>
  <dxfs count="57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6"/>
      <tableStyleElement type="headerRow" dxfId="5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0</xdr:row>
          <xdr:rowOff>133350</xdr:rowOff>
        </xdr:from>
        <xdr:to>
          <xdr:col>4</xdr:col>
          <xdr:colOff>76200</xdr:colOff>
          <xdr:row>3</xdr:row>
          <xdr:rowOff>114300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 HCS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0</xdr:row>
          <xdr:rowOff>133350</xdr:rowOff>
        </xdr:from>
        <xdr:to>
          <xdr:col>4</xdr:col>
          <xdr:colOff>76200</xdr:colOff>
          <xdr:row>3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 HCS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0</xdr:row>
          <xdr:rowOff>133350</xdr:rowOff>
        </xdr:from>
        <xdr:to>
          <xdr:col>4</xdr:col>
          <xdr:colOff>76200</xdr:colOff>
          <xdr:row>3</xdr:row>
          <xdr:rowOff>114300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 HCS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0</xdr:row>
          <xdr:rowOff>133350</xdr:rowOff>
        </xdr:from>
        <xdr:to>
          <xdr:col>4</xdr:col>
          <xdr:colOff>76200</xdr:colOff>
          <xdr:row>3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 HCS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3"/>
  <sheetViews>
    <sheetView showGridLines="0" tabSelected="1" workbookViewId="0">
      <selection activeCell="E24" sqref="E24"/>
    </sheetView>
  </sheetViews>
  <sheetFormatPr defaultRowHeight="15" x14ac:dyDescent="0.25"/>
  <cols>
    <col min="1" max="1" width="4.5703125" customWidth="1"/>
    <col min="2" max="2" width="5.5703125" customWidth="1"/>
    <col min="4" max="4" width="51.5703125" customWidth="1"/>
  </cols>
  <sheetData>
    <row r="1" spans="1:16" x14ac:dyDescent="0.25">
      <c r="A1" s="8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9" t="s">
        <v>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25">
      <c r="A4" s="1"/>
      <c r="B4" s="1" t="s">
        <v>2</v>
      </c>
      <c r="C4" s="1"/>
      <c r="D4" s="2" t="s">
        <v>3</v>
      </c>
      <c r="E4" s="1"/>
      <c r="F4" s="28" t="s">
        <v>299</v>
      </c>
      <c r="G4" s="11" t="s">
        <v>300</v>
      </c>
      <c r="H4" s="11"/>
      <c r="I4" s="11"/>
      <c r="J4" s="1"/>
      <c r="K4" s="1"/>
      <c r="L4" s="1"/>
      <c r="M4" s="1"/>
      <c r="N4" s="1"/>
      <c r="O4" s="1"/>
      <c r="P4" s="1"/>
    </row>
    <row r="5" spans="1:16" x14ac:dyDescent="0.25">
      <c r="A5" s="1">
        <v>1</v>
      </c>
      <c r="B5" s="1" t="s">
        <v>4</v>
      </c>
      <c r="C5" s="1"/>
      <c r="D5" s="2" t="s">
        <v>5</v>
      </c>
      <c r="E5" s="1"/>
      <c r="F5" s="28" t="s">
        <v>299</v>
      </c>
      <c r="G5" s="11" t="s">
        <v>301</v>
      </c>
      <c r="H5" s="11"/>
      <c r="I5" s="11"/>
      <c r="J5" s="1"/>
      <c r="K5" s="1"/>
      <c r="L5" s="1"/>
      <c r="M5" s="1"/>
      <c r="N5" s="1"/>
      <c r="O5" s="1"/>
      <c r="P5" s="1"/>
    </row>
    <row r="6" spans="1:16" x14ac:dyDescent="0.25">
      <c r="A6" s="1">
        <v>2</v>
      </c>
      <c r="B6" s="1" t="s">
        <v>6</v>
      </c>
      <c r="C6" s="1"/>
      <c r="D6" s="6">
        <f ca="1">NOW()</f>
        <v>44701.440827546299</v>
      </c>
      <c r="E6" s="1"/>
      <c r="F6" s="28" t="s">
        <v>299</v>
      </c>
      <c r="G6" s="1" t="s">
        <v>302</v>
      </c>
      <c r="H6" s="1"/>
      <c r="I6" s="1"/>
      <c r="J6" s="1"/>
      <c r="K6" s="1"/>
      <c r="L6" s="1"/>
      <c r="M6" s="1"/>
      <c r="N6" s="1"/>
      <c r="O6" s="1"/>
      <c r="P6" s="1"/>
    </row>
    <row r="7" spans="1:16" x14ac:dyDescent="0.25">
      <c r="A7" s="1">
        <v>3</v>
      </c>
      <c r="B7" s="1" t="s">
        <v>7</v>
      </c>
      <c r="C7" s="1"/>
      <c r="D7" s="2">
        <v>2019</v>
      </c>
      <c r="E7" s="1"/>
      <c r="F7" s="28" t="s">
        <v>299</v>
      </c>
      <c r="G7" s="11" t="s">
        <v>303</v>
      </c>
      <c r="H7" s="11"/>
      <c r="I7" s="11"/>
      <c r="J7" s="1"/>
      <c r="K7" s="1"/>
      <c r="L7" s="1"/>
      <c r="M7" s="1"/>
      <c r="N7" s="1"/>
      <c r="O7" s="1"/>
      <c r="P7" s="1"/>
    </row>
    <row r="8" spans="1:16" x14ac:dyDescent="0.25">
      <c r="A8" s="1">
        <v>4</v>
      </c>
      <c r="B8" s="1" t="s">
        <v>8</v>
      </c>
      <c r="C8" s="1"/>
      <c r="D8" s="2" t="s">
        <v>429</v>
      </c>
      <c r="E8" s="1"/>
      <c r="F8" s="28" t="s">
        <v>299</v>
      </c>
      <c r="G8" s="11" t="s">
        <v>304</v>
      </c>
      <c r="H8" s="11"/>
      <c r="I8" s="11"/>
      <c r="J8" s="1"/>
      <c r="K8" s="1"/>
      <c r="L8" s="1"/>
      <c r="M8" s="1"/>
      <c r="N8" s="1"/>
      <c r="O8" s="1"/>
      <c r="P8" s="4"/>
    </row>
    <row r="9" spans="1:16" x14ac:dyDescent="0.25">
      <c r="A9" s="1">
        <v>5</v>
      </c>
      <c r="B9" s="1" t="s">
        <v>9</v>
      </c>
      <c r="C9" s="1"/>
      <c r="D9" s="2" t="s">
        <v>292</v>
      </c>
      <c r="E9" s="1"/>
      <c r="F9" s="28" t="s">
        <v>299</v>
      </c>
      <c r="G9" s="54" t="s">
        <v>305</v>
      </c>
      <c r="H9" s="54"/>
      <c r="I9" s="54"/>
      <c r="J9" s="1"/>
      <c r="K9" s="1"/>
      <c r="L9" s="1"/>
      <c r="M9" s="1"/>
      <c r="N9" s="1"/>
      <c r="O9" s="1"/>
      <c r="P9" s="3"/>
    </row>
    <row r="10" spans="1:16" x14ac:dyDescent="0.25">
      <c r="A10" s="1">
        <v>6</v>
      </c>
      <c r="B10" s="1" t="s">
        <v>10</v>
      </c>
      <c r="C10" s="1"/>
      <c r="D10" s="2"/>
      <c r="E10" s="1"/>
      <c r="F10" s="28" t="s">
        <v>299</v>
      </c>
      <c r="G10" s="54" t="s">
        <v>306</v>
      </c>
      <c r="H10" s="54"/>
      <c r="I10" s="54"/>
      <c r="J10" s="1"/>
      <c r="K10" s="1"/>
      <c r="L10" s="1"/>
      <c r="M10" s="1"/>
      <c r="N10" s="1"/>
      <c r="O10" s="1"/>
      <c r="P10" s="1"/>
    </row>
    <row r="11" spans="1:16" x14ac:dyDescent="0.25">
      <c r="A11" s="1">
        <v>7</v>
      </c>
      <c r="B11" s="1" t="s">
        <v>11</v>
      </c>
      <c r="C11" s="1"/>
      <c r="D11" s="2" t="s">
        <v>293</v>
      </c>
      <c r="E11" s="1"/>
      <c r="F11" s="28" t="s">
        <v>299</v>
      </c>
      <c r="G11" s="54" t="s">
        <v>307</v>
      </c>
      <c r="H11" s="54"/>
      <c r="I11" s="54"/>
      <c r="J11" s="1"/>
      <c r="K11" s="1"/>
      <c r="L11" s="1"/>
      <c r="M11" s="1"/>
      <c r="N11" s="1"/>
      <c r="O11" s="1"/>
      <c r="P11" s="1"/>
    </row>
    <row r="12" spans="1:16" x14ac:dyDescent="0.25">
      <c r="A12" s="1">
        <v>8</v>
      </c>
      <c r="B12" s="1" t="s">
        <v>12</v>
      </c>
      <c r="C12" s="1"/>
      <c r="D12" s="53" t="s">
        <v>294</v>
      </c>
      <c r="E12" s="1"/>
      <c r="F12" s="28" t="s">
        <v>299</v>
      </c>
      <c r="G12" s="54" t="s">
        <v>308</v>
      </c>
      <c r="H12" s="54"/>
      <c r="I12" s="54"/>
      <c r="J12" s="1"/>
      <c r="K12" s="1"/>
      <c r="L12" s="1"/>
      <c r="M12" s="1"/>
      <c r="N12" s="1"/>
      <c r="O12" s="1"/>
      <c r="P12" s="1"/>
    </row>
    <row r="13" spans="1:16" x14ac:dyDescent="0.25">
      <c r="A13" s="1">
        <v>9</v>
      </c>
      <c r="B13" s="1" t="s">
        <v>13</v>
      </c>
      <c r="C13" s="1"/>
      <c r="D13" s="12" t="s">
        <v>428</v>
      </c>
      <c r="E13" s="1" t="s">
        <v>14</v>
      </c>
      <c r="F13" s="28" t="s">
        <v>299</v>
      </c>
      <c r="G13" s="11" t="s">
        <v>309</v>
      </c>
      <c r="H13" s="11"/>
      <c r="I13" s="11"/>
      <c r="J13" s="1"/>
      <c r="K13" s="1"/>
      <c r="L13" s="1"/>
      <c r="M13" s="1"/>
      <c r="N13" s="1"/>
      <c r="O13" s="1"/>
      <c r="P13" s="1"/>
    </row>
    <row r="14" spans="1:16" x14ac:dyDescent="0.25">
      <c r="A14" s="1">
        <v>10</v>
      </c>
      <c r="B14" s="1" t="s">
        <v>15</v>
      </c>
      <c r="C14" s="1"/>
      <c r="D14" s="50" t="s">
        <v>429</v>
      </c>
      <c r="E14" s="1"/>
      <c r="F14" s="28" t="s">
        <v>299</v>
      </c>
      <c r="G14" s="11" t="s">
        <v>311</v>
      </c>
      <c r="H14" s="11"/>
      <c r="I14" s="1"/>
      <c r="J14" s="1"/>
      <c r="K14" s="1"/>
      <c r="L14" s="1"/>
      <c r="M14" s="1"/>
      <c r="N14" s="1"/>
      <c r="O14" s="1"/>
      <c r="P14" s="1"/>
    </row>
    <row r="15" spans="1:16" x14ac:dyDescent="0.25">
      <c r="A15" s="1">
        <v>11</v>
      </c>
      <c r="B15" s="1" t="s">
        <v>16</v>
      </c>
      <c r="C15" s="1"/>
      <c r="D15" s="5"/>
      <c r="E15" s="1"/>
      <c r="F15" s="1"/>
      <c r="G15" s="1" t="s">
        <v>310</v>
      </c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25">
      <c r="A16" s="1">
        <v>12</v>
      </c>
      <c r="B16" s="1" t="s">
        <v>15</v>
      </c>
      <c r="C16" s="1"/>
      <c r="D16" s="5"/>
      <c r="E16" s="1"/>
      <c r="F16" s="1"/>
      <c r="G16" s="1" t="s">
        <v>310</v>
      </c>
      <c r="H16" s="1"/>
      <c r="I16" s="1"/>
      <c r="J16" s="1"/>
      <c r="K16" s="1"/>
      <c r="L16" s="1"/>
      <c r="M16" s="1"/>
      <c r="N16" s="1"/>
      <c r="O16" s="1"/>
      <c r="P16" s="1"/>
    </row>
    <row r="17" spans="2:4" x14ac:dyDescent="0.25">
      <c r="B17" s="1"/>
      <c r="C17" s="1"/>
      <c r="D17" s="2"/>
    </row>
    <row r="18" spans="2:4" x14ac:dyDescent="0.25">
      <c r="B18" s="1"/>
      <c r="C18" s="1"/>
      <c r="D18" s="2"/>
    </row>
    <row r="19" spans="2:4" x14ac:dyDescent="0.25">
      <c r="B19" s="1"/>
      <c r="C19" s="1"/>
      <c r="D19" s="2"/>
    </row>
    <row r="21" spans="2:4" x14ac:dyDescent="0.25">
      <c r="B21" s="1"/>
      <c r="C21" s="1"/>
      <c r="D21" s="7"/>
    </row>
    <row r="22" spans="2:4" x14ac:dyDescent="0.25">
      <c r="B22" s="1"/>
      <c r="C22" s="1"/>
      <c r="D22" s="7"/>
    </row>
    <row r="30" spans="2:4" x14ac:dyDescent="0.25">
      <c r="B30" s="1" t="s">
        <v>17</v>
      </c>
      <c r="C30" s="1"/>
      <c r="D30" s="10">
        <v>8.1</v>
      </c>
    </row>
    <row r="31" spans="2:4" x14ac:dyDescent="0.25">
      <c r="B31" s="1" t="s">
        <v>18</v>
      </c>
      <c r="C31" s="1"/>
      <c r="D31" s="10" t="s">
        <v>430</v>
      </c>
    </row>
    <row r="32" spans="2:4" x14ac:dyDescent="0.25">
      <c r="B32" s="1" t="s">
        <v>19</v>
      </c>
      <c r="C32" s="1"/>
      <c r="D32" s="10" t="s">
        <v>20</v>
      </c>
    </row>
    <row r="33" spans="4:4" x14ac:dyDescent="0.25">
      <c r="D33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CL1207"/>
  <sheetViews>
    <sheetView showGridLines="0" workbookViewId="0">
      <pane xSplit="11" ySplit="6" topLeftCell="L7" activePane="bottomRight" state="frozen"/>
      <selection pane="topRight" activeCell="L1" sqref="L1"/>
      <selection pane="bottomLeft" activeCell="A7" sqref="A7"/>
      <selection pane="bottomRight" activeCell="X7" sqref="X7"/>
    </sheetView>
  </sheetViews>
  <sheetFormatPr defaultColWidth="9.140625" defaultRowHeight="12.75" x14ac:dyDescent="0.2"/>
  <cols>
    <col min="1" max="1" width="2.5703125" style="13" customWidth="1"/>
    <col min="2" max="2" width="6.85546875" style="14" customWidth="1"/>
    <col min="3" max="3" width="11" style="14" customWidth="1"/>
    <col min="4" max="4" width="6.85546875" style="14" customWidth="1"/>
    <col min="5" max="5" width="27.42578125" style="13" customWidth="1"/>
    <col min="6" max="10" width="0" style="13" hidden="1" customWidth="1"/>
    <col min="11" max="11" width="1.5703125" style="17" customWidth="1"/>
    <col min="12" max="14" width="10.85546875" style="14" customWidth="1"/>
    <col min="15" max="15" width="12.140625" style="14" customWidth="1"/>
    <col min="16" max="16" width="9" style="14" customWidth="1"/>
    <col min="17" max="17" width="9.28515625" style="14" customWidth="1"/>
    <col min="18" max="18" width="8.28515625" style="14" customWidth="1"/>
    <col min="19" max="19" width="8.42578125" style="14" customWidth="1"/>
    <col min="20" max="22" width="10.85546875" style="14" customWidth="1"/>
    <col min="23" max="23" width="2.5703125" style="18" customWidth="1"/>
    <col min="24" max="24" width="12.140625" style="14" bestFit="1" customWidth="1"/>
    <col min="25" max="25" width="12.140625" style="14" customWidth="1"/>
    <col min="26" max="26" width="9.42578125" style="14" customWidth="1"/>
    <col min="27" max="27" width="8.42578125" style="14" customWidth="1"/>
    <col min="28" max="28" width="6.5703125" style="14" customWidth="1"/>
    <col min="29" max="29" width="2.140625" style="18" customWidth="1"/>
    <col min="30" max="30" width="8.28515625" style="14" bestFit="1" customWidth="1"/>
    <col min="31" max="31" width="15.5703125" style="14" bestFit="1" customWidth="1"/>
    <col min="32" max="35" width="9.140625" style="14" customWidth="1"/>
    <col min="36" max="36" width="6.5703125" style="14" customWidth="1"/>
    <col min="37" max="37" width="2.140625" style="18" customWidth="1"/>
    <col min="38" max="38" width="7.85546875" style="14" customWidth="1"/>
    <col min="39" max="39" width="12.85546875" style="14" customWidth="1"/>
    <col min="40" max="41" width="7.85546875" style="14" customWidth="1"/>
    <col min="42" max="42" width="8.140625" style="14" customWidth="1"/>
    <col min="43" max="43" width="8.28515625" style="14" customWidth="1"/>
    <col min="44" max="44" width="1.7109375" style="14" customWidth="1"/>
    <col min="45" max="46" width="7.140625" style="14" customWidth="1"/>
    <col min="47" max="47" width="8.140625" style="14" customWidth="1"/>
    <col min="48" max="48" width="8.28515625" style="14" customWidth="1"/>
    <col min="49" max="49" width="7.140625" style="14" customWidth="1"/>
    <col min="50" max="50" width="1.85546875" style="14" customWidth="1"/>
    <col min="51" max="54" width="8.7109375" style="14" customWidth="1"/>
    <col min="55" max="55" width="2" style="18" customWidth="1"/>
    <col min="56" max="56" width="8.5703125" style="14" customWidth="1"/>
    <col min="57" max="57" width="6.85546875" style="14" customWidth="1"/>
    <col min="58" max="58" width="8.7109375" style="14" customWidth="1"/>
    <col min="59" max="59" width="9.140625" style="14" customWidth="1"/>
    <col min="60" max="62" width="9.140625" style="14"/>
    <col min="63" max="64" width="2.42578125" style="13" customWidth="1"/>
    <col min="65" max="66" width="7.85546875" style="14" customWidth="1"/>
    <col min="67" max="67" width="6.85546875" style="14" customWidth="1"/>
    <col min="68" max="68" width="9.7109375" style="14" customWidth="1"/>
    <col min="69" max="69" width="8.5703125" style="14" customWidth="1"/>
    <col min="70" max="70" width="7.140625" style="14" customWidth="1"/>
    <col min="71" max="71" width="2.28515625" style="14" customWidth="1"/>
    <col min="72" max="77" width="9.140625" style="14"/>
    <col min="78" max="80" width="9.140625" style="13"/>
    <col min="81" max="82" width="9.140625" style="25"/>
    <col min="83" max="16384" width="9.140625" style="13"/>
  </cols>
  <sheetData>
    <row r="1" spans="2:90" s="20" customFormat="1" x14ac:dyDescent="0.2">
      <c r="B1" s="21"/>
      <c r="C1" s="21">
        <v>4</v>
      </c>
      <c r="D1" s="21">
        <v>4</v>
      </c>
      <c r="E1" s="20">
        <v>5</v>
      </c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7"/>
      <c r="BA1" s="21"/>
      <c r="BB1" s="21"/>
      <c r="BC1" s="21"/>
      <c r="BD1" s="21"/>
      <c r="BE1" s="21"/>
      <c r="BF1" s="21"/>
      <c r="BG1" s="21"/>
      <c r="BH1" s="21"/>
      <c r="BI1" s="21"/>
      <c r="BJ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CC1" s="23"/>
      <c r="CD1" s="23"/>
    </row>
    <row r="2" spans="2:90" s="20" customFormat="1" x14ac:dyDescent="0.2">
      <c r="B2" s="21"/>
      <c r="C2" s="21"/>
      <c r="D2" s="21"/>
      <c r="L2" s="27" t="s">
        <v>83</v>
      </c>
      <c r="M2" s="27" t="s">
        <v>128</v>
      </c>
      <c r="N2" s="27" t="s">
        <v>80</v>
      </c>
      <c r="O2" s="27" t="s">
        <v>80</v>
      </c>
      <c r="P2" s="27" t="s">
        <v>95</v>
      </c>
      <c r="Q2" s="27" t="s">
        <v>81</v>
      </c>
      <c r="R2" s="27" t="s">
        <v>266</v>
      </c>
      <c r="S2" s="27" t="s">
        <v>269</v>
      </c>
      <c r="T2" s="27" t="s">
        <v>96</v>
      </c>
      <c r="U2" s="27" t="s">
        <v>97</v>
      </c>
      <c r="V2" s="27" t="s">
        <v>101</v>
      </c>
      <c r="W2" s="27"/>
      <c r="X2" s="27" t="s">
        <v>82</v>
      </c>
      <c r="Y2" s="27" t="s">
        <v>85</v>
      </c>
      <c r="Z2" s="27" t="s">
        <v>272</v>
      </c>
      <c r="AA2" s="27" t="s">
        <v>273</v>
      </c>
      <c r="AB2" s="27" t="s">
        <v>84</v>
      </c>
      <c r="AC2" s="27"/>
      <c r="AD2" s="27" t="s">
        <v>102</v>
      </c>
      <c r="AE2" s="27" t="s">
        <v>86</v>
      </c>
      <c r="AF2" s="27" t="s">
        <v>87</v>
      </c>
      <c r="AG2" s="27" t="s">
        <v>99</v>
      </c>
      <c r="AH2" s="27" t="s">
        <v>98</v>
      </c>
      <c r="AI2" s="27" t="s">
        <v>100</v>
      </c>
      <c r="AJ2" s="27" t="s">
        <v>88</v>
      </c>
      <c r="AK2" s="27"/>
      <c r="AL2" s="27" t="s">
        <v>83</v>
      </c>
      <c r="AM2" s="27" t="s">
        <v>103</v>
      </c>
      <c r="AN2" s="27" t="s">
        <v>80</v>
      </c>
      <c r="AO2" s="27" t="s">
        <v>81</v>
      </c>
      <c r="AP2" s="27" t="s">
        <v>266</v>
      </c>
      <c r="AQ2" s="27" t="s">
        <v>269</v>
      </c>
      <c r="AR2" s="27"/>
      <c r="AS2" s="27" t="s">
        <v>82</v>
      </c>
      <c r="AT2" s="27" t="s">
        <v>85</v>
      </c>
      <c r="AU2" s="27" t="s">
        <v>272</v>
      </c>
      <c r="AV2" s="27" t="s">
        <v>273</v>
      </c>
      <c r="AW2" s="27" t="s">
        <v>84</v>
      </c>
      <c r="AX2" s="27"/>
      <c r="AY2" s="27" t="s">
        <v>102</v>
      </c>
      <c r="AZ2" s="27" t="s">
        <v>100</v>
      </c>
      <c r="BA2" s="27" t="s">
        <v>99</v>
      </c>
      <c r="BB2" s="27" t="s">
        <v>98</v>
      </c>
      <c r="BC2" s="27"/>
      <c r="BD2" s="27"/>
      <c r="BE2" s="27"/>
      <c r="BF2" s="27"/>
      <c r="BG2" s="27"/>
      <c r="BH2" s="27"/>
      <c r="BI2" s="27"/>
      <c r="BJ2" s="27"/>
      <c r="BK2" s="23"/>
      <c r="BL2" s="23"/>
      <c r="BM2" s="27" t="s">
        <v>94</v>
      </c>
      <c r="BN2" s="27" t="s">
        <v>93</v>
      </c>
      <c r="BO2" s="27" t="s">
        <v>92</v>
      </c>
      <c r="BP2" s="27" t="s">
        <v>91</v>
      </c>
      <c r="BQ2" s="27" t="s">
        <v>89</v>
      </c>
      <c r="BR2" s="27" t="s">
        <v>90</v>
      </c>
      <c r="BS2" s="27"/>
      <c r="BT2" s="27" t="s">
        <v>94</v>
      </c>
      <c r="BU2" s="27" t="s">
        <v>93</v>
      </c>
      <c r="BV2" s="27" t="s">
        <v>92</v>
      </c>
      <c r="BW2" s="27" t="s">
        <v>91</v>
      </c>
      <c r="BX2" s="27" t="s">
        <v>89</v>
      </c>
      <c r="BY2" s="27" t="s">
        <v>90</v>
      </c>
      <c r="CB2" s="20" t="s">
        <v>131</v>
      </c>
      <c r="CC2" s="23"/>
      <c r="CD2" s="23" t="s">
        <v>104</v>
      </c>
    </row>
    <row r="3" spans="2:90" s="20" customFormat="1" x14ac:dyDescent="0.2">
      <c r="B3" s="21"/>
      <c r="C3" s="21"/>
      <c r="D3" s="21"/>
      <c r="L3" s="27">
        <f>IF(L2&lt;&gt;"", COLUMN(), "")</f>
        <v>12</v>
      </c>
      <c r="M3" s="27">
        <f t="shared" ref="M3:CC3" si="0">IF(M2&lt;&gt;"", COLUMN(), "")</f>
        <v>13</v>
      </c>
      <c r="N3" s="27">
        <f t="shared" si="0"/>
        <v>14</v>
      </c>
      <c r="O3" s="27">
        <f t="shared" si="0"/>
        <v>15</v>
      </c>
      <c r="P3" s="27">
        <f t="shared" si="0"/>
        <v>16</v>
      </c>
      <c r="Q3" s="27">
        <f t="shared" si="0"/>
        <v>17</v>
      </c>
      <c r="R3" s="27">
        <f t="shared" si="0"/>
        <v>18</v>
      </c>
      <c r="S3" s="27">
        <f t="shared" si="0"/>
        <v>19</v>
      </c>
      <c r="T3" s="27">
        <f t="shared" si="0"/>
        <v>20</v>
      </c>
      <c r="U3" s="27">
        <f t="shared" si="0"/>
        <v>21</v>
      </c>
      <c r="V3" s="27">
        <f t="shared" si="0"/>
        <v>22</v>
      </c>
      <c r="W3" s="27" t="str">
        <f t="shared" si="0"/>
        <v/>
      </c>
      <c r="X3" s="27">
        <f t="shared" si="0"/>
        <v>24</v>
      </c>
      <c r="Y3" s="27">
        <f t="shared" si="0"/>
        <v>25</v>
      </c>
      <c r="Z3" s="27">
        <f t="shared" si="0"/>
        <v>26</v>
      </c>
      <c r="AA3" s="27">
        <f t="shared" si="0"/>
        <v>27</v>
      </c>
      <c r="AB3" s="27">
        <f t="shared" si="0"/>
        <v>28</v>
      </c>
      <c r="AC3" s="27" t="str">
        <f t="shared" si="0"/>
        <v/>
      </c>
      <c r="AD3" s="27">
        <f t="shared" si="0"/>
        <v>30</v>
      </c>
      <c r="AE3" s="27">
        <f t="shared" si="0"/>
        <v>31</v>
      </c>
      <c r="AF3" s="27">
        <f t="shared" si="0"/>
        <v>32</v>
      </c>
      <c r="AG3" s="27">
        <f t="shared" si="0"/>
        <v>33</v>
      </c>
      <c r="AH3" s="27">
        <f t="shared" si="0"/>
        <v>34</v>
      </c>
      <c r="AI3" s="27">
        <f t="shared" si="0"/>
        <v>35</v>
      </c>
      <c r="AJ3" s="27">
        <f t="shared" si="0"/>
        <v>36</v>
      </c>
      <c r="AK3" s="27" t="str">
        <f t="shared" si="0"/>
        <v/>
      </c>
      <c r="AL3" s="27">
        <f t="shared" si="0"/>
        <v>38</v>
      </c>
      <c r="AM3" s="27">
        <f t="shared" si="0"/>
        <v>39</v>
      </c>
      <c r="AN3" s="27">
        <f t="shared" si="0"/>
        <v>40</v>
      </c>
      <c r="AO3" s="27">
        <f t="shared" si="0"/>
        <v>41</v>
      </c>
      <c r="AP3" s="27">
        <f t="shared" si="0"/>
        <v>42</v>
      </c>
      <c r="AQ3" s="27">
        <f t="shared" si="0"/>
        <v>43</v>
      </c>
      <c r="AR3" s="27" t="str">
        <f t="shared" si="0"/>
        <v/>
      </c>
      <c r="AS3" s="27">
        <f t="shared" si="0"/>
        <v>45</v>
      </c>
      <c r="AT3" s="27">
        <f t="shared" si="0"/>
        <v>46</v>
      </c>
      <c r="AU3" s="27">
        <f t="shared" si="0"/>
        <v>47</v>
      </c>
      <c r="AV3" s="27">
        <f t="shared" si="0"/>
        <v>48</v>
      </c>
      <c r="AW3" s="27">
        <f t="shared" si="0"/>
        <v>49</v>
      </c>
      <c r="AX3" s="27" t="str">
        <f t="shared" si="0"/>
        <v/>
      </c>
      <c r="AY3" s="27">
        <f t="shared" si="0"/>
        <v>51</v>
      </c>
      <c r="AZ3" s="27">
        <f t="shared" si="0"/>
        <v>52</v>
      </c>
      <c r="BA3" s="27">
        <f t="shared" si="0"/>
        <v>53</v>
      </c>
      <c r="BB3" s="27">
        <f t="shared" si="0"/>
        <v>54</v>
      </c>
      <c r="BC3" s="27" t="str">
        <f t="shared" si="0"/>
        <v/>
      </c>
      <c r="BD3" s="27" t="str">
        <f t="shared" si="0"/>
        <v/>
      </c>
      <c r="BE3" s="27" t="str">
        <f t="shared" si="0"/>
        <v/>
      </c>
      <c r="BF3" s="27" t="str">
        <f t="shared" si="0"/>
        <v/>
      </c>
      <c r="BG3" s="27" t="str">
        <f t="shared" si="0"/>
        <v/>
      </c>
      <c r="BH3" s="27" t="str">
        <f t="shared" si="0"/>
        <v/>
      </c>
      <c r="BI3" s="27" t="str">
        <f t="shared" si="0"/>
        <v/>
      </c>
      <c r="BJ3" s="27" t="str">
        <f t="shared" si="0"/>
        <v/>
      </c>
      <c r="BK3" s="27" t="str">
        <f t="shared" si="0"/>
        <v/>
      </c>
      <c r="BL3" s="27" t="str">
        <f t="shared" si="0"/>
        <v/>
      </c>
      <c r="BM3" s="27">
        <f t="shared" si="0"/>
        <v>65</v>
      </c>
      <c r="BN3" s="27">
        <f t="shared" si="0"/>
        <v>66</v>
      </c>
      <c r="BO3" s="27">
        <f t="shared" si="0"/>
        <v>67</v>
      </c>
      <c r="BP3" s="27">
        <f t="shared" si="0"/>
        <v>68</v>
      </c>
      <c r="BQ3" s="27">
        <f t="shared" si="0"/>
        <v>69</v>
      </c>
      <c r="BR3" s="27">
        <f t="shared" si="0"/>
        <v>70</v>
      </c>
      <c r="BS3" s="27" t="str">
        <f t="shared" si="0"/>
        <v/>
      </c>
      <c r="BT3" s="27">
        <f t="shared" si="0"/>
        <v>72</v>
      </c>
      <c r="BU3" s="27">
        <f t="shared" si="0"/>
        <v>73</v>
      </c>
      <c r="BV3" s="27">
        <f t="shared" si="0"/>
        <v>74</v>
      </c>
      <c r="BW3" s="27">
        <f t="shared" si="0"/>
        <v>75</v>
      </c>
      <c r="BX3" s="27">
        <f t="shared" si="0"/>
        <v>76</v>
      </c>
      <c r="BY3" s="27">
        <f t="shared" si="0"/>
        <v>77</v>
      </c>
      <c r="BZ3" s="27" t="str">
        <f t="shared" si="0"/>
        <v/>
      </c>
      <c r="CA3" s="27" t="str">
        <f t="shared" si="0"/>
        <v/>
      </c>
      <c r="CB3" s="27">
        <f t="shared" si="0"/>
        <v>80</v>
      </c>
      <c r="CC3" s="27" t="str">
        <f t="shared" si="0"/>
        <v/>
      </c>
      <c r="CD3" s="27">
        <f t="shared" ref="CD3" si="1">IF(CD2&lt;&gt;"", COLUMN(), "")</f>
        <v>82</v>
      </c>
    </row>
    <row r="4" spans="2:90" s="20" customFormat="1" x14ac:dyDescent="0.2">
      <c r="B4" s="21"/>
      <c r="C4" s="21"/>
      <c r="D4" s="21"/>
      <c r="AL4" s="158" t="s">
        <v>35</v>
      </c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21"/>
      <c r="BD4" s="21"/>
      <c r="BE4" s="21"/>
      <c r="BF4" s="21"/>
      <c r="BG4" s="21"/>
      <c r="BH4" s="21"/>
      <c r="BI4" s="21"/>
      <c r="BJ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CC4" s="23"/>
      <c r="CD4" s="23"/>
    </row>
    <row r="5" spans="2:90" s="20" customFormat="1" ht="13.5" thickBot="1" x14ac:dyDescent="0.25">
      <c r="B5" s="21"/>
      <c r="C5" s="21"/>
      <c r="D5" s="21"/>
      <c r="F5" s="158" t="s">
        <v>27</v>
      </c>
      <c r="G5" s="158"/>
      <c r="H5" s="158"/>
      <c r="I5" s="158"/>
      <c r="J5" s="158"/>
      <c r="K5" s="21"/>
      <c r="L5" s="158" t="s">
        <v>29</v>
      </c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21"/>
      <c r="X5" s="158" t="s">
        <v>36</v>
      </c>
      <c r="Y5" s="158"/>
      <c r="Z5" s="158"/>
      <c r="AA5" s="158"/>
      <c r="AB5" s="158"/>
      <c r="AC5" s="21"/>
      <c r="AD5" s="158" t="s">
        <v>40</v>
      </c>
      <c r="AE5" s="158"/>
      <c r="AF5" s="158"/>
      <c r="AG5" s="158"/>
      <c r="AH5" s="158"/>
      <c r="AI5" s="158"/>
      <c r="AJ5" s="158"/>
      <c r="AK5" s="21"/>
      <c r="AL5" s="159" t="s">
        <v>29</v>
      </c>
      <c r="AM5" s="159"/>
      <c r="AN5" s="159"/>
      <c r="AO5" s="159"/>
      <c r="AP5" s="159"/>
      <c r="AQ5" s="159"/>
      <c r="AR5" s="21"/>
      <c r="AS5" s="158" t="s">
        <v>36</v>
      </c>
      <c r="AT5" s="158"/>
      <c r="AU5" s="158"/>
      <c r="AV5" s="158"/>
      <c r="AW5" s="158"/>
      <c r="AX5" s="21"/>
      <c r="AY5" s="158" t="s">
        <v>40</v>
      </c>
      <c r="AZ5" s="158"/>
      <c r="BA5" s="158"/>
      <c r="BB5" s="158"/>
      <c r="BC5" s="21"/>
      <c r="BD5" s="158" t="s">
        <v>54</v>
      </c>
      <c r="BE5" s="158"/>
      <c r="BF5" s="158"/>
      <c r="BG5" s="158"/>
      <c r="BH5" s="158"/>
      <c r="BI5" s="158"/>
      <c r="BJ5" s="158"/>
      <c r="BM5" s="157" t="s">
        <v>76</v>
      </c>
      <c r="BN5" s="157"/>
      <c r="BO5" s="157"/>
      <c r="BP5" s="157"/>
      <c r="BQ5" s="157"/>
      <c r="BR5" s="157"/>
      <c r="BS5" s="21"/>
      <c r="BT5" s="157" t="s">
        <v>75</v>
      </c>
      <c r="BU5" s="157"/>
      <c r="BV5" s="157"/>
      <c r="BW5" s="157"/>
      <c r="BX5" s="157"/>
      <c r="BY5" s="157"/>
      <c r="CC5" s="23"/>
      <c r="CD5" s="23"/>
    </row>
    <row r="6" spans="2:90" s="15" customFormat="1" ht="40.5" customHeight="1" thickBot="1" x14ac:dyDescent="0.25">
      <c r="B6" s="16" t="s">
        <v>21</v>
      </c>
      <c r="C6" s="16" t="s">
        <v>78</v>
      </c>
      <c r="D6" s="16" t="s">
        <v>79</v>
      </c>
      <c r="E6" s="16" t="s">
        <v>62</v>
      </c>
      <c r="F6" s="16" t="s">
        <v>22</v>
      </c>
      <c r="G6" s="16" t="s">
        <v>23</v>
      </c>
      <c r="H6" s="16" t="s">
        <v>24</v>
      </c>
      <c r="I6" s="16" t="s">
        <v>25</v>
      </c>
      <c r="J6" s="16" t="s">
        <v>26</v>
      </c>
      <c r="K6" s="19"/>
      <c r="L6" s="16" t="s">
        <v>28</v>
      </c>
      <c r="M6" s="16" t="s">
        <v>30</v>
      </c>
      <c r="N6" s="16" t="s">
        <v>49</v>
      </c>
      <c r="O6" s="16" t="s">
        <v>48</v>
      </c>
      <c r="P6" s="16" t="s">
        <v>31</v>
      </c>
      <c r="Q6" s="16" t="s">
        <v>32</v>
      </c>
      <c r="R6" s="16" t="s">
        <v>267</v>
      </c>
      <c r="S6" s="16" t="s">
        <v>268</v>
      </c>
      <c r="T6" s="16" t="s">
        <v>33</v>
      </c>
      <c r="U6" s="16" t="s">
        <v>34</v>
      </c>
      <c r="V6" s="16" t="s">
        <v>35</v>
      </c>
      <c r="W6" s="19"/>
      <c r="X6" s="16" t="s">
        <v>37</v>
      </c>
      <c r="Y6" s="16" t="s">
        <v>38</v>
      </c>
      <c r="Z6" s="16" t="s">
        <v>270</v>
      </c>
      <c r="AA6" s="16" t="s">
        <v>271</v>
      </c>
      <c r="AB6" s="16" t="s">
        <v>39</v>
      </c>
      <c r="AC6" s="19"/>
      <c r="AD6" s="16" t="s">
        <v>41</v>
      </c>
      <c r="AE6" s="16" t="s">
        <v>42</v>
      </c>
      <c r="AF6" s="16" t="s">
        <v>43</v>
      </c>
      <c r="AG6" s="16" t="s">
        <v>44</v>
      </c>
      <c r="AH6" s="16" t="s">
        <v>45</v>
      </c>
      <c r="AI6" s="16" t="s">
        <v>46</v>
      </c>
      <c r="AJ6" s="16" t="s">
        <v>47</v>
      </c>
      <c r="AK6" s="19"/>
      <c r="AL6" s="16" t="s">
        <v>50</v>
      </c>
      <c r="AM6" s="16" t="s">
        <v>51</v>
      </c>
      <c r="AN6" s="16" t="s">
        <v>49</v>
      </c>
      <c r="AO6" s="16" t="s">
        <v>32</v>
      </c>
      <c r="AP6" s="16" t="s">
        <v>267</v>
      </c>
      <c r="AQ6" s="16" t="s">
        <v>268</v>
      </c>
      <c r="AR6" s="19"/>
      <c r="AS6" s="16" t="s">
        <v>52</v>
      </c>
      <c r="AT6" s="16" t="s">
        <v>53</v>
      </c>
      <c r="AU6" s="16" t="s">
        <v>270</v>
      </c>
      <c r="AV6" s="16" t="s">
        <v>271</v>
      </c>
      <c r="AW6" s="16" t="s">
        <v>39</v>
      </c>
      <c r="AX6" s="19"/>
      <c r="AY6" s="16" t="s">
        <v>41</v>
      </c>
      <c r="AZ6" s="16" t="s">
        <v>46</v>
      </c>
      <c r="BA6" s="16" t="s">
        <v>44</v>
      </c>
      <c r="BB6" s="16" t="s">
        <v>45</v>
      </c>
      <c r="BC6" s="19"/>
      <c r="BD6" s="16" t="s">
        <v>55</v>
      </c>
      <c r="BE6" s="16" t="s">
        <v>56</v>
      </c>
      <c r="BF6" s="16" t="s">
        <v>57</v>
      </c>
      <c r="BG6" s="16" t="s">
        <v>58</v>
      </c>
      <c r="BH6" s="16" t="s">
        <v>59</v>
      </c>
      <c r="BI6" s="16" t="s">
        <v>60</v>
      </c>
      <c r="BJ6" s="16" t="s">
        <v>61</v>
      </c>
      <c r="BM6" s="22" t="s">
        <v>69</v>
      </c>
      <c r="BN6" s="22" t="s">
        <v>70</v>
      </c>
      <c r="BO6" s="22" t="s">
        <v>71</v>
      </c>
      <c r="BP6" s="22" t="s">
        <v>72</v>
      </c>
      <c r="BQ6" s="22" t="s">
        <v>73</v>
      </c>
      <c r="BR6" s="22" t="s">
        <v>74</v>
      </c>
      <c r="BT6" s="22" t="s">
        <v>69</v>
      </c>
      <c r="BU6" s="22" t="s">
        <v>70</v>
      </c>
      <c r="BV6" s="22" t="s">
        <v>71</v>
      </c>
      <c r="BW6" s="22" t="s">
        <v>72</v>
      </c>
      <c r="BX6" s="22" t="s">
        <v>73</v>
      </c>
      <c r="BY6" s="22" t="s">
        <v>74</v>
      </c>
      <c r="CC6" s="24"/>
      <c r="CD6" s="24" t="s">
        <v>77</v>
      </c>
    </row>
    <row r="7" spans="2:90" ht="13.5" x14ac:dyDescent="0.25">
      <c r="B7" s="14">
        <v>1</v>
      </c>
      <c r="C7" s="14" t="s">
        <v>295</v>
      </c>
      <c r="D7" s="14" t="s">
        <v>312</v>
      </c>
      <c r="E7" s="14" t="s">
        <v>298</v>
      </c>
      <c r="L7" s="14">
        <v>4</v>
      </c>
      <c r="M7" s="14" t="s">
        <v>68</v>
      </c>
      <c r="O7" s="14">
        <v>55</v>
      </c>
      <c r="P7" s="14">
        <v>12</v>
      </c>
      <c r="Q7" s="14" t="s">
        <v>63</v>
      </c>
      <c r="R7" s="52"/>
      <c r="T7" s="14">
        <v>10</v>
      </c>
      <c r="U7" s="30">
        <f>(3+7)/6</f>
        <v>1.6666666666666667</v>
      </c>
      <c r="V7" s="14" t="s">
        <v>68</v>
      </c>
      <c r="X7" s="99">
        <f>'Existing PM'!D41</f>
        <v>2960</v>
      </c>
      <c r="Y7" s="26">
        <v>0.16</v>
      </c>
      <c r="Z7" s="52"/>
      <c r="AA7" s="52"/>
      <c r="AB7" s="14">
        <v>0.94</v>
      </c>
      <c r="AD7" s="14" t="s">
        <v>118</v>
      </c>
      <c r="AE7" s="14" t="s">
        <v>105</v>
      </c>
      <c r="AF7" s="14" t="s">
        <v>110</v>
      </c>
      <c r="AJ7" s="14" t="s">
        <v>68</v>
      </c>
      <c r="AL7" s="14">
        <v>1</v>
      </c>
      <c r="AM7" s="14" t="s">
        <v>129</v>
      </c>
      <c r="AN7" s="14">
        <v>65</v>
      </c>
      <c r="AO7" s="14" t="s">
        <v>63</v>
      </c>
      <c r="AP7" s="30"/>
      <c r="AR7" s="18"/>
      <c r="AS7" s="40" t="e">
        <f>SUMIFS(#REF!,#REF!, $B7)</f>
        <v>#REF!</v>
      </c>
      <c r="AT7" s="46">
        <v>0</v>
      </c>
      <c r="AU7" s="52"/>
      <c r="AV7" s="52"/>
      <c r="AW7" s="40">
        <v>0.95</v>
      </c>
      <c r="AX7" s="18"/>
      <c r="AY7" s="14" t="s">
        <v>118</v>
      </c>
      <c r="BM7" s="14">
        <v>913</v>
      </c>
      <c r="BN7" s="14">
        <v>2201</v>
      </c>
      <c r="BO7" s="14">
        <v>0.41492503407541997</v>
      </c>
      <c r="BP7" s="30">
        <v>50.1</v>
      </c>
      <c r="BQ7" s="14">
        <v>18.2</v>
      </c>
      <c r="BR7" s="14" t="s">
        <v>423</v>
      </c>
      <c r="CB7" s="31" t="str">
        <f>C7&amp; " "&amp;D7&amp;" " &amp;E7</f>
        <v>I-295 WB Btwn Throgs Neck off/Throgs Neck on</v>
      </c>
      <c r="CC7" s="25" t="str">
        <f>SUBSTITUTE(E7, "/", "_")</f>
        <v>Btwn Throgs Neck off_Throgs Neck on</v>
      </c>
      <c r="CD7" s="25" t="str">
        <f>BasicInput!$D$13&amp;$CD$2&amp;B7&amp;"_"&amp;C7&amp;D7&amp;"_"&amp;BasicInput!$D$7&amp;BasicInput!$D$8&amp;"_"&amp;CC7&amp;".xuf"</f>
        <v>C:\PWWORKING\east01\d2591108\Basic\1_I-295WB_2019EX_PM_Btwn Throgs Neck off_Throgs Neck on.xuf</v>
      </c>
      <c r="CL7" s="13">
        <f>LEN(CD7)</f>
        <v>94</v>
      </c>
    </row>
    <row r="8" spans="2:90" ht="13.5" x14ac:dyDescent="0.25">
      <c r="B8" s="14">
        <v>2</v>
      </c>
      <c r="C8" s="14" t="s">
        <v>295</v>
      </c>
      <c r="D8" s="14" t="s">
        <v>312</v>
      </c>
      <c r="E8" s="14" t="s">
        <v>313</v>
      </c>
      <c r="L8" s="14">
        <v>3</v>
      </c>
      <c r="M8" s="14" t="s">
        <v>68</v>
      </c>
      <c r="O8" s="14">
        <v>55</v>
      </c>
      <c r="P8" s="14">
        <v>12</v>
      </c>
      <c r="Q8" s="14" t="s">
        <v>63</v>
      </c>
      <c r="R8" s="52"/>
      <c r="T8" s="14">
        <v>10</v>
      </c>
      <c r="U8" s="30">
        <f>(4+8)/6</f>
        <v>2</v>
      </c>
      <c r="V8" s="14" t="s">
        <v>68</v>
      </c>
      <c r="X8" s="99">
        <f>'Existing PM'!D43</f>
        <v>1820</v>
      </c>
      <c r="Y8" s="26">
        <v>0.16</v>
      </c>
      <c r="Z8" s="52"/>
      <c r="AA8" s="52"/>
      <c r="AB8" s="14">
        <v>0.94</v>
      </c>
      <c r="AD8" s="14" t="s">
        <v>118</v>
      </c>
      <c r="AE8" s="14" t="s">
        <v>105</v>
      </c>
      <c r="AF8" s="14" t="s">
        <v>110</v>
      </c>
      <c r="AJ8" s="14" t="s">
        <v>68</v>
      </c>
      <c r="AL8" s="14">
        <v>1</v>
      </c>
      <c r="AM8" s="14" t="s">
        <v>129</v>
      </c>
      <c r="AN8" s="14">
        <v>65</v>
      </c>
      <c r="AO8" s="14" t="s">
        <v>63</v>
      </c>
      <c r="AP8" s="30"/>
      <c r="AR8" s="18"/>
      <c r="AS8" s="40" t="e">
        <f>SUMIFS(#REF!,#REF!, $B8)</f>
        <v>#REF!</v>
      </c>
      <c r="AT8" s="46">
        <v>0</v>
      </c>
      <c r="AU8" s="52"/>
      <c r="AV8" s="52"/>
      <c r="AW8" s="40">
        <v>0.95</v>
      </c>
      <c r="AX8" s="18"/>
      <c r="AY8" s="14" t="s">
        <v>118</v>
      </c>
      <c r="BM8" s="14">
        <v>749</v>
      </c>
      <c r="BN8" s="14">
        <v>2200</v>
      </c>
      <c r="BO8" s="14">
        <v>0.34030303030303</v>
      </c>
      <c r="BP8" s="14">
        <v>49.2</v>
      </c>
      <c r="BQ8" s="14">
        <v>15.2</v>
      </c>
      <c r="BR8" s="14" t="s">
        <v>424</v>
      </c>
      <c r="CB8" s="31" t="str">
        <f t="shared" ref="CB8:CB17" si="2">C8&amp; " "&amp;D8&amp;" " &amp;E8</f>
        <v>I-295 WB Btwn I-95 off/Randall off</v>
      </c>
      <c r="CC8" s="25" t="str">
        <f t="shared" ref="CC8:CC17" si="3">SUBSTITUTE(E8, "/", "_")</f>
        <v>Btwn I-95 off_Randall off</v>
      </c>
      <c r="CD8" s="25" t="str">
        <f>BasicInput!$D$13&amp;$CD$2&amp;B8&amp;"_"&amp;C8&amp;D8&amp;"_"&amp;BasicInput!$D$7&amp;BasicInput!$D$8&amp;"_"&amp;CC8&amp;".xuf"</f>
        <v>C:\PWWORKING\east01\d2591108\Basic\2_I-295WB_2019EX_PM_Btwn I-95 off_Randall off.xuf</v>
      </c>
    </row>
    <row r="9" spans="2:90" ht="13.5" x14ac:dyDescent="0.25">
      <c r="B9" s="14">
        <v>3</v>
      </c>
      <c r="C9" s="14" t="s">
        <v>295</v>
      </c>
      <c r="D9" s="14" t="s">
        <v>312</v>
      </c>
      <c r="E9" s="14" t="s">
        <v>296</v>
      </c>
      <c r="L9" s="14">
        <v>3</v>
      </c>
      <c r="M9" s="14" t="s">
        <v>68</v>
      </c>
      <c r="O9" s="14">
        <v>55</v>
      </c>
      <c r="P9" s="14">
        <v>12</v>
      </c>
      <c r="Q9" s="14" t="s">
        <v>63</v>
      </c>
      <c r="R9" s="52"/>
      <c r="T9" s="14">
        <v>10</v>
      </c>
      <c r="U9" s="30">
        <f>(4+8)/6</f>
        <v>2</v>
      </c>
      <c r="V9" s="14" t="s">
        <v>68</v>
      </c>
      <c r="X9" s="99">
        <f>'Existing PM'!D45</f>
        <v>1660</v>
      </c>
      <c r="Y9" s="26">
        <v>0.16</v>
      </c>
      <c r="Z9" s="52"/>
      <c r="AA9" s="52"/>
      <c r="AB9" s="14">
        <v>0.94</v>
      </c>
      <c r="AD9" s="14" t="s">
        <v>118</v>
      </c>
      <c r="AE9" s="14" t="s">
        <v>105</v>
      </c>
      <c r="AF9" s="14" t="s">
        <v>110</v>
      </c>
      <c r="AJ9" s="14" t="s">
        <v>68</v>
      </c>
      <c r="AL9" s="14">
        <v>1</v>
      </c>
      <c r="AM9" s="14" t="s">
        <v>129</v>
      </c>
      <c r="AN9" s="14">
        <v>65</v>
      </c>
      <c r="AO9" s="14" t="s">
        <v>63</v>
      </c>
      <c r="AP9" s="30"/>
      <c r="AR9" s="18"/>
      <c r="AS9" s="40" t="e">
        <f>SUMIFS(#REF!,#REF!, $B9)</f>
        <v>#REF!</v>
      </c>
      <c r="AT9" s="46">
        <v>0</v>
      </c>
      <c r="AU9" s="52"/>
      <c r="AV9" s="52"/>
      <c r="AW9" s="40">
        <v>0.95</v>
      </c>
      <c r="AX9" s="18"/>
      <c r="AY9" s="14" t="s">
        <v>118</v>
      </c>
      <c r="BM9" s="14">
        <v>683</v>
      </c>
      <c r="BN9" s="14">
        <v>2200</v>
      </c>
      <c r="BO9" s="14">
        <v>0.31045454545454498</v>
      </c>
      <c r="BP9" s="14">
        <v>49.2</v>
      </c>
      <c r="BQ9" s="14">
        <v>13.9</v>
      </c>
      <c r="BR9" s="14" t="s">
        <v>424</v>
      </c>
      <c r="CB9" s="31" t="str">
        <f t="shared" si="2"/>
        <v>I-295 WB Btwn Randall off/Randall on</v>
      </c>
      <c r="CC9" s="25" t="str">
        <f t="shared" si="3"/>
        <v>Btwn Randall off_Randall on</v>
      </c>
      <c r="CD9" s="25" t="str">
        <f>BasicInput!$D$13&amp;$CD$2&amp;B9&amp;"_"&amp;C9&amp;D9&amp;"_"&amp;BasicInput!$D$7&amp;BasicInput!$D$8&amp;"_"&amp;CC9&amp;".xuf"</f>
        <v>C:\PWWORKING\east01\d2591108\Basic\3_I-295WB_2019EX_PM_Btwn Randall off_Randall on.xuf</v>
      </c>
    </row>
    <row r="10" spans="2:90" ht="13.5" x14ac:dyDescent="0.25">
      <c r="B10" s="14">
        <v>4</v>
      </c>
      <c r="C10" s="14" t="s">
        <v>292</v>
      </c>
      <c r="D10" s="14" t="s">
        <v>312</v>
      </c>
      <c r="E10" s="14" t="s">
        <v>314</v>
      </c>
      <c r="L10" s="14">
        <v>3</v>
      </c>
      <c r="M10" s="14" t="s">
        <v>68</v>
      </c>
      <c r="O10" s="14">
        <v>55</v>
      </c>
      <c r="P10" s="14">
        <v>12</v>
      </c>
      <c r="Q10" s="14" t="s">
        <v>63</v>
      </c>
      <c r="R10" s="52">
        <v>3</v>
      </c>
      <c r="S10" s="14">
        <v>0.4</v>
      </c>
      <c r="T10" s="14">
        <v>10</v>
      </c>
      <c r="U10" s="30">
        <f>(6+8)/6</f>
        <v>2.3333333333333335</v>
      </c>
      <c r="V10" s="14" t="s">
        <v>68</v>
      </c>
      <c r="X10" s="99">
        <f>'Existing PM'!D47</f>
        <v>1230</v>
      </c>
      <c r="Y10" s="26">
        <v>0.16</v>
      </c>
      <c r="Z10" s="52">
        <v>25</v>
      </c>
      <c r="AA10" s="52">
        <v>75</v>
      </c>
      <c r="AB10" s="14">
        <v>0.94</v>
      </c>
      <c r="AD10" s="14" t="s">
        <v>118</v>
      </c>
      <c r="AE10" s="14" t="s">
        <v>105</v>
      </c>
      <c r="AF10" s="14" t="s">
        <v>110</v>
      </c>
      <c r="AJ10" s="14" t="s">
        <v>68</v>
      </c>
      <c r="AL10" s="14">
        <v>1</v>
      </c>
      <c r="AM10" s="14" t="s">
        <v>129</v>
      </c>
      <c r="AN10" s="14">
        <v>65</v>
      </c>
      <c r="AO10" s="14" t="s">
        <v>266</v>
      </c>
      <c r="AP10" s="30">
        <v>-0.02</v>
      </c>
      <c r="AQ10" s="14">
        <v>0.5</v>
      </c>
      <c r="AR10" s="18"/>
      <c r="AS10" s="40" t="e">
        <f>SUMIFS(#REF!,#REF!, $B10)</f>
        <v>#REF!</v>
      </c>
      <c r="AT10" s="46">
        <v>0</v>
      </c>
      <c r="AU10" s="52">
        <v>10</v>
      </c>
      <c r="AV10" s="52">
        <v>90</v>
      </c>
      <c r="AW10" s="40">
        <v>0.95</v>
      </c>
      <c r="AX10" s="18"/>
      <c r="AY10" s="14" t="s">
        <v>118</v>
      </c>
      <c r="AZ10" s="14">
        <v>0.99</v>
      </c>
      <c r="BA10" s="14">
        <v>0.99</v>
      </c>
      <c r="BB10" s="14">
        <v>0.99</v>
      </c>
      <c r="BM10" s="14">
        <v>506</v>
      </c>
      <c r="BN10" s="14">
        <v>2200</v>
      </c>
      <c r="BO10" s="14">
        <v>0.23</v>
      </c>
      <c r="BP10" s="14">
        <v>48.4</v>
      </c>
      <c r="BQ10" s="14">
        <v>10.5</v>
      </c>
      <c r="BR10" s="14" t="s">
        <v>426</v>
      </c>
      <c r="CB10" s="31" t="str">
        <f t="shared" ref="CB10" si="4">C10&amp; " "&amp;D10&amp;" " &amp;E10</f>
        <v>I-95 WB Btwn I-278 off/I-95 on</v>
      </c>
      <c r="CC10" s="25" t="str">
        <f t="shared" ref="CC10" si="5">SUBSTITUTE(E10, "/", "_")</f>
        <v>Btwn I-278 off_I-95 on</v>
      </c>
      <c r="CD10" s="25" t="str">
        <f>BasicInput!$D$13&amp;$CD$2&amp;B10&amp;"_"&amp;C10&amp;D10&amp;"_"&amp;BasicInput!$D$7&amp;BasicInput!$D$8&amp;"_"&amp;CC10&amp;".xuf"</f>
        <v>C:\PWWORKING\east01\d2591108\Basic\4_I-95WB_2019EX_PM_Btwn I-278 off_I-95 on.xuf</v>
      </c>
    </row>
    <row r="11" spans="2:90" ht="13.5" x14ac:dyDescent="0.25">
      <c r="B11" s="14">
        <v>5</v>
      </c>
      <c r="C11" s="14" t="s">
        <v>292</v>
      </c>
      <c r="D11" s="14" t="s">
        <v>312</v>
      </c>
      <c r="E11" s="14" t="s">
        <v>314</v>
      </c>
      <c r="L11" s="14">
        <v>2</v>
      </c>
      <c r="M11" s="14" t="s">
        <v>68</v>
      </c>
      <c r="O11" s="14">
        <v>55</v>
      </c>
      <c r="P11" s="14">
        <v>12</v>
      </c>
      <c r="Q11" s="14" t="s">
        <v>63</v>
      </c>
      <c r="R11" s="52">
        <v>3</v>
      </c>
      <c r="S11" s="14">
        <v>0.4</v>
      </c>
      <c r="T11" s="14">
        <v>10</v>
      </c>
      <c r="U11" s="30">
        <f>(6+8)/6</f>
        <v>2.3333333333333335</v>
      </c>
      <c r="V11" s="14" t="s">
        <v>68</v>
      </c>
      <c r="X11" s="99">
        <f>'Existing PM'!D48</f>
        <v>1230</v>
      </c>
      <c r="Y11" s="26">
        <v>0.16</v>
      </c>
      <c r="Z11" s="52">
        <v>25</v>
      </c>
      <c r="AA11" s="52">
        <v>75</v>
      </c>
      <c r="AB11" s="14">
        <v>0.94</v>
      </c>
      <c r="AD11" s="14" t="s">
        <v>118</v>
      </c>
      <c r="AE11" s="14" t="s">
        <v>105</v>
      </c>
      <c r="AF11" s="14" t="s">
        <v>110</v>
      </c>
      <c r="AJ11" s="14" t="s">
        <v>68</v>
      </c>
      <c r="AL11" s="14">
        <v>1</v>
      </c>
      <c r="AM11" s="14" t="s">
        <v>129</v>
      </c>
      <c r="AN11" s="14">
        <v>65</v>
      </c>
      <c r="AO11" s="14" t="s">
        <v>266</v>
      </c>
      <c r="AP11" s="30">
        <v>-0.02</v>
      </c>
      <c r="AQ11" s="14">
        <v>0.5</v>
      </c>
      <c r="AR11" s="18"/>
      <c r="AS11" s="40" t="e">
        <f>SUMIFS(#REF!,#REF!, $B11)</f>
        <v>#REF!</v>
      </c>
      <c r="AT11" s="46">
        <v>0</v>
      </c>
      <c r="AU11" s="52">
        <v>10</v>
      </c>
      <c r="AV11" s="52">
        <v>90</v>
      </c>
      <c r="AW11" s="40">
        <v>0.95</v>
      </c>
      <c r="AX11" s="18"/>
      <c r="AY11" s="14" t="s">
        <v>118</v>
      </c>
      <c r="AZ11" s="14">
        <v>0.99</v>
      </c>
      <c r="BA11" s="14">
        <v>0.99</v>
      </c>
      <c r="BB11" s="14">
        <v>0.99</v>
      </c>
      <c r="BM11" s="14">
        <v>759</v>
      </c>
      <c r="BN11" s="14">
        <v>2200</v>
      </c>
      <c r="BO11" s="14">
        <v>0.34499999999999997</v>
      </c>
      <c r="BP11" s="14">
        <v>48.4</v>
      </c>
      <c r="BQ11" s="14">
        <v>15.7</v>
      </c>
      <c r="BR11" s="14" t="s">
        <v>424</v>
      </c>
      <c r="CB11" s="31" t="str">
        <f t="shared" si="2"/>
        <v>I-95 WB Btwn I-278 off/I-95 on</v>
      </c>
      <c r="CC11" s="25" t="str">
        <f t="shared" si="3"/>
        <v>Btwn I-278 off_I-95 on</v>
      </c>
      <c r="CD11" s="25" t="str">
        <f>BasicInput!$D$13&amp;$CD$2&amp;B11&amp;"_"&amp;C11&amp;D11&amp;"_"&amp;BasicInput!$D$7&amp;BasicInput!$D$8&amp;"_"&amp;CC11&amp;".xuf"</f>
        <v>C:\PWWORKING\east01\d2591108\Basic\5_I-95WB_2019EX_PM_Btwn I-278 off_I-95 on.xuf</v>
      </c>
    </row>
    <row r="12" spans="2:90" ht="13.5" x14ac:dyDescent="0.25">
      <c r="B12" s="14">
        <v>6</v>
      </c>
      <c r="C12" s="14" t="s">
        <v>292</v>
      </c>
      <c r="D12" s="14" t="s">
        <v>312</v>
      </c>
      <c r="E12" s="14" t="s">
        <v>315</v>
      </c>
      <c r="L12" s="14">
        <v>3</v>
      </c>
      <c r="M12" s="14" t="s">
        <v>68</v>
      </c>
      <c r="O12" s="14">
        <v>55</v>
      </c>
      <c r="P12" s="14">
        <v>12</v>
      </c>
      <c r="Q12" s="14" t="s">
        <v>63</v>
      </c>
      <c r="R12" s="52"/>
      <c r="T12" s="14">
        <v>10</v>
      </c>
      <c r="U12" s="30">
        <f>(7+9)/6</f>
        <v>2.6666666666666665</v>
      </c>
      <c r="V12" s="14" t="s">
        <v>68</v>
      </c>
      <c r="X12" s="99">
        <f>'Existing PM'!D50</f>
        <v>1950</v>
      </c>
      <c r="Y12" s="26">
        <v>0.16</v>
      </c>
      <c r="Z12" s="52"/>
      <c r="AA12" s="52"/>
      <c r="AB12" s="14">
        <v>0.94</v>
      </c>
      <c r="AD12" s="14" t="s">
        <v>118</v>
      </c>
      <c r="AE12" s="14" t="s">
        <v>105</v>
      </c>
      <c r="AF12" s="14" t="s">
        <v>110</v>
      </c>
      <c r="AJ12" s="14" t="s">
        <v>68</v>
      </c>
      <c r="AL12" s="14">
        <v>1</v>
      </c>
      <c r="AM12" s="14" t="s">
        <v>129</v>
      </c>
      <c r="AN12" s="14">
        <v>65</v>
      </c>
      <c r="AO12" s="14" t="s">
        <v>63</v>
      </c>
      <c r="AP12" s="30"/>
      <c r="AR12" s="18"/>
      <c r="AS12" s="40" t="e">
        <f>SUMIFS(#REF!,#REF!, $B12)</f>
        <v>#REF!</v>
      </c>
      <c r="AT12" s="46">
        <v>0</v>
      </c>
      <c r="AU12" s="52"/>
      <c r="AV12" s="52"/>
      <c r="AW12" s="40">
        <v>0.95</v>
      </c>
      <c r="AX12" s="18"/>
      <c r="AY12" s="14" t="s">
        <v>118</v>
      </c>
      <c r="BM12" s="14">
        <v>802</v>
      </c>
      <c r="BN12" s="14">
        <v>2200</v>
      </c>
      <c r="BO12" s="14">
        <v>0.36469696969696902</v>
      </c>
      <c r="BP12" s="14">
        <v>47.7</v>
      </c>
      <c r="BQ12" s="14">
        <v>16.8</v>
      </c>
      <c r="BR12" s="14" t="s">
        <v>424</v>
      </c>
      <c r="CB12" s="31" t="str">
        <f t="shared" si="2"/>
        <v>I-95 WB Btwn Cross Bronx off/Cross Bronx on</v>
      </c>
      <c r="CC12" s="25" t="str">
        <f t="shared" si="3"/>
        <v>Btwn Cross Bronx off_Cross Bronx on</v>
      </c>
      <c r="CD12" s="25" t="str">
        <f>BasicInput!$D$13&amp;$CD$2&amp;B12&amp;"_"&amp;C12&amp;D12&amp;"_"&amp;BasicInput!$D$7&amp;BasicInput!$D$8&amp;"_"&amp;CC12&amp;".xuf"</f>
        <v>C:\PWWORKING\east01\d2591108\Basic\6_I-95WB_2019EX_PM_Btwn Cross Bronx off_Cross Bronx on.xuf</v>
      </c>
    </row>
    <row r="13" spans="2:90" ht="13.5" x14ac:dyDescent="0.25">
      <c r="B13" s="14">
        <v>7</v>
      </c>
      <c r="C13" s="14" t="s">
        <v>292</v>
      </c>
      <c r="D13" s="14" t="s">
        <v>312</v>
      </c>
      <c r="E13" s="14" t="s">
        <v>316</v>
      </c>
      <c r="L13" s="14">
        <v>3</v>
      </c>
      <c r="M13" s="14" t="s">
        <v>68</v>
      </c>
      <c r="O13" s="14">
        <v>55</v>
      </c>
      <c r="P13" s="14">
        <v>12</v>
      </c>
      <c r="Q13" s="14" t="s">
        <v>63</v>
      </c>
      <c r="R13" s="52"/>
      <c r="T13" s="14">
        <v>10</v>
      </c>
      <c r="U13" s="30">
        <f>(8+8)/6</f>
        <v>2.6666666666666665</v>
      </c>
      <c r="V13" s="14" t="s">
        <v>68</v>
      </c>
      <c r="X13" s="99">
        <f>'Existing PM'!D52</f>
        <v>2230</v>
      </c>
      <c r="Y13" s="26">
        <v>0.16</v>
      </c>
      <c r="Z13" s="52"/>
      <c r="AA13" s="52"/>
      <c r="AB13" s="14">
        <v>0.94</v>
      </c>
      <c r="AD13" s="14" t="s">
        <v>118</v>
      </c>
      <c r="AE13" s="14" t="s">
        <v>105</v>
      </c>
      <c r="AF13" s="14" t="s">
        <v>110</v>
      </c>
      <c r="AJ13" s="14" t="s">
        <v>68</v>
      </c>
      <c r="AL13" s="14">
        <v>1</v>
      </c>
      <c r="AM13" s="14" t="s">
        <v>129</v>
      </c>
      <c r="AN13" s="14">
        <v>65</v>
      </c>
      <c r="AO13" s="14" t="s">
        <v>63</v>
      </c>
      <c r="AP13" s="30"/>
      <c r="AR13" s="18"/>
      <c r="AS13" s="40" t="e">
        <f>SUMIFS(#REF!,#REF!, $B13)</f>
        <v>#REF!</v>
      </c>
      <c r="AT13" s="46">
        <v>0</v>
      </c>
      <c r="AU13" s="52"/>
      <c r="AV13" s="52"/>
      <c r="AW13" s="40">
        <v>0.95</v>
      </c>
      <c r="AX13" s="18"/>
      <c r="AY13" s="14" t="s">
        <v>118</v>
      </c>
      <c r="BM13" s="14">
        <v>917</v>
      </c>
      <c r="BN13" s="14">
        <v>2200</v>
      </c>
      <c r="BO13" s="14">
        <v>0.41696969696969699</v>
      </c>
      <c r="BP13" s="14">
        <v>47.7</v>
      </c>
      <c r="BQ13" s="14">
        <v>19.2</v>
      </c>
      <c r="BR13" s="14" t="s">
        <v>423</v>
      </c>
      <c r="CB13" s="31" t="str">
        <f t="shared" si="2"/>
        <v>I-95 WB Btwn Cross Bronx on/White Plains on</v>
      </c>
      <c r="CC13" s="25" t="str">
        <f t="shared" si="3"/>
        <v>Btwn Cross Bronx on_White Plains on</v>
      </c>
      <c r="CD13" s="25" t="str">
        <f>BasicInput!$D$13&amp;$CD$2&amp;B13&amp;"_"&amp;C13&amp;D13&amp;"_"&amp;BasicInput!$D$7&amp;BasicInput!$D$8&amp;"_"&amp;CC13&amp;".xuf"</f>
        <v>C:\PWWORKING\east01\d2591108\Basic\7_I-95WB_2019EX_PM_Btwn Cross Bronx on_White Plains on.xuf</v>
      </c>
    </row>
    <row r="14" spans="2:90" ht="13.5" x14ac:dyDescent="0.25">
      <c r="B14" s="14">
        <v>8</v>
      </c>
      <c r="C14" s="14" t="s">
        <v>292</v>
      </c>
      <c r="D14" s="14" t="s">
        <v>312</v>
      </c>
      <c r="E14" s="14" t="s">
        <v>317</v>
      </c>
      <c r="L14" s="14">
        <v>3</v>
      </c>
      <c r="M14" s="14" t="s">
        <v>68</v>
      </c>
      <c r="O14" s="14">
        <v>55</v>
      </c>
      <c r="P14" s="14">
        <v>12</v>
      </c>
      <c r="Q14" s="14" t="s">
        <v>63</v>
      </c>
      <c r="R14" s="52"/>
      <c r="T14" s="14">
        <v>10</v>
      </c>
      <c r="U14" s="30">
        <f>(8+8)/6</f>
        <v>2.6666666666666665</v>
      </c>
      <c r="V14" s="14" t="s">
        <v>68</v>
      </c>
      <c r="X14" s="99">
        <f>'Existing PM'!D54</f>
        <v>1920</v>
      </c>
      <c r="Y14" s="26">
        <v>0.16</v>
      </c>
      <c r="Z14" s="52"/>
      <c r="AA14" s="52"/>
      <c r="AB14" s="14">
        <v>0.94</v>
      </c>
      <c r="AD14" s="14" t="s">
        <v>118</v>
      </c>
      <c r="AE14" s="14" t="s">
        <v>105</v>
      </c>
      <c r="AF14" s="14" t="s">
        <v>110</v>
      </c>
      <c r="AJ14" s="14" t="s">
        <v>68</v>
      </c>
      <c r="AL14" s="14">
        <v>1</v>
      </c>
      <c r="AM14" s="14" t="s">
        <v>129</v>
      </c>
      <c r="AN14" s="14">
        <v>65</v>
      </c>
      <c r="AO14" s="14" t="s">
        <v>63</v>
      </c>
      <c r="AP14" s="30"/>
      <c r="AR14" s="18"/>
      <c r="AS14" s="40" t="e">
        <f>SUMIFS(#REF!,#REF!, $B14)</f>
        <v>#REF!</v>
      </c>
      <c r="AT14" s="46">
        <v>0</v>
      </c>
      <c r="AU14" s="52"/>
      <c r="AV14" s="52"/>
      <c r="AW14" s="40">
        <v>0.95</v>
      </c>
      <c r="AX14" s="18"/>
      <c r="AY14" s="14" t="s">
        <v>118</v>
      </c>
      <c r="BM14" s="14">
        <v>790</v>
      </c>
      <c r="BN14" s="14">
        <v>2200</v>
      </c>
      <c r="BO14" s="14">
        <v>0.35909090909090902</v>
      </c>
      <c r="BP14" s="14">
        <v>47.7</v>
      </c>
      <c r="BQ14" s="14">
        <v>16.600000000000001</v>
      </c>
      <c r="BR14" s="14" t="s">
        <v>424</v>
      </c>
      <c r="CB14" s="31" t="str">
        <f t="shared" si="2"/>
        <v>I-95 WB Btwn Rosedale off/Rosedale on</v>
      </c>
      <c r="CC14" s="25" t="str">
        <f t="shared" si="3"/>
        <v>Btwn Rosedale off_Rosedale on</v>
      </c>
      <c r="CD14" s="25" t="str">
        <f>BasicInput!$D$13&amp;$CD$2&amp;B14&amp;"_"&amp;C14&amp;D14&amp;"_"&amp;BasicInput!$D$7&amp;BasicInput!$D$8&amp;"_"&amp;CC14&amp;".xuf"</f>
        <v>C:\PWWORKING\east01\d2591108\Basic\8_I-95WB_2019EX_PM_Btwn Rosedale off_Rosedale on.xuf</v>
      </c>
    </row>
    <row r="15" spans="2:90" ht="13.5" x14ac:dyDescent="0.25">
      <c r="B15" s="14">
        <v>9</v>
      </c>
      <c r="C15" s="14" t="s">
        <v>292</v>
      </c>
      <c r="D15" s="14" t="s">
        <v>312</v>
      </c>
      <c r="E15" s="14" t="s">
        <v>318</v>
      </c>
      <c r="L15" s="14">
        <v>3</v>
      </c>
      <c r="M15" s="14" t="s">
        <v>68</v>
      </c>
      <c r="O15" s="14">
        <v>55</v>
      </c>
      <c r="P15" s="14">
        <v>12</v>
      </c>
      <c r="Q15" s="14" t="s">
        <v>63</v>
      </c>
      <c r="R15" s="52"/>
      <c r="T15" s="14">
        <v>10</v>
      </c>
      <c r="U15" s="30">
        <f>(8+9)/6</f>
        <v>2.8333333333333335</v>
      </c>
      <c r="V15" s="14" t="s">
        <v>68</v>
      </c>
      <c r="X15" s="99">
        <f>'Existing PM'!D56</f>
        <v>2190</v>
      </c>
      <c r="Y15" s="26">
        <v>0.16</v>
      </c>
      <c r="Z15" s="52"/>
      <c r="AA15" s="52"/>
      <c r="AB15" s="14">
        <v>0.94</v>
      </c>
      <c r="AD15" s="14" t="s">
        <v>118</v>
      </c>
      <c r="AE15" s="14" t="s">
        <v>105</v>
      </c>
      <c r="AF15" s="14" t="s">
        <v>110</v>
      </c>
      <c r="AJ15" s="14" t="s">
        <v>68</v>
      </c>
      <c r="AL15" s="14">
        <v>1</v>
      </c>
      <c r="AM15" s="14" t="s">
        <v>129</v>
      </c>
      <c r="AN15" s="14">
        <v>65</v>
      </c>
      <c r="AO15" s="14" t="s">
        <v>63</v>
      </c>
      <c r="AP15" s="30"/>
      <c r="AR15" s="18"/>
      <c r="AS15" s="40" t="e">
        <f>SUMIFS(#REF!,#REF!, $B15)</f>
        <v>#REF!</v>
      </c>
      <c r="AT15" s="46">
        <v>0</v>
      </c>
      <c r="AU15" s="52"/>
      <c r="AV15" s="52"/>
      <c r="AW15" s="40">
        <v>0.95</v>
      </c>
      <c r="AX15" s="18"/>
      <c r="AY15" s="14" t="s">
        <v>118</v>
      </c>
      <c r="BM15" s="14">
        <v>901</v>
      </c>
      <c r="BN15" s="14">
        <v>2200</v>
      </c>
      <c r="BO15" s="14">
        <v>0.40954545454545399</v>
      </c>
      <c r="BP15" s="14">
        <v>47.3</v>
      </c>
      <c r="BQ15" s="14">
        <v>19</v>
      </c>
      <c r="BR15" s="14" t="s">
        <v>423</v>
      </c>
      <c r="CB15" s="31" t="str">
        <f t="shared" si="2"/>
        <v>I-95 WB Btwn Rosedale on/Sheridan on</v>
      </c>
      <c r="CC15" s="25" t="str">
        <f t="shared" si="3"/>
        <v>Btwn Rosedale on_Sheridan on</v>
      </c>
      <c r="CD15" s="25" t="str">
        <f>BasicInput!$D$13&amp;$CD$2&amp;B15&amp;"_"&amp;C15&amp;D15&amp;"_"&amp;BasicInput!$D$7&amp;BasicInput!$D$8&amp;"_"&amp;CC15&amp;".xuf"</f>
        <v>C:\PWWORKING\east01\d2591108\Basic\9_I-95WB_2019EX_PM_Btwn Rosedale on_Sheridan on.xuf</v>
      </c>
    </row>
    <row r="16" spans="2:90" ht="13.5" x14ac:dyDescent="0.25">
      <c r="B16" s="14">
        <v>10</v>
      </c>
      <c r="C16" s="14" t="s">
        <v>292</v>
      </c>
      <c r="D16" s="14" t="s">
        <v>312</v>
      </c>
      <c r="E16" s="14" t="s">
        <v>319</v>
      </c>
      <c r="L16" s="14">
        <v>3</v>
      </c>
      <c r="M16" s="14" t="s">
        <v>68</v>
      </c>
      <c r="O16" s="14">
        <v>55</v>
      </c>
      <c r="P16" s="14">
        <v>12</v>
      </c>
      <c r="Q16" s="14" t="s">
        <v>63</v>
      </c>
      <c r="R16" s="52"/>
      <c r="T16" s="14">
        <v>10</v>
      </c>
      <c r="U16" s="30">
        <f>(8+8)/6</f>
        <v>2.6666666666666665</v>
      </c>
      <c r="V16" s="14" t="s">
        <v>68</v>
      </c>
      <c r="X16" s="99">
        <f>'Existing PM'!D60</f>
        <v>3190</v>
      </c>
      <c r="Y16" s="26">
        <v>0.16</v>
      </c>
      <c r="Z16" s="52"/>
      <c r="AA16" s="52"/>
      <c r="AB16" s="14">
        <v>0.94</v>
      </c>
      <c r="AD16" s="14" t="s">
        <v>118</v>
      </c>
      <c r="AE16" s="14" t="s">
        <v>105</v>
      </c>
      <c r="AF16" s="14" t="s">
        <v>110</v>
      </c>
      <c r="AJ16" s="14" t="s">
        <v>68</v>
      </c>
      <c r="AL16" s="14">
        <v>1</v>
      </c>
      <c r="AM16" s="14" t="s">
        <v>129</v>
      </c>
      <c r="AN16" s="14">
        <v>65</v>
      </c>
      <c r="AO16" s="14" t="s">
        <v>63</v>
      </c>
      <c r="AP16" s="30"/>
      <c r="AR16" s="18"/>
      <c r="AS16" s="40" t="e">
        <f>SUMIFS(#REF!,#REF!, $B16)</f>
        <v>#REF!</v>
      </c>
      <c r="AT16" s="46">
        <v>0</v>
      </c>
      <c r="AU16" s="52"/>
      <c r="AV16" s="52"/>
      <c r="AW16" s="40">
        <v>0.95</v>
      </c>
      <c r="AX16" s="18"/>
      <c r="AY16" s="14" t="s">
        <v>118</v>
      </c>
      <c r="BM16" s="14">
        <v>1312</v>
      </c>
      <c r="BN16" s="14">
        <v>2200</v>
      </c>
      <c r="BO16" s="14">
        <v>0.596515151515151</v>
      </c>
      <c r="BP16" s="14">
        <v>47.7</v>
      </c>
      <c r="BQ16" s="14">
        <v>27.5</v>
      </c>
      <c r="BR16" s="14" t="s">
        <v>422</v>
      </c>
      <c r="CB16" s="31" t="str">
        <f t="shared" si="2"/>
        <v>I-95 WB Btwn Sheridan on/3rd off</v>
      </c>
      <c r="CC16" s="25" t="str">
        <f t="shared" si="3"/>
        <v>Btwn Sheridan on_3rd off</v>
      </c>
      <c r="CD16" s="25" t="str">
        <f>BasicInput!$D$13&amp;$CD$2&amp;B16&amp;"_"&amp;C16&amp;D16&amp;"_"&amp;BasicInput!$D$7&amp;BasicInput!$D$8&amp;"_"&amp;CC16&amp;".xuf"</f>
        <v>C:\PWWORKING\east01\d2591108\Basic\10_I-95WB_2019EX_PM_Btwn Sheridan on_3rd off.xuf</v>
      </c>
    </row>
    <row r="17" spans="2:82" ht="13.5" x14ac:dyDescent="0.25">
      <c r="B17" s="14">
        <v>11</v>
      </c>
      <c r="C17" s="14" t="s">
        <v>292</v>
      </c>
      <c r="D17" s="14" t="s">
        <v>312</v>
      </c>
      <c r="E17" s="14" t="s">
        <v>320</v>
      </c>
      <c r="L17" s="14">
        <v>3</v>
      </c>
      <c r="M17" s="14" t="s">
        <v>68</v>
      </c>
      <c r="O17" s="14">
        <v>55</v>
      </c>
      <c r="P17" s="14">
        <v>12</v>
      </c>
      <c r="Q17" s="14" t="s">
        <v>63</v>
      </c>
      <c r="R17" s="52"/>
      <c r="T17" s="14">
        <v>10</v>
      </c>
      <c r="U17" s="30">
        <f>(8+9)/6</f>
        <v>2.8333333333333335</v>
      </c>
      <c r="V17" s="14" t="s">
        <v>68</v>
      </c>
      <c r="X17" s="99">
        <f>'Existing PM'!D62</f>
        <v>2670</v>
      </c>
      <c r="Y17" s="26">
        <v>0.16</v>
      </c>
      <c r="Z17" s="52"/>
      <c r="AA17" s="52"/>
      <c r="AB17" s="14">
        <v>0.94</v>
      </c>
      <c r="AD17" s="14" t="s">
        <v>118</v>
      </c>
      <c r="AE17" s="14" t="s">
        <v>105</v>
      </c>
      <c r="AF17" s="14" t="s">
        <v>110</v>
      </c>
      <c r="AJ17" s="14" t="s">
        <v>68</v>
      </c>
      <c r="AL17" s="14">
        <v>1</v>
      </c>
      <c r="AM17" s="14" t="s">
        <v>129</v>
      </c>
      <c r="AN17" s="14">
        <v>65</v>
      </c>
      <c r="AO17" s="14" t="s">
        <v>63</v>
      </c>
      <c r="AP17" s="30"/>
      <c r="AR17" s="18"/>
      <c r="AS17" s="40" t="e">
        <f>SUMIFS(#REF!,#REF!, $B17)</f>
        <v>#REF!</v>
      </c>
      <c r="AT17" s="46">
        <v>0</v>
      </c>
      <c r="AU17" s="52"/>
      <c r="AV17" s="52"/>
      <c r="AW17" s="40">
        <v>0.95</v>
      </c>
      <c r="AX17" s="18"/>
      <c r="AY17" s="14" t="s">
        <v>118</v>
      </c>
      <c r="BM17" s="14">
        <v>1098</v>
      </c>
      <c r="BN17" s="14">
        <v>2200</v>
      </c>
      <c r="BO17" s="14">
        <v>0.49924242424242399</v>
      </c>
      <c r="BP17" s="14">
        <v>47.3</v>
      </c>
      <c r="BQ17" s="14">
        <v>23.2</v>
      </c>
      <c r="BR17" s="14" t="s">
        <v>423</v>
      </c>
      <c r="CB17" s="31" t="str">
        <f t="shared" si="2"/>
        <v>I-95 WB Btwn 3rd off/Webster on</v>
      </c>
      <c r="CC17" s="25" t="str">
        <f t="shared" si="3"/>
        <v>Btwn 3rd off_Webster on</v>
      </c>
      <c r="CD17" s="25" t="str">
        <f>BasicInput!$D$13&amp;$CD$2&amp;B17&amp;"_"&amp;C17&amp;D17&amp;"_"&amp;BasicInput!$D$7&amp;BasicInput!$D$8&amp;"_"&amp;CC17&amp;".xuf"</f>
        <v>C:\PWWORKING\east01\d2591108\Basic\11_I-95WB_2019EX_PM_Btwn 3rd off_Webster on.xuf</v>
      </c>
    </row>
    <row r="18" spans="2:82" ht="13.5" x14ac:dyDescent="0.25">
      <c r="B18" s="14">
        <v>12</v>
      </c>
      <c r="C18" s="14" t="s">
        <v>292</v>
      </c>
      <c r="D18" s="14" t="s">
        <v>312</v>
      </c>
      <c r="E18" s="14" t="s">
        <v>321</v>
      </c>
      <c r="L18" s="14">
        <v>3</v>
      </c>
      <c r="M18" s="14" t="s">
        <v>68</v>
      </c>
      <c r="O18" s="14">
        <v>55</v>
      </c>
      <c r="P18" s="14">
        <v>12</v>
      </c>
      <c r="Q18" s="14" t="s">
        <v>63</v>
      </c>
      <c r="R18" s="52"/>
      <c r="T18" s="14">
        <v>10</v>
      </c>
      <c r="U18" s="30">
        <f>(8+11)/6</f>
        <v>3.1666666666666665</v>
      </c>
      <c r="V18" s="14" t="s">
        <v>68</v>
      </c>
      <c r="X18" s="99">
        <f>'Existing PM'!D68</f>
        <v>2520</v>
      </c>
      <c r="Y18" s="26">
        <v>0.16</v>
      </c>
      <c r="Z18" s="52"/>
      <c r="AA18" s="52"/>
      <c r="AB18" s="14">
        <v>0.94</v>
      </c>
      <c r="AD18" s="14" t="s">
        <v>118</v>
      </c>
      <c r="AE18" s="14" t="s">
        <v>105</v>
      </c>
      <c r="AF18" s="14" t="s">
        <v>110</v>
      </c>
      <c r="AJ18" s="14" t="s">
        <v>68</v>
      </c>
      <c r="AL18" s="14">
        <v>2</v>
      </c>
      <c r="AM18" s="14" t="s">
        <v>297</v>
      </c>
      <c r="AN18" s="14">
        <v>66</v>
      </c>
      <c r="AO18" s="14" t="s">
        <v>63</v>
      </c>
      <c r="AP18" s="30"/>
      <c r="AR18" s="18"/>
      <c r="AS18" s="40" t="e">
        <f>SUMIFS(#REF!,#REF!, $B18)</f>
        <v>#REF!</v>
      </c>
      <c r="AT18" s="46">
        <v>0</v>
      </c>
      <c r="AU18" s="52"/>
      <c r="AV18" s="52"/>
      <c r="AW18" s="40">
        <v>0.95</v>
      </c>
      <c r="AX18" s="18"/>
      <c r="AY18" s="14" t="s">
        <v>118</v>
      </c>
      <c r="BM18" s="14">
        <v>1037</v>
      </c>
      <c r="BN18" s="14">
        <v>2200</v>
      </c>
      <c r="BO18" s="14">
        <v>0.47121212121212103</v>
      </c>
      <c r="BP18" s="14">
        <v>46.5</v>
      </c>
      <c r="BQ18" s="14">
        <v>22.3</v>
      </c>
      <c r="BR18" s="14" t="s">
        <v>423</v>
      </c>
      <c r="CB18" s="31" t="str">
        <f t="shared" ref="CB18" si="6">C18&amp; " "&amp;D18&amp;" " &amp;E18</f>
        <v>I-95 WB Btwn I-87 off/I-87 on</v>
      </c>
      <c r="CC18" s="25" t="str">
        <f t="shared" ref="CC18" si="7">SUBSTITUTE(E18, "/", "_")</f>
        <v>Btwn I-87 off_I-87 on</v>
      </c>
      <c r="CD18" s="25" t="str">
        <f>BasicInput!$D$13&amp;$CD$2&amp;B18&amp;"_"&amp;C18&amp;D18&amp;"_"&amp;BasicInput!$D$7&amp;BasicInput!$D$8&amp;"_"&amp;CC18&amp;".xuf"</f>
        <v>C:\PWWORKING\east01\d2591108\Basic\12_I-95WB_2019EX_PM_Btwn I-87 off_I-87 on.xuf</v>
      </c>
    </row>
    <row r="19" spans="2:82" ht="13.5" x14ac:dyDescent="0.25">
      <c r="E19" s="14"/>
      <c r="Y19" s="26"/>
      <c r="Z19" s="26"/>
      <c r="AA19" s="26"/>
      <c r="AP19" s="30"/>
      <c r="AR19" s="18"/>
      <c r="AS19" s="40"/>
      <c r="AT19" s="46"/>
      <c r="AU19" s="52"/>
      <c r="AV19" s="52"/>
      <c r="AW19" s="40"/>
      <c r="AX19" s="18"/>
      <c r="CB19" s="31"/>
    </row>
    <row r="20" spans="2:82" x14ac:dyDescent="0.2">
      <c r="AR20" s="18"/>
      <c r="AX20" s="18"/>
      <c r="CB20" s="31" t="str">
        <f t="shared" ref="CB20:CB80" si="8">C20&amp; " "&amp;D20&amp;" " &amp;E20</f>
        <v xml:space="preserve">  </v>
      </c>
      <c r="CC20" s="25" t="str">
        <f t="shared" ref="CC20:CC80" si="9">SUBSTITUTE(E20, "/", "_")</f>
        <v/>
      </c>
      <c r="CD20" s="25" t="str">
        <f>BasicInput!$D$13&amp;$CD$2&amp;B20&amp;"_"&amp;C20&amp;D20&amp;"_"&amp;BasicInput!$D$7&amp;BasicInput!$D$8&amp;"_"&amp;CC20&amp;".xuf"</f>
        <v>C:\PWWORKING\east01\d2591108\Basic\__2019EX_PM_.xuf</v>
      </c>
    </row>
    <row r="21" spans="2:82" x14ac:dyDescent="0.2">
      <c r="AR21" s="18"/>
      <c r="AX21" s="18"/>
      <c r="CB21" s="31" t="str">
        <f t="shared" si="8"/>
        <v xml:space="preserve">  </v>
      </c>
      <c r="CC21" s="25" t="str">
        <f t="shared" si="9"/>
        <v/>
      </c>
      <c r="CD21" s="25" t="str">
        <f>BasicInput!$D$13&amp;$CD$2&amp;B21&amp;"_"&amp;C21&amp;D21&amp;"_"&amp;BasicInput!$D$7&amp;BasicInput!$D$8&amp;"_"&amp;CC21&amp;".xuf"</f>
        <v>C:\PWWORKING\east01\d2591108\Basic\__2019EX_PM_.xuf</v>
      </c>
    </row>
    <row r="22" spans="2:82" x14ac:dyDescent="0.2">
      <c r="AR22" s="18"/>
      <c r="AX22" s="18"/>
      <c r="CB22" s="31" t="str">
        <f t="shared" si="8"/>
        <v xml:space="preserve">  </v>
      </c>
      <c r="CC22" s="25" t="str">
        <f t="shared" si="9"/>
        <v/>
      </c>
      <c r="CD22" s="25" t="str">
        <f>BasicInput!$D$13&amp;$CD$2&amp;B22&amp;"_"&amp;C22&amp;D22&amp;"_"&amp;BasicInput!$D$7&amp;BasicInput!$D$8&amp;"_"&amp;CC22&amp;".xuf"</f>
        <v>C:\PWWORKING\east01\d2591108\Basic\__2019EX_PM_.xuf</v>
      </c>
    </row>
    <row r="23" spans="2:82" x14ac:dyDescent="0.2">
      <c r="AR23" s="18"/>
      <c r="AX23" s="18"/>
      <c r="CB23" s="31" t="str">
        <f t="shared" si="8"/>
        <v xml:space="preserve">  </v>
      </c>
      <c r="CC23" s="25" t="str">
        <f t="shared" si="9"/>
        <v/>
      </c>
      <c r="CD23" s="25" t="str">
        <f>BasicInput!$D$13&amp;$CD$2&amp;B23&amp;"_"&amp;C23&amp;D23&amp;"_"&amp;BasicInput!$D$7&amp;BasicInput!$D$8&amp;"_"&amp;CC23&amp;".xuf"</f>
        <v>C:\PWWORKING\east01\d2591108\Basic\__2019EX_PM_.xuf</v>
      </c>
    </row>
    <row r="24" spans="2:82" x14ac:dyDescent="0.2">
      <c r="AR24" s="18"/>
      <c r="AX24" s="18"/>
      <c r="CB24" s="31" t="str">
        <f t="shared" si="8"/>
        <v xml:space="preserve">  </v>
      </c>
      <c r="CC24" s="25" t="str">
        <f t="shared" si="9"/>
        <v/>
      </c>
      <c r="CD24" s="25" t="str">
        <f>BasicInput!$D$13&amp;$CD$2&amp;B24&amp;"_"&amp;C24&amp;D24&amp;"_"&amp;BasicInput!$D$7&amp;BasicInput!$D$8&amp;"_"&amp;CC24&amp;".xuf"</f>
        <v>C:\PWWORKING\east01\d2591108\Basic\__2019EX_PM_.xuf</v>
      </c>
    </row>
    <row r="25" spans="2:82" x14ac:dyDescent="0.2">
      <c r="AR25" s="18"/>
      <c r="AX25" s="18"/>
      <c r="CB25" s="31" t="str">
        <f t="shared" si="8"/>
        <v xml:space="preserve">  </v>
      </c>
      <c r="CC25" s="25" t="str">
        <f t="shared" si="9"/>
        <v/>
      </c>
      <c r="CD25" s="25" t="str">
        <f>BasicInput!$D$13&amp;$CD$2&amp;B25&amp;"_"&amp;C25&amp;D25&amp;"_"&amp;BasicInput!$D$7&amp;BasicInput!$D$8&amp;"_"&amp;CC25&amp;".xuf"</f>
        <v>C:\PWWORKING\east01\d2591108\Basic\__2019EX_PM_.xuf</v>
      </c>
    </row>
    <row r="26" spans="2:82" x14ac:dyDescent="0.2">
      <c r="AR26" s="18"/>
      <c r="AX26" s="18"/>
      <c r="CB26" s="31" t="str">
        <f t="shared" si="8"/>
        <v xml:space="preserve">  </v>
      </c>
      <c r="CC26" s="25" t="str">
        <f t="shared" si="9"/>
        <v/>
      </c>
      <c r="CD26" s="25" t="str">
        <f>BasicInput!$D$13&amp;$CD$2&amp;B26&amp;"_"&amp;C26&amp;D26&amp;"_"&amp;BasicInput!$D$7&amp;BasicInput!$D$8&amp;"_"&amp;CC26&amp;".xuf"</f>
        <v>C:\PWWORKING\east01\d2591108\Basic\__2019EX_PM_.xuf</v>
      </c>
    </row>
    <row r="27" spans="2:82" x14ac:dyDescent="0.2">
      <c r="AR27" s="18"/>
      <c r="AX27" s="18"/>
      <c r="CB27" s="31" t="str">
        <f t="shared" si="8"/>
        <v xml:space="preserve">  </v>
      </c>
      <c r="CC27" s="25" t="str">
        <f t="shared" si="9"/>
        <v/>
      </c>
      <c r="CD27" s="25" t="str">
        <f>BasicInput!$D$13&amp;$CD$2&amp;B27&amp;"_"&amp;C27&amp;D27&amp;"_"&amp;BasicInput!$D$7&amp;BasicInput!$D$8&amp;"_"&amp;CC27&amp;".xuf"</f>
        <v>C:\PWWORKING\east01\d2591108\Basic\__2019EX_PM_.xuf</v>
      </c>
    </row>
    <row r="28" spans="2:82" x14ac:dyDescent="0.2">
      <c r="AR28" s="18"/>
      <c r="AX28" s="18"/>
      <c r="CB28" s="31" t="str">
        <f t="shared" si="8"/>
        <v xml:space="preserve">  </v>
      </c>
      <c r="CC28" s="25" t="str">
        <f t="shared" si="9"/>
        <v/>
      </c>
      <c r="CD28" s="25" t="str">
        <f>BasicInput!$D$13&amp;$CD$2&amp;B28&amp;"_"&amp;C28&amp;D28&amp;"_"&amp;BasicInput!$D$7&amp;BasicInput!$D$8&amp;"_"&amp;CC28&amp;".xuf"</f>
        <v>C:\PWWORKING\east01\d2591108\Basic\__2019EX_PM_.xuf</v>
      </c>
    </row>
    <row r="29" spans="2:82" x14ac:dyDescent="0.2">
      <c r="AR29" s="18"/>
      <c r="AX29" s="18"/>
      <c r="CB29" s="31" t="str">
        <f t="shared" si="8"/>
        <v xml:space="preserve">  </v>
      </c>
      <c r="CC29" s="25" t="str">
        <f t="shared" si="9"/>
        <v/>
      </c>
      <c r="CD29" s="25" t="str">
        <f>BasicInput!$D$13&amp;$CD$2&amp;B29&amp;"_"&amp;C29&amp;D29&amp;"_"&amp;BasicInput!$D$7&amp;BasicInput!$D$8&amp;"_"&amp;CC29&amp;".xuf"</f>
        <v>C:\PWWORKING\east01\d2591108\Basic\__2019EX_PM_.xuf</v>
      </c>
    </row>
    <row r="30" spans="2:82" x14ac:dyDescent="0.2">
      <c r="AR30" s="18"/>
      <c r="AX30" s="18"/>
      <c r="CB30" s="31" t="str">
        <f t="shared" si="8"/>
        <v xml:space="preserve">  </v>
      </c>
      <c r="CC30" s="25" t="str">
        <f t="shared" si="9"/>
        <v/>
      </c>
      <c r="CD30" s="25" t="str">
        <f>BasicInput!$D$13&amp;$CD$2&amp;B30&amp;"_"&amp;C30&amp;D30&amp;"_"&amp;BasicInput!$D$7&amp;BasicInput!$D$8&amp;"_"&amp;CC30&amp;".xuf"</f>
        <v>C:\PWWORKING\east01\d2591108\Basic\__2019EX_PM_.xuf</v>
      </c>
    </row>
    <row r="31" spans="2:82" x14ac:dyDescent="0.2">
      <c r="AR31" s="18"/>
      <c r="AX31" s="18"/>
      <c r="CB31" s="31" t="str">
        <f t="shared" si="8"/>
        <v xml:space="preserve">  </v>
      </c>
      <c r="CC31" s="25" t="str">
        <f t="shared" si="9"/>
        <v/>
      </c>
      <c r="CD31" s="25" t="str">
        <f>BasicInput!$D$13&amp;$CD$2&amp;B31&amp;"_"&amp;C31&amp;D31&amp;"_"&amp;BasicInput!$D$7&amp;BasicInput!$D$8&amp;"_"&amp;CC31&amp;".xuf"</f>
        <v>C:\PWWORKING\east01\d2591108\Basic\__2019EX_PM_.xuf</v>
      </c>
    </row>
    <row r="32" spans="2:82" x14ac:dyDescent="0.2">
      <c r="AR32" s="18"/>
      <c r="AX32" s="18"/>
      <c r="CB32" s="31" t="str">
        <f t="shared" si="8"/>
        <v xml:space="preserve">  </v>
      </c>
      <c r="CC32" s="25" t="str">
        <f t="shared" si="9"/>
        <v/>
      </c>
      <c r="CD32" s="25" t="str">
        <f>BasicInput!$D$13&amp;$CD$2&amp;B32&amp;"_"&amp;C32&amp;D32&amp;"_"&amp;BasicInput!$D$7&amp;BasicInput!$D$8&amp;"_"&amp;CC32&amp;".xuf"</f>
        <v>C:\PWWORKING\east01\d2591108\Basic\__2019EX_PM_.xuf</v>
      </c>
    </row>
    <row r="33" spans="44:82" x14ac:dyDescent="0.2">
      <c r="AR33" s="18"/>
      <c r="AX33" s="18"/>
      <c r="CB33" s="31" t="str">
        <f t="shared" si="8"/>
        <v xml:space="preserve">  </v>
      </c>
      <c r="CC33" s="25" t="str">
        <f t="shared" si="9"/>
        <v/>
      </c>
      <c r="CD33" s="25" t="str">
        <f>BasicInput!$D$13&amp;$CD$2&amp;B33&amp;"_"&amp;C33&amp;D33&amp;"_"&amp;BasicInput!$D$7&amp;BasicInput!$D$8&amp;"_"&amp;CC33&amp;".xuf"</f>
        <v>C:\PWWORKING\east01\d2591108\Basic\__2019EX_PM_.xuf</v>
      </c>
    </row>
    <row r="34" spans="44:82" x14ac:dyDescent="0.2">
      <c r="AR34" s="18"/>
      <c r="AX34" s="18"/>
      <c r="CB34" s="31" t="str">
        <f t="shared" si="8"/>
        <v xml:space="preserve">  </v>
      </c>
      <c r="CC34" s="25" t="str">
        <f t="shared" si="9"/>
        <v/>
      </c>
      <c r="CD34" s="25" t="str">
        <f>BasicInput!$D$13&amp;$CD$2&amp;B34&amp;"_"&amp;C34&amp;D34&amp;"_"&amp;BasicInput!$D$7&amp;BasicInput!$D$8&amp;"_"&amp;CC34&amp;".xuf"</f>
        <v>C:\PWWORKING\east01\d2591108\Basic\__2019EX_PM_.xuf</v>
      </c>
    </row>
    <row r="35" spans="44:82" x14ac:dyDescent="0.2">
      <c r="AR35" s="18"/>
      <c r="AX35" s="18"/>
      <c r="CB35" s="31" t="str">
        <f t="shared" si="8"/>
        <v xml:space="preserve">  </v>
      </c>
      <c r="CC35" s="25" t="str">
        <f t="shared" si="9"/>
        <v/>
      </c>
      <c r="CD35" s="25" t="str">
        <f>BasicInput!$D$13&amp;$CD$2&amp;B35&amp;"_"&amp;C35&amp;D35&amp;"_"&amp;BasicInput!$D$7&amp;BasicInput!$D$8&amp;"_"&amp;CC35&amp;".xuf"</f>
        <v>C:\PWWORKING\east01\d2591108\Basic\__2019EX_PM_.xuf</v>
      </c>
    </row>
    <row r="36" spans="44:82" x14ac:dyDescent="0.2">
      <c r="AR36" s="18"/>
      <c r="AX36" s="18"/>
      <c r="CB36" s="31" t="str">
        <f t="shared" si="8"/>
        <v xml:space="preserve">  </v>
      </c>
      <c r="CC36" s="25" t="str">
        <f t="shared" si="9"/>
        <v/>
      </c>
      <c r="CD36" s="25" t="str">
        <f>BasicInput!$D$13&amp;$CD$2&amp;B36&amp;"_"&amp;C36&amp;D36&amp;"_"&amp;BasicInput!$D$7&amp;BasicInput!$D$8&amp;"_"&amp;CC36&amp;".xuf"</f>
        <v>C:\PWWORKING\east01\d2591108\Basic\__2019EX_PM_.xuf</v>
      </c>
    </row>
    <row r="37" spans="44:82" x14ac:dyDescent="0.2">
      <c r="AR37" s="18"/>
      <c r="AX37" s="18"/>
      <c r="CB37" s="31" t="str">
        <f t="shared" si="8"/>
        <v xml:space="preserve">  </v>
      </c>
      <c r="CC37" s="25" t="str">
        <f t="shared" si="9"/>
        <v/>
      </c>
      <c r="CD37" s="25" t="str">
        <f>BasicInput!$D$13&amp;$CD$2&amp;B37&amp;"_"&amp;C37&amp;D37&amp;"_"&amp;BasicInput!$D$7&amp;BasicInput!$D$8&amp;"_"&amp;CC37&amp;".xuf"</f>
        <v>C:\PWWORKING\east01\d2591108\Basic\__2019EX_PM_.xuf</v>
      </c>
    </row>
    <row r="38" spans="44:82" x14ac:dyDescent="0.2">
      <c r="AR38" s="18"/>
      <c r="AX38" s="18"/>
      <c r="CB38" s="31" t="str">
        <f t="shared" si="8"/>
        <v xml:space="preserve">  </v>
      </c>
      <c r="CC38" s="25" t="str">
        <f t="shared" si="9"/>
        <v/>
      </c>
      <c r="CD38" s="25" t="str">
        <f>BasicInput!$D$13&amp;$CD$2&amp;B38&amp;"_"&amp;C38&amp;D38&amp;"_"&amp;BasicInput!$D$7&amp;BasicInput!$D$8&amp;"_"&amp;CC38&amp;".xuf"</f>
        <v>C:\PWWORKING\east01\d2591108\Basic\__2019EX_PM_.xuf</v>
      </c>
    </row>
    <row r="39" spans="44:82" x14ac:dyDescent="0.2">
      <c r="AR39" s="18"/>
      <c r="AX39" s="18"/>
      <c r="CB39" s="31" t="str">
        <f t="shared" si="8"/>
        <v xml:space="preserve">  </v>
      </c>
      <c r="CC39" s="25" t="str">
        <f t="shared" si="9"/>
        <v/>
      </c>
      <c r="CD39" s="25" t="str">
        <f>BasicInput!$D$13&amp;$CD$2&amp;B39&amp;"_"&amp;C39&amp;D39&amp;"_"&amp;BasicInput!$D$7&amp;BasicInput!$D$8&amp;"_"&amp;CC39&amp;".xuf"</f>
        <v>C:\PWWORKING\east01\d2591108\Basic\__2019EX_PM_.xuf</v>
      </c>
    </row>
    <row r="40" spans="44:82" x14ac:dyDescent="0.2">
      <c r="AR40" s="18"/>
      <c r="AX40" s="18"/>
      <c r="CB40" s="31" t="str">
        <f t="shared" si="8"/>
        <v xml:space="preserve">  </v>
      </c>
      <c r="CC40" s="25" t="str">
        <f t="shared" si="9"/>
        <v/>
      </c>
      <c r="CD40" s="25" t="str">
        <f>BasicInput!$D$13&amp;$CD$2&amp;B40&amp;"_"&amp;C40&amp;D40&amp;"_"&amp;BasicInput!$D$7&amp;BasicInput!$D$8&amp;"_"&amp;CC40&amp;".xuf"</f>
        <v>C:\PWWORKING\east01\d2591108\Basic\__2019EX_PM_.xuf</v>
      </c>
    </row>
    <row r="41" spans="44:82" x14ac:dyDescent="0.2">
      <c r="AR41" s="18"/>
      <c r="AX41" s="18"/>
      <c r="CB41" s="31" t="str">
        <f t="shared" si="8"/>
        <v xml:space="preserve">  </v>
      </c>
      <c r="CC41" s="25" t="str">
        <f t="shared" si="9"/>
        <v/>
      </c>
      <c r="CD41" s="25" t="str">
        <f>BasicInput!$D$13&amp;$CD$2&amp;B41&amp;"_"&amp;C41&amp;D41&amp;"_"&amp;BasicInput!$D$7&amp;BasicInput!$D$8&amp;"_"&amp;CC41&amp;".xuf"</f>
        <v>C:\PWWORKING\east01\d2591108\Basic\__2019EX_PM_.xuf</v>
      </c>
    </row>
    <row r="42" spans="44:82" x14ac:dyDescent="0.2">
      <c r="AR42" s="18"/>
      <c r="AX42" s="18"/>
      <c r="CB42" s="31" t="str">
        <f t="shared" si="8"/>
        <v xml:space="preserve">  </v>
      </c>
      <c r="CC42" s="25" t="str">
        <f t="shared" si="9"/>
        <v/>
      </c>
      <c r="CD42" s="25" t="str">
        <f>BasicInput!$D$13&amp;$CD$2&amp;B42&amp;"_"&amp;C42&amp;D42&amp;"_"&amp;BasicInput!$D$7&amp;BasicInput!$D$8&amp;"_"&amp;CC42&amp;".xuf"</f>
        <v>C:\PWWORKING\east01\d2591108\Basic\__2019EX_PM_.xuf</v>
      </c>
    </row>
    <row r="43" spans="44:82" x14ac:dyDescent="0.2">
      <c r="AR43" s="18"/>
      <c r="AX43" s="18"/>
      <c r="CB43" s="31" t="str">
        <f t="shared" si="8"/>
        <v xml:space="preserve">  </v>
      </c>
      <c r="CC43" s="25" t="str">
        <f t="shared" si="9"/>
        <v/>
      </c>
      <c r="CD43" s="25" t="str">
        <f>BasicInput!$D$13&amp;$CD$2&amp;B43&amp;"_"&amp;C43&amp;D43&amp;"_"&amp;BasicInput!$D$7&amp;BasicInput!$D$8&amp;"_"&amp;CC43&amp;".xuf"</f>
        <v>C:\PWWORKING\east01\d2591108\Basic\__2019EX_PM_.xuf</v>
      </c>
    </row>
    <row r="44" spans="44:82" x14ac:dyDescent="0.2">
      <c r="AR44" s="18"/>
      <c r="AX44" s="18"/>
      <c r="CB44" s="31" t="str">
        <f t="shared" si="8"/>
        <v xml:space="preserve">  </v>
      </c>
      <c r="CC44" s="25" t="str">
        <f t="shared" si="9"/>
        <v/>
      </c>
      <c r="CD44" s="25" t="str">
        <f>BasicInput!$D$13&amp;$CD$2&amp;B44&amp;"_"&amp;C44&amp;D44&amp;"_"&amp;BasicInput!$D$7&amp;BasicInput!$D$8&amp;"_"&amp;CC44&amp;".xuf"</f>
        <v>C:\PWWORKING\east01\d2591108\Basic\__2019EX_PM_.xuf</v>
      </c>
    </row>
    <row r="45" spans="44:82" x14ac:dyDescent="0.2">
      <c r="AR45" s="18"/>
      <c r="AX45" s="18"/>
      <c r="CB45" s="31" t="str">
        <f t="shared" si="8"/>
        <v xml:space="preserve">  </v>
      </c>
      <c r="CC45" s="25" t="str">
        <f t="shared" si="9"/>
        <v/>
      </c>
      <c r="CD45" s="25" t="str">
        <f>BasicInput!$D$13&amp;$CD$2&amp;B45&amp;"_"&amp;C45&amp;D45&amp;"_"&amp;BasicInput!$D$7&amp;BasicInput!$D$8&amp;"_"&amp;CC45&amp;".xuf"</f>
        <v>C:\PWWORKING\east01\d2591108\Basic\__2019EX_PM_.xuf</v>
      </c>
    </row>
    <row r="46" spans="44:82" x14ac:dyDescent="0.2">
      <c r="AR46" s="18"/>
      <c r="AX46" s="18"/>
      <c r="CB46" s="31" t="str">
        <f t="shared" si="8"/>
        <v xml:space="preserve">  </v>
      </c>
      <c r="CC46" s="25" t="str">
        <f t="shared" si="9"/>
        <v/>
      </c>
      <c r="CD46" s="25" t="str">
        <f>BasicInput!$D$13&amp;$CD$2&amp;B46&amp;"_"&amp;C46&amp;D46&amp;"_"&amp;BasicInput!$D$7&amp;BasicInput!$D$8&amp;"_"&amp;CC46&amp;".xuf"</f>
        <v>C:\PWWORKING\east01\d2591108\Basic\__2019EX_PM_.xuf</v>
      </c>
    </row>
    <row r="47" spans="44:82" x14ac:dyDescent="0.2">
      <c r="AR47" s="18"/>
      <c r="AX47" s="18"/>
      <c r="CB47" s="31" t="str">
        <f t="shared" si="8"/>
        <v xml:space="preserve">  </v>
      </c>
      <c r="CC47" s="25" t="str">
        <f t="shared" si="9"/>
        <v/>
      </c>
      <c r="CD47" s="25" t="str">
        <f>BasicInput!$D$13&amp;$CD$2&amp;B47&amp;"_"&amp;C47&amp;D47&amp;"_"&amp;BasicInput!$D$7&amp;BasicInput!$D$8&amp;"_"&amp;CC47&amp;".xuf"</f>
        <v>C:\PWWORKING\east01\d2591108\Basic\__2019EX_PM_.xuf</v>
      </c>
    </row>
    <row r="48" spans="44:82" x14ac:dyDescent="0.2">
      <c r="AR48" s="18"/>
      <c r="AX48" s="18"/>
      <c r="CB48" s="31" t="str">
        <f t="shared" si="8"/>
        <v xml:space="preserve">  </v>
      </c>
      <c r="CC48" s="25" t="str">
        <f t="shared" si="9"/>
        <v/>
      </c>
      <c r="CD48" s="25" t="str">
        <f>BasicInput!$D$13&amp;$CD$2&amp;B48&amp;"_"&amp;C48&amp;D48&amp;"_"&amp;BasicInput!$D$7&amp;BasicInput!$D$8&amp;"_"&amp;CC48&amp;".xuf"</f>
        <v>C:\PWWORKING\east01\d2591108\Basic\__2019EX_PM_.xuf</v>
      </c>
    </row>
    <row r="49" spans="44:82" x14ac:dyDescent="0.2">
      <c r="AR49" s="18"/>
      <c r="AX49" s="18"/>
      <c r="CB49" s="31" t="str">
        <f t="shared" si="8"/>
        <v xml:space="preserve">  </v>
      </c>
      <c r="CC49" s="25" t="str">
        <f t="shared" si="9"/>
        <v/>
      </c>
      <c r="CD49" s="25" t="str">
        <f>BasicInput!$D$13&amp;$CD$2&amp;B49&amp;"_"&amp;C49&amp;D49&amp;"_"&amp;BasicInput!$D$7&amp;BasicInput!$D$8&amp;"_"&amp;CC49&amp;".xuf"</f>
        <v>C:\PWWORKING\east01\d2591108\Basic\__2019EX_PM_.xuf</v>
      </c>
    </row>
    <row r="50" spans="44:82" x14ac:dyDescent="0.2">
      <c r="AR50" s="18"/>
      <c r="AX50" s="18"/>
      <c r="CB50" s="31" t="str">
        <f t="shared" si="8"/>
        <v xml:space="preserve">  </v>
      </c>
      <c r="CC50" s="25" t="str">
        <f t="shared" si="9"/>
        <v/>
      </c>
      <c r="CD50" s="25" t="str">
        <f>BasicInput!$D$13&amp;$CD$2&amp;B50&amp;"_"&amp;C50&amp;D50&amp;"_"&amp;BasicInput!$D$7&amp;BasicInput!$D$8&amp;"_"&amp;CC50&amp;".xuf"</f>
        <v>C:\PWWORKING\east01\d2591108\Basic\__2019EX_PM_.xuf</v>
      </c>
    </row>
    <row r="51" spans="44:82" x14ac:dyDescent="0.2">
      <c r="AR51" s="18"/>
      <c r="AX51" s="18"/>
      <c r="CB51" s="31" t="str">
        <f t="shared" si="8"/>
        <v xml:space="preserve">  </v>
      </c>
      <c r="CC51" s="25" t="str">
        <f t="shared" si="9"/>
        <v/>
      </c>
      <c r="CD51" s="25" t="str">
        <f>BasicInput!$D$13&amp;$CD$2&amp;B51&amp;"_"&amp;C51&amp;D51&amp;"_"&amp;BasicInput!$D$7&amp;BasicInput!$D$8&amp;"_"&amp;CC51&amp;".xuf"</f>
        <v>C:\PWWORKING\east01\d2591108\Basic\__2019EX_PM_.xuf</v>
      </c>
    </row>
    <row r="52" spans="44:82" x14ac:dyDescent="0.2">
      <c r="AR52" s="18"/>
      <c r="AX52" s="18"/>
      <c r="CB52" s="31" t="str">
        <f t="shared" si="8"/>
        <v xml:space="preserve">  </v>
      </c>
      <c r="CC52" s="25" t="str">
        <f t="shared" si="9"/>
        <v/>
      </c>
      <c r="CD52" s="25" t="str">
        <f>BasicInput!$D$13&amp;$CD$2&amp;B52&amp;"_"&amp;C52&amp;D52&amp;"_"&amp;BasicInput!$D$7&amp;BasicInput!$D$8&amp;"_"&amp;CC52&amp;".xuf"</f>
        <v>C:\PWWORKING\east01\d2591108\Basic\__2019EX_PM_.xuf</v>
      </c>
    </row>
    <row r="53" spans="44:82" x14ac:dyDescent="0.2">
      <c r="AR53" s="18"/>
      <c r="AX53" s="18"/>
      <c r="CB53" s="31" t="str">
        <f t="shared" si="8"/>
        <v xml:space="preserve">  </v>
      </c>
      <c r="CC53" s="25" t="str">
        <f t="shared" si="9"/>
        <v/>
      </c>
      <c r="CD53" s="25" t="str">
        <f>BasicInput!$D$13&amp;$CD$2&amp;B53&amp;"_"&amp;C53&amp;D53&amp;"_"&amp;BasicInput!$D$7&amp;BasicInput!$D$8&amp;"_"&amp;CC53&amp;".xuf"</f>
        <v>C:\PWWORKING\east01\d2591108\Basic\__2019EX_PM_.xuf</v>
      </c>
    </row>
    <row r="54" spans="44:82" x14ac:dyDescent="0.2">
      <c r="AR54" s="18"/>
      <c r="AX54" s="18"/>
      <c r="CB54" s="31" t="str">
        <f t="shared" si="8"/>
        <v xml:space="preserve">  </v>
      </c>
      <c r="CC54" s="25" t="str">
        <f t="shared" si="9"/>
        <v/>
      </c>
      <c r="CD54" s="25" t="str">
        <f>BasicInput!$D$13&amp;$CD$2&amp;B54&amp;"_"&amp;C54&amp;D54&amp;"_"&amp;BasicInput!$D$7&amp;BasicInput!$D$8&amp;"_"&amp;CC54&amp;".xuf"</f>
        <v>C:\PWWORKING\east01\d2591108\Basic\__2019EX_PM_.xuf</v>
      </c>
    </row>
    <row r="55" spans="44:82" x14ac:dyDescent="0.2">
      <c r="AR55" s="18"/>
      <c r="AX55" s="18"/>
      <c r="CB55" s="31" t="str">
        <f t="shared" si="8"/>
        <v xml:space="preserve">  </v>
      </c>
      <c r="CC55" s="25" t="str">
        <f t="shared" si="9"/>
        <v/>
      </c>
      <c r="CD55" s="25" t="str">
        <f>BasicInput!$D$13&amp;$CD$2&amp;B55&amp;"_"&amp;C55&amp;D55&amp;"_"&amp;BasicInput!$D$7&amp;BasicInput!$D$8&amp;"_"&amp;CC55&amp;".xuf"</f>
        <v>C:\PWWORKING\east01\d2591108\Basic\__2019EX_PM_.xuf</v>
      </c>
    </row>
    <row r="56" spans="44:82" x14ac:dyDescent="0.2">
      <c r="AR56" s="18"/>
      <c r="AX56" s="18"/>
      <c r="CB56" s="31" t="str">
        <f t="shared" si="8"/>
        <v xml:space="preserve">  </v>
      </c>
      <c r="CC56" s="25" t="str">
        <f t="shared" si="9"/>
        <v/>
      </c>
      <c r="CD56" s="25" t="str">
        <f>BasicInput!$D$13&amp;$CD$2&amp;B56&amp;"_"&amp;C56&amp;D56&amp;"_"&amp;BasicInput!$D$7&amp;BasicInput!$D$8&amp;"_"&amp;CC56&amp;".xuf"</f>
        <v>C:\PWWORKING\east01\d2591108\Basic\__2019EX_PM_.xuf</v>
      </c>
    </row>
    <row r="57" spans="44:82" x14ac:dyDescent="0.2">
      <c r="AR57" s="18"/>
      <c r="AX57" s="18"/>
      <c r="CB57" s="31" t="str">
        <f t="shared" si="8"/>
        <v xml:space="preserve">  </v>
      </c>
      <c r="CC57" s="25" t="str">
        <f t="shared" si="9"/>
        <v/>
      </c>
      <c r="CD57" s="25" t="str">
        <f>BasicInput!$D$13&amp;$CD$2&amp;B57&amp;"_"&amp;C57&amp;D57&amp;"_"&amp;BasicInput!$D$7&amp;BasicInput!$D$8&amp;"_"&amp;CC57&amp;".xuf"</f>
        <v>C:\PWWORKING\east01\d2591108\Basic\__2019EX_PM_.xuf</v>
      </c>
    </row>
    <row r="58" spans="44:82" x14ac:dyDescent="0.2">
      <c r="AR58" s="18"/>
      <c r="AX58" s="18"/>
      <c r="CB58" s="31" t="str">
        <f t="shared" si="8"/>
        <v xml:space="preserve">  </v>
      </c>
      <c r="CC58" s="25" t="str">
        <f t="shared" si="9"/>
        <v/>
      </c>
      <c r="CD58" s="25" t="str">
        <f>BasicInput!$D$13&amp;$CD$2&amp;B58&amp;"_"&amp;C58&amp;D58&amp;"_"&amp;BasicInput!$D$7&amp;BasicInput!$D$8&amp;"_"&amp;CC58&amp;".xuf"</f>
        <v>C:\PWWORKING\east01\d2591108\Basic\__2019EX_PM_.xuf</v>
      </c>
    </row>
    <row r="59" spans="44:82" x14ac:dyDescent="0.2">
      <c r="AR59" s="18"/>
      <c r="AX59" s="18"/>
      <c r="CB59" s="31" t="str">
        <f t="shared" si="8"/>
        <v xml:space="preserve">  </v>
      </c>
      <c r="CC59" s="25" t="str">
        <f t="shared" si="9"/>
        <v/>
      </c>
      <c r="CD59" s="25" t="str">
        <f>BasicInput!$D$13&amp;$CD$2&amp;B59&amp;"_"&amp;C59&amp;D59&amp;"_"&amp;BasicInput!$D$7&amp;BasicInput!$D$8&amp;"_"&amp;CC59&amp;".xuf"</f>
        <v>C:\PWWORKING\east01\d2591108\Basic\__2019EX_PM_.xuf</v>
      </c>
    </row>
    <row r="60" spans="44:82" x14ac:dyDescent="0.2">
      <c r="AR60" s="18"/>
      <c r="AX60" s="18"/>
      <c r="CB60" s="31" t="str">
        <f t="shared" si="8"/>
        <v xml:space="preserve">  </v>
      </c>
      <c r="CC60" s="25" t="str">
        <f t="shared" si="9"/>
        <v/>
      </c>
      <c r="CD60" s="25" t="str">
        <f>BasicInput!$D$13&amp;$CD$2&amp;B60&amp;"_"&amp;C60&amp;D60&amp;"_"&amp;BasicInput!$D$7&amp;BasicInput!$D$8&amp;"_"&amp;CC60&amp;".xuf"</f>
        <v>C:\PWWORKING\east01\d2591108\Basic\__2019EX_PM_.xuf</v>
      </c>
    </row>
    <row r="61" spans="44:82" x14ac:dyDescent="0.2">
      <c r="AR61" s="18"/>
      <c r="AX61" s="18"/>
      <c r="CB61" s="31" t="str">
        <f t="shared" si="8"/>
        <v xml:space="preserve">  </v>
      </c>
      <c r="CC61" s="25" t="str">
        <f t="shared" si="9"/>
        <v/>
      </c>
      <c r="CD61" s="25" t="str">
        <f>BasicInput!$D$13&amp;$CD$2&amp;B61&amp;"_"&amp;C61&amp;D61&amp;"_"&amp;BasicInput!$D$7&amp;BasicInput!$D$8&amp;"_"&amp;CC61&amp;".xuf"</f>
        <v>C:\PWWORKING\east01\d2591108\Basic\__2019EX_PM_.xuf</v>
      </c>
    </row>
    <row r="62" spans="44:82" x14ac:dyDescent="0.2">
      <c r="AR62" s="18"/>
      <c r="AX62" s="18"/>
      <c r="CB62" s="31" t="str">
        <f t="shared" si="8"/>
        <v xml:space="preserve">  </v>
      </c>
      <c r="CC62" s="25" t="str">
        <f t="shared" si="9"/>
        <v/>
      </c>
      <c r="CD62" s="25" t="str">
        <f>BasicInput!$D$13&amp;$CD$2&amp;B62&amp;"_"&amp;C62&amp;D62&amp;"_"&amp;BasicInput!$D$7&amp;BasicInput!$D$8&amp;"_"&amp;CC62&amp;".xuf"</f>
        <v>C:\PWWORKING\east01\d2591108\Basic\__2019EX_PM_.xuf</v>
      </c>
    </row>
    <row r="63" spans="44:82" x14ac:dyDescent="0.2">
      <c r="AR63" s="18"/>
      <c r="AX63" s="18"/>
      <c r="CB63" s="31" t="str">
        <f t="shared" si="8"/>
        <v xml:space="preserve">  </v>
      </c>
      <c r="CC63" s="25" t="str">
        <f t="shared" si="9"/>
        <v/>
      </c>
      <c r="CD63" s="25" t="str">
        <f>BasicInput!$D$13&amp;$CD$2&amp;B63&amp;"_"&amp;C63&amp;D63&amp;"_"&amp;BasicInput!$D$7&amp;BasicInput!$D$8&amp;"_"&amp;CC63&amp;".xuf"</f>
        <v>C:\PWWORKING\east01\d2591108\Basic\__2019EX_PM_.xuf</v>
      </c>
    </row>
    <row r="64" spans="44:82" x14ac:dyDescent="0.2">
      <c r="AR64" s="18"/>
      <c r="AX64" s="18"/>
      <c r="CB64" s="31" t="str">
        <f t="shared" si="8"/>
        <v xml:space="preserve">  </v>
      </c>
      <c r="CC64" s="25" t="str">
        <f t="shared" si="9"/>
        <v/>
      </c>
      <c r="CD64" s="25" t="str">
        <f>BasicInput!$D$13&amp;$CD$2&amp;B64&amp;"_"&amp;C64&amp;D64&amp;"_"&amp;BasicInput!$D$7&amp;BasicInput!$D$8&amp;"_"&amp;CC64&amp;".xuf"</f>
        <v>C:\PWWORKING\east01\d2591108\Basic\__2019EX_PM_.xuf</v>
      </c>
    </row>
    <row r="65" spans="44:82" x14ac:dyDescent="0.2">
      <c r="AR65" s="18"/>
      <c r="AX65" s="18"/>
      <c r="CB65" s="31" t="str">
        <f t="shared" si="8"/>
        <v xml:space="preserve">  </v>
      </c>
      <c r="CC65" s="25" t="str">
        <f t="shared" si="9"/>
        <v/>
      </c>
      <c r="CD65" s="25" t="str">
        <f>BasicInput!$D$13&amp;$CD$2&amp;B65&amp;"_"&amp;C65&amp;D65&amp;"_"&amp;BasicInput!$D$7&amp;BasicInput!$D$8&amp;"_"&amp;CC65&amp;".xuf"</f>
        <v>C:\PWWORKING\east01\d2591108\Basic\__2019EX_PM_.xuf</v>
      </c>
    </row>
    <row r="66" spans="44:82" x14ac:dyDescent="0.2">
      <c r="AR66" s="18"/>
      <c r="AX66" s="18"/>
      <c r="CB66" s="31" t="str">
        <f t="shared" si="8"/>
        <v xml:space="preserve">  </v>
      </c>
      <c r="CC66" s="25" t="str">
        <f t="shared" si="9"/>
        <v/>
      </c>
      <c r="CD66" s="25" t="str">
        <f>BasicInput!$D$13&amp;$CD$2&amp;B66&amp;"_"&amp;C66&amp;D66&amp;"_"&amp;BasicInput!$D$7&amp;BasicInput!$D$8&amp;"_"&amp;CC66&amp;".xuf"</f>
        <v>C:\PWWORKING\east01\d2591108\Basic\__2019EX_PM_.xuf</v>
      </c>
    </row>
    <row r="67" spans="44:82" x14ac:dyDescent="0.2">
      <c r="AR67" s="18"/>
      <c r="AX67" s="18"/>
      <c r="CB67" s="31" t="str">
        <f t="shared" si="8"/>
        <v xml:space="preserve">  </v>
      </c>
      <c r="CC67" s="25" t="str">
        <f t="shared" si="9"/>
        <v/>
      </c>
      <c r="CD67" s="25" t="str">
        <f>BasicInput!$D$13&amp;$CD$2&amp;B67&amp;"_"&amp;C67&amp;D67&amp;"_"&amp;BasicInput!$D$7&amp;BasicInput!$D$8&amp;"_"&amp;CC67&amp;".xuf"</f>
        <v>C:\PWWORKING\east01\d2591108\Basic\__2019EX_PM_.xuf</v>
      </c>
    </row>
    <row r="68" spans="44:82" x14ac:dyDescent="0.2">
      <c r="AR68" s="18"/>
      <c r="AX68" s="18"/>
      <c r="CB68" s="31" t="str">
        <f t="shared" si="8"/>
        <v xml:space="preserve">  </v>
      </c>
      <c r="CC68" s="25" t="str">
        <f t="shared" si="9"/>
        <v/>
      </c>
      <c r="CD68" s="25" t="str">
        <f>BasicInput!$D$13&amp;$CD$2&amp;B68&amp;"_"&amp;C68&amp;D68&amp;"_"&amp;BasicInput!$D$7&amp;BasicInput!$D$8&amp;"_"&amp;CC68&amp;".xuf"</f>
        <v>C:\PWWORKING\east01\d2591108\Basic\__2019EX_PM_.xuf</v>
      </c>
    </row>
    <row r="69" spans="44:82" x14ac:dyDescent="0.2">
      <c r="AR69" s="18"/>
      <c r="AX69" s="18"/>
      <c r="CB69" s="31" t="str">
        <f t="shared" si="8"/>
        <v xml:space="preserve">  </v>
      </c>
      <c r="CC69" s="25" t="str">
        <f t="shared" si="9"/>
        <v/>
      </c>
      <c r="CD69" s="25" t="str">
        <f>BasicInput!$D$13&amp;$CD$2&amp;B69&amp;"_"&amp;C69&amp;D69&amp;"_"&amp;BasicInput!$D$7&amp;BasicInput!$D$8&amp;"_"&amp;CC69&amp;".xuf"</f>
        <v>C:\PWWORKING\east01\d2591108\Basic\__2019EX_PM_.xuf</v>
      </c>
    </row>
    <row r="70" spans="44:82" x14ac:dyDescent="0.2">
      <c r="AR70" s="18"/>
      <c r="AX70" s="18"/>
      <c r="CB70" s="31" t="str">
        <f t="shared" si="8"/>
        <v xml:space="preserve">  </v>
      </c>
      <c r="CC70" s="25" t="str">
        <f t="shared" si="9"/>
        <v/>
      </c>
      <c r="CD70" s="25" t="str">
        <f>BasicInput!$D$13&amp;$CD$2&amp;B70&amp;"_"&amp;C70&amp;D70&amp;"_"&amp;BasicInput!$D$7&amp;BasicInput!$D$8&amp;"_"&amp;CC70&amp;".xuf"</f>
        <v>C:\PWWORKING\east01\d2591108\Basic\__2019EX_PM_.xuf</v>
      </c>
    </row>
    <row r="71" spans="44:82" x14ac:dyDescent="0.2">
      <c r="AR71" s="18"/>
      <c r="AX71" s="18"/>
      <c r="CB71" s="31" t="str">
        <f t="shared" si="8"/>
        <v xml:space="preserve">  </v>
      </c>
      <c r="CC71" s="25" t="str">
        <f t="shared" si="9"/>
        <v/>
      </c>
      <c r="CD71" s="25" t="str">
        <f>BasicInput!$D$13&amp;$CD$2&amp;B71&amp;"_"&amp;C71&amp;D71&amp;"_"&amp;BasicInput!$D$7&amp;BasicInput!$D$8&amp;"_"&amp;CC71&amp;".xuf"</f>
        <v>C:\PWWORKING\east01\d2591108\Basic\__2019EX_PM_.xuf</v>
      </c>
    </row>
    <row r="72" spans="44:82" x14ac:dyDescent="0.2">
      <c r="AR72" s="18"/>
      <c r="AX72" s="18"/>
      <c r="CB72" s="31" t="str">
        <f t="shared" si="8"/>
        <v xml:space="preserve">  </v>
      </c>
      <c r="CC72" s="25" t="str">
        <f t="shared" si="9"/>
        <v/>
      </c>
      <c r="CD72" s="25" t="str">
        <f>BasicInput!$D$13&amp;$CD$2&amp;B72&amp;"_"&amp;C72&amp;D72&amp;"_"&amp;BasicInput!$D$7&amp;BasicInput!$D$8&amp;"_"&amp;CC72&amp;".xuf"</f>
        <v>C:\PWWORKING\east01\d2591108\Basic\__2019EX_PM_.xuf</v>
      </c>
    </row>
    <row r="73" spans="44:82" x14ac:dyDescent="0.2">
      <c r="AR73" s="18"/>
      <c r="AX73" s="18"/>
      <c r="CB73" s="31" t="str">
        <f t="shared" si="8"/>
        <v xml:space="preserve">  </v>
      </c>
      <c r="CC73" s="25" t="str">
        <f t="shared" si="9"/>
        <v/>
      </c>
      <c r="CD73" s="25" t="str">
        <f>BasicInput!$D$13&amp;$CD$2&amp;B73&amp;"_"&amp;C73&amp;D73&amp;"_"&amp;BasicInput!$D$7&amp;BasicInput!$D$8&amp;"_"&amp;CC73&amp;".xuf"</f>
        <v>C:\PWWORKING\east01\d2591108\Basic\__2019EX_PM_.xuf</v>
      </c>
    </row>
    <row r="74" spans="44:82" x14ac:dyDescent="0.2">
      <c r="AR74" s="18"/>
      <c r="AX74" s="18"/>
      <c r="CB74" s="31" t="str">
        <f t="shared" si="8"/>
        <v xml:space="preserve">  </v>
      </c>
      <c r="CC74" s="25" t="str">
        <f t="shared" si="9"/>
        <v/>
      </c>
      <c r="CD74" s="25" t="str">
        <f>BasicInput!$D$13&amp;$CD$2&amp;B74&amp;"_"&amp;C74&amp;D74&amp;"_"&amp;BasicInput!$D$7&amp;BasicInput!$D$8&amp;"_"&amp;CC74&amp;".xuf"</f>
        <v>C:\PWWORKING\east01\d2591108\Basic\__2019EX_PM_.xuf</v>
      </c>
    </row>
    <row r="75" spans="44:82" x14ac:dyDescent="0.2">
      <c r="AR75" s="18"/>
      <c r="AX75" s="18"/>
      <c r="CB75" s="31" t="str">
        <f t="shared" si="8"/>
        <v xml:space="preserve">  </v>
      </c>
      <c r="CC75" s="25" t="str">
        <f t="shared" si="9"/>
        <v/>
      </c>
      <c r="CD75" s="25" t="str">
        <f>BasicInput!$D$13&amp;$CD$2&amp;B75&amp;"_"&amp;C75&amp;D75&amp;"_"&amp;BasicInput!$D$7&amp;BasicInput!$D$8&amp;"_"&amp;CC75&amp;".xuf"</f>
        <v>C:\PWWORKING\east01\d2591108\Basic\__2019EX_PM_.xuf</v>
      </c>
    </row>
    <row r="76" spans="44:82" x14ac:dyDescent="0.2">
      <c r="AR76" s="18"/>
      <c r="AX76" s="18"/>
      <c r="CB76" s="31" t="str">
        <f t="shared" si="8"/>
        <v xml:space="preserve">  </v>
      </c>
      <c r="CC76" s="25" t="str">
        <f t="shared" si="9"/>
        <v/>
      </c>
      <c r="CD76" s="25" t="str">
        <f>BasicInput!$D$13&amp;$CD$2&amp;B76&amp;"_"&amp;C76&amp;D76&amp;"_"&amp;BasicInput!$D$7&amp;BasicInput!$D$8&amp;"_"&amp;CC76&amp;".xuf"</f>
        <v>C:\PWWORKING\east01\d2591108\Basic\__2019EX_PM_.xuf</v>
      </c>
    </row>
    <row r="77" spans="44:82" x14ac:dyDescent="0.2">
      <c r="AR77" s="18"/>
      <c r="AX77" s="18"/>
      <c r="CB77" s="31" t="str">
        <f t="shared" si="8"/>
        <v xml:space="preserve">  </v>
      </c>
      <c r="CC77" s="25" t="str">
        <f t="shared" si="9"/>
        <v/>
      </c>
      <c r="CD77" s="25" t="str">
        <f>BasicInput!$D$13&amp;$CD$2&amp;B77&amp;"_"&amp;C77&amp;D77&amp;"_"&amp;BasicInput!$D$7&amp;BasicInput!$D$8&amp;"_"&amp;CC77&amp;".xuf"</f>
        <v>C:\PWWORKING\east01\d2591108\Basic\__2019EX_PM_.xuf</v>
      </c>
    </row>
    <row r="78" spans="44:82" x14ac:dyDescent="0.2">
      <c r="AR78" s="18"/>
      <c r="AX78" s="18"/>
      <c r="CB78" s="31" t="str">
        <f t="shared" si="8"/>
        <v xml:space="preserve">  </v>
      </c>
      <c r="CC78" s="25" t="str">
        <f t="shared" si="9"/>
        <v/>
      </c>
      <c r="CD78" s="25" t="str">
        <f>BasicInput!$D$13&amp;$CD$2&amp;B78&amp;"_"&amp;C78&amp;D78&amp;"_"&amp;BasicInput!$D$7&amp;BasicInput!$D$8&amp;"_"&amp;CC78&amp;".xuf"</f>
        <v>C:\PWWORKING\east01\d2591108\Basic\__2019EX_PM_.xuf</v>
      </c>
    </row>
    <row r="79" spans="44:82" x14ac:dyDescent="0.2">
      <c r="AR79" s="18"/>
      <c r="AX79" s="18"/>
      <c r="CB79" s="31" t="str">
        <f t="shared" si="8"/>
        <v xml:space="preserve">  </v>
      </c>
      <c r="CC79" s="25" t="str">
        <f t="shared" si="9"/>
        <v/>
      </c>
      <c r="CD79" s="25" t="str">
        <f>BasicInput!$D$13&amp;$CD$2&amp;B79&amp;"_"&amp;C79&amp;D79&amp;"_"&amp;BasicInput!$D$7&amp;BasicInput!$D$8&amp;"_"&amp;CC79&amp;".xuf"</f>
        <v>C:\PWWORKING\east01\d2591108\Basic\__2019EX_PM_.xuf</v>
      </c>
    </row>
    <row r="80" spans="44:82" x14ac:dyDescent="0.2">
      <c r="AR80" s="18"/>
      <c r="AX80" s="18"/>
      <c r="CB80" s="31" t="str">
        <f t="shared" si="8"/>
        <v xml:space="preserve">  </v>
      </c>
      <c r="CC80" s="25" t="str">
        <f t="shared" si="9"/>
        <v/>
      </c>
      <c r="CD80" s="25" t="str">
        <f>BasicInput!$D$13&amp;$CD$2&amp;B80&amp;"_"&amp;C80&amp;D80&amp;"_"&amp;BasicInput!$D$7&amp;BasicInput!$D$8&amp;"_"&amp;CC80&amp;".xuf"</f>
        <v>C:\PWWORKING\east01\d2591108\Basic\__2019EX_PM_.xuf</v>
      </c>
    </row>
    <row r="81" spans="44:82" x14ac:dyDescent="0.2">
      <c r="AR81" s="18"/>
      <c r="AX81" s="18"/>
      <c r="CB81" s="31" t="str">
        <f t="shared" ref="CB81:CB144" si="10">C81&amp; " "&amp;D81&amp;" " &amp;E81</f>
        <v xml:space="preserve">  </v>
      </c>
      <c r="CC81" s="25" t="str">
        <f t="shared" ref="CC81:CC144" si="11">SUBSTITUTE(E81, "/", "_")</f>
        <v/>
      </c>
      <c r="CD81" s="25" t="str">
        <f>BasicInput!$D$13&amp;$CD$2&amp;B81&amp;"_"&amp;C81&amp;D81&amp;"_"&amp;BasicInput!$D$7&amp;BasicInput!$D$8&amp;"_"&amp;CC81&amp;".xuf"</f>
        <v>C:\PWWORKING\east01\d2591108\Basic\__2019EX_PM_.xuf</v>
      </c>
    </row>
    <row r="82" spans="44:82" x14ac:dyDescent="0.2">
      <c r="AR82" s="18"/>
      <c r="AX82" s="18"/>
      <c r="CB82" s="31" t="str">
        <f t="shared" si="10"/>
        <v xml:space="preserve">  </v>
      </c>
      <c r="CC82" s="25" t="str">
        <f t="shared" si="11"/>
        <v/>
      </c>
      <c r="CD82" s="25" t="str">
        <f>BasicInput!$D$13&amp;$CD$2&amp;B82&amp;"_"&amp;C82&amp;D82&amp;"_"&amp;BasicInput!$D$7&amp;BasicInput!$D$8&amp;"_"&amp;CC82&amp;".xuf"</f>
        <v>C:\PWWORKING\east01\d2591108\Basic\__2019EX_PM_.xuf</v>
      </c>
    </row>
    <row r="83" spans="44:82" x14ac:dyDescent="0.2">
      <c r="AR83" s="18"/>
      <c r="AX83" s="18"/>
      <c r="CB83" s="31" t="str">
        <f t="shared" si="10"/>
        <v xml:space="preserve">  </v>
      </c>
      <c r="CC83" s="25" t="str">
        <f t="shared" si="11"/>
        <v/>
      </c>
      <c r="CD83" s="25" t="str">
        <f>BasicInput!$D$13&amp;$CD$2&amp;B83&amp;"_"&amp;C83&amp;D83&amp;"_"&amp;BasicInput!$D$7&amp;BasicInput!$D$8&amp;"_"&amp;CC83&amp;".xuf"</f>
        <v>C:\PWWORKING\east01\d2591108\Basic\__2019EX_PM_.xuf</v>
      </c>
    </row>
    <row r="84" spans="44:82" x14ac:dyDescent="0.2">
      <c r="AR84" s="18"/>
      <c r="AX84" s="18"/>
      <c r="CB84" s="31" t="str">
        <f t="shared" si="10"/>
        <v xml:space="preserve">  </v>
      </c>
      <c r="CC84" s="25" t="str">
        <f t="shared" si="11"/>
        <v/>
      </c>
      <c r="CD84" s="25" t="str">
        <f>BasicInput!$D$13&amp;$CD$2&amp;B84&amp;"_"&amp;C84&amp;D84&amp;"_"&amp;BasicInput!$D$7&amp;BasicInput!$D$8&amp;"_"&amp;CC84&amp;".xuf"</f>
        <v>C:\PWWORKING\east01\d2591108\Basic\__2019EX_PM_.xuf</v>
      </c>
    </row>
    <row r="85" spans="44:82" x14ac:dyDescent="0.2">
      <c r="AR85" s="18"/>
      <c r="AX85" s="18"/>
      <c r="CB85" s="31" t="str">
        <f t="shared" si="10"/>
        <v xml:space="preserve">  </v>
      </c>
      <c r="CC85" s="25" t="str">
        <f t="shared" si="11"/>
        <v/>
      </c>
      <c r="CD85" s="25" t="str">
        <f>BasicInput!$D$13&amp;$CD$2&amp;B85&amp;"_"&amp;C85&amp;D85&amp;"_"&amp;BasicInput!$D$7&amp;BasicInput!$D$8&amp;"_"&amp;CC85&amp;".xuf"</f>
        <v>C:\PWWORKING\east01\d2591108\Basic\__2019EX_PM_.xuf</v>
      </c>
    </row>
    <row r="86" spans="44:82" x14ac:dyDescent="0.2">
      <c r="AR86" s="18"/>
      <c r="AX86" s="18"/>
      <c r="CB86" s="31" t="str">
        <f t="shared" si="10"/>
        <v xml:space="preserve">  </v>
      </c>
      <c r="CC86" s="25" t="str">
        <f t="shared" si="11"/>
        <v/>
      </c>
      <c r="CD86" s="25" t="str">
        <f>BasicInput!$D$13&amp;$CD$2&amp;B86&amp;"_"&amp;C86&amp;D86&amp;"_"&amp;BasicInput!$D$7&amp;BasicInput!$D$8&amp;"_"&amp;CC86&amp;".xuf"</f>
        <v>C:\PWWORKING\east01\d2591108\Basic\__2019EX_PM_.xuf</v>
      </c>
    </row>
    <row r="87" spans="44:82" x14ac:dyDescent="0.2">
      <c r="AR87" s="18"/>
      <c r="AX87" s="18"/>
      <c r="CB87" s="31" t="str">
        <f t="shared" si="10"/>
        <v xml:space="preserve">  </v>
      </c>
      <c r="CC87" s="25" t="str">
        <f t="shared" si="11"/>
        <v/>
      </c>
      <c r="CD87" s="25" t="str">
        <f>BasicInput!$D$13&amp;$CD$2&amp;B87&amp;"_"&amp;C87&amp;D87&amp;"_"&amp;BasicInput!$D$7&amp;BasicInput!$D$8&amp;"_"&amp;CC87&amp;".xuf"</f>
        <v>C:\PWWORKING\east01\d2591108\Basic\__2019EX_PM_.xuf</v>
      </c>
    </row>
    <row r="88" spans="44:82" x14ac:dyDescent="0.2">
      <c r="AR88" s="18"/>
      <c r="AX88" s="18"/>
      <c r="CB88" s="31" t="str">
        <f t="shared" si="10"/>
        <v xml:space="preserve">  </v>
      </c>
      <c r="CC88" s="25" t="str">
        <f t="shared" si="11"/>
        <v/>
      </c>
      <c r="CD88" s="25" t="str">
        <f>BasicInput!$D$13&amp;$CD$2&amp;B88&amp;"_"&amp;C88&amp;D88&amp;"_"&amp;BasicInput!$D$7&amp;BasicInput!$D$8&amp;"_"&amp;CC88&amp;".xuf"</f>
        <v>C:\PWWORKING\east01\d2591108\Basic\__2019EX_PM_.xuf</v>
      </c>
    </row>
    <row r="89" spans="44:82" x14ac:dyDescent="0.2">
      <c r="AR89" s="18"/>
      <c r="AX89" s="18"/>
      <c r="CB89" s="31" t="str">
        <f t="shared" si="10"/>
        <v xml:space="preserve">  </v>
      </c>
      <c r="CC89" s="25" t="str">
        <f t="shared" si="11"/>
        <v/>
      </c>
      <c r="CD89" s="25" t="str">
        <f>BasicInput!$D$13&amp;$CD$2&amp;B89&amp;"_"&amp;C89&amp;D89&amp;"_"&amp;BasicInput!$D$7&amp;BasicInput!$D$8&amp;"_"&amp;CC89&amp;".xuf"</f>
        <v>C:\PWWORKING\east01\d2591108\Basic\__2019EX_PM_.xuf</v>
      </c>
    </row>
    <row r="90" spans="44:82" x14ac:dyDescent="0.2">
      <c r="AR90" s="18"/>
      <c r="AX90" s="18"/>
      <c r="CB90" s="31" t="str">
        <f t="shared" si="10"/>
        <v xml:space="preserve">  </v>
      </c>
      <c r="CC90" s="25" t="str">
        <f t="shared" si="11"/>
        <v/>
      </c>
      <c r="CD90" s="25" t="str">
        <f>BasicInput!$D$13&amp;$CD$2&amp;B90&amp;"_"&amp;C90&amp;D90&amp;"_"&amp;BasicInput!$D$7&amp;BasicInput!$D$8&amp;"_"&amp;CC90&amp;".xuf"</f>
        <v>C:\PWWORKING\east01\d2591108\Basic\__2019EX_PM_.xuf</v>
      </c>
    </row>
    <row r="91" spans="44:82" x14ac:dyDescent="0.2">
      <c r="AR91" s="18"/>
      <c r="AX91" s="18"/>
      <c r="CB91" s="31" t="str">
        <f t="shared" si="10"/>
        <v xml:space="preserve">  </v>
      </c>
      <c r="CC91" s="25" t="str">
        <f t="shared" si="11"/>
        <v/>
      </c>
      <c r="CD91" s="25" t="str">
        <f>BasicInput!$D$13&amp;$CD$2&amp;B91&amp;"_"&amp;C91&amp;D91&amp;"_"&amp;BasicInput!$D$7&amp;BasicInput!$D$8&amp;"_"&amp;CC91&amp;".xuf"</f>
        <v>C:\PWWORKING\east01\d2591108\Basic\__2019EX_PM_.xuf</v>
      </c>
    </row>
    <row r="92" spans="44:82" x14ac:dyDescent="0.2">
      <c r="AR92" s="18"/>
      <c r="AX92" s="18"/>
      <c r="CB92" s="31" t="str">
        <f t="shared" si="10"/>
        <v xml:space="preserve">  </v>
      </c>
      <c r="CC92" s="25" t="str">
        <f t="shared" si="11"/>
        <v/>
      </c>
      <c r="CD92" s="25" t="str">
        <f>BasicInput!$D$13&amp;$CD$2&amp;B92&amp;"_"&amp;C92&amp;D92&amp;"_"&amp;BasicInput!$D$7&amp;BasicInput!$D$8&amp;"_"&amp;CC92&amp;".xuf"</f>
        <v>C:\PWWORKING\east01\d2591108\Basic\__2019EX_PM_.xuf</v>
      </c>
    </row>
    <row r="93" spans="44:82" x14ac:dyDescent="0.2">
      <c r="AR93" s="18"/>
      <c r="AX93" s="18"/>
      <c r="CB93" s="31" t="str">
        <f t="shared" si="10"/>
        <v xml:space="preserve">  </v>
      </c>
      <c r="CC93" s="25" t="str">
        <f t="shared" si="11"/>
        <v/>
      </c>
      <c r="CD93" s="25" t="str">
        <f>BasicInput!$D$13&amp;$CD$2&amp;B93&amp;"_"&amp;C93&amp;D93&amp;"_"&amp;BasicInput!$D$7&amp;BasicInput!$D$8&amp;"_"&amp;CC93&amp;".xuf"</f>
        <v>C:\PWWORKING\east01\d2591108\Basic\__2019EX_PM_.xuf</v>
      </c>
    </row>
    <row r="94" spans="44:82" x14ac:dyDescent="0.2">
      <c r="AR94" s="18"/>
      <c r="AX94" s="18"/>
      <c r="CB94" s="31" t="str">
        <f t="shared" si="10"/>
        <v xml:space="preserve">  </v>
      </c>
      <c r="CC94" s="25" t="str">
        <f t="shared" si="11"/>
        <v/>
      </c>
      <c r="CD94" s="25" t="str">
        <f>BasicInput!$D$13&amp;$CD$2&amp;B94&amp;"_"&amp;C94&amp;D94&amp;"_"&amp;BasicInput!$D$7&amp;BasicInput!$D$8&amp;"_"&amp;CC94&amp;".xuf"</f>
        <v>C:\PWWORKING\east01\d2591108\Basic\__2019EX_PM_.xuf</v>
      </c>
    </row>
    <row r="95" spans="44:82" x14ac:dyDescent="0.2">
      <c r="AR95" s="18"/>
      <c r="AX95" s="18"/>
      <c r="CB95" s="31" t="str">
        <f t="shared" si="10"/>
        <v xml:space="preserve">  </v>
      </c>
      <c r="CC95" s="25" t="str">
        <f t="shared" si="11"/>
        <v/>
      </c>
      <c r="CD95" s="25" t="str">
        <f>BasicInput!$D$13&amp;$CD$2&amp;B95&amp;"_"&amp;C95&amp;D95&amp;"_"&amp;BasicInput!$D$7&amp;BasicInput!$D$8&amp;"_"&amp;CC95&amp;".xuf"</f>
        <v>C:\PWWORKING\east01\d2591108\Basic\__2019EX_PM_.xuf</v>
      </c>
    </row>
    <row r="96" spans="44:82" x14ac:dyDescent="0.2">
      <c r="AR96" s="18"/>
      <c r="AX96" s="18"/>
      <c r="CB96" s="31" t="str">
        <f t="shared" si="10"/>
        <v xml:space="preserve">  </v>
      </c>
      <c r="CC96" s="25" t="str">
        <f t="shared" si="11"/>
        <v/>
      </c>
      <c r="CD96" s="25" t="str">
        <f>BasicInput!$D$13&amp;$CD$2&amp;B96&amp;"_"&amp;C96&amp;D96&amp;"_"&amp;BasicInput!$D$7&amp;BasicInput!$D$8&amp;"_"&amp;CC96&amp;".xuf"</f>
        <v>C:\PWWORKING\east01\d2591108\Basic\__2019EX_PM_.xuf</v>
      </c>
    </row>
    <row r="97" spans="44:82" x14ac:dyDescent="0.2">
      <c r="AR97" s="18"/>
      <c r="AX97" s="18"/>
      <c r="CB97" s="31" t="str">
        <f t="shared" si="10"/>
        <v xml:space="preserve">  </v>
      </c>
      <c r="CC97" s="25" t="str">
        <f t="shared" si="11"/>
        <v/>
      </c>
      <c r="CD97" s="25" t="str">
        <f>BasicInput!$D$13&amp;$CD$2&amp;B97&amp;"_"&amp;C97&amp;D97&amp;"_"&amp;BasicInput!$D$7&amp;BasicInput!$D$8&amp;"_"&amp;CC97&amp;".xuf"</f>
        <v>C:\PWWORKING\east01\d2591108\Basic\__2019EX_PM_.xuf</v>
      </c>
    </row>
    <row r="98" spans="44:82" x14ac:dyDescent="0.2">
      <c r="AR98" s="18"/>
      <c r="AX98" s="18"/>
      <c r="CB98" s="31" t="str">
        <f t="shared" si="10"/>
        <v xml:space="preserve">  </v>
      </c>
      <c r="CC98" s="25" t="str">
        <f t="shared" si="11"/>
        <v/>
      </c>
      <c r="CD98" s="25" t="str">
        <f>BasicInput!$D$13&amp;$CD$2&amp;B98&amp;"_"&amp;C98&amp;D98&amp;"_"&amp;BasicInput!$D$7&amp;BasicInput!$D$8&amp;"_"&amp;CC98&amp;".xuf"</f>
        <v>C:\PWWORKING\east01\d2591108\Basic\__2019EX_PM_.xuf</v>
      </c>
    </row>
    <row r="99" spans="44:82" x14ac:dyDescent="0.2">
      <c r="AR99" s="18"/>
      <c r="AX99" s="18"/>
      <c r="CB99" s="31" t="str">
        <f t="shared" si="10"/>
        <v xml:space="preserve">  </v>
      </c>
      <c r="CC99" s="25" t="str">
        <f t="shared" si="11"/>
        <v/>
      </c>
      <c r="CD99" s="25" t="str">
        <f>BasicInput!$D$13&amp;$CD$2&amp;B99&amp;"_"&amp;C99&amp;D99&amp;"_"&amp;BasicInput!$D$7&amp;BasicInput!$D$8&amp;"_"&amp;CC99&amp;".xuf"</f>
        <v>C:\PWWORKING\east01\d2591108\Basic\__2019EX_PM_.xuf</v>
      </c>
    </row>
    <row r="100" spans="44:82" x14ac:dyDescent="0.2">
      <c r="AR100" s="18"/>
      <c r="AX100" s="18"/>
      <c r="CB100" s="31" t="str">
        <f t="shared" si="10"/>
        <v xml:space="preserve">  </v>
      </c>
      <c r="CC100" s="25" t="str">
        <f t="shared" si="11"/>
        <v/>
      </c>
      <c r="CD100" s="25" t="str">
        <f>BasicInput!$D$13&amp;$CD$2&amp;B100&amp;"_"&amp;C100&amp;D100&amp;"_"&amp;BasicInput!$D$7&amp;BasicInput!$D$8&amp;"_"&amp;CC100&amp;".xuf"</f>
        <v>C:\PWWORKING\east01\d2591108\Basic\__2019EX_PM_.xuf</v>
      </c>
    </row>
    <row r="101" spans="44:82" x14ac:dyDescent="0.2">
      <c r="AR101" s="18"/>
      <c r="AX101" s="18"/>
      <c r="CB101" s="31" t="str">
        <f t="shared" si="10"/>
        <v xml:space="preserve">  </v>
      </c>
      <c r="CC101" s="25" t="str">
        <f t="shared" si="11"/>
        <v/>
      </c>
      <c r="CD101" s="25" t="str">
        <f>BasicInput!$D$13&amp;$CD$2&amp;B101&amp;"_"&amp;C101&amp;D101&amp;"_"&amp;BasicInput!$D$7&amp;BasicInput!$D$8&amp;"_"&amp;CC101&amp;".xuf"</f>
        <v>C:\PWWORKING\east01\d2591108\Basic\__2019EX_PM_.xuf</v>
      </c>
    </row>
    <row r="102" spans="44:82" x14ac:dyDescent="0.2">
      <c r="AR102" s="18"/>
      <c r="AX102" s="18"/>
      <c r="CB102" s="31" t="str">
        <f t="shared" si="10"/>
        <v xml:space="preserve">  </v>
      </c>
      <c r="CC102" s="25" t="str">
        <f t="shared" si="11"/>
        <v/>
      </c>
      <c r="CD102" s="25" t="str">
        <f>BasicInput!$D$13&amp;$CD$2&amp;B102&amp;"_"&amp;C102&amp;D102&amp;"_"&amp;BasicInput!$D$7&amp;BasicInput!$D$8&amp;"_"&amp;CC102&amp;".xuf"</f>
        <v>C:\PWWORKING\east01\d2591108\Basic\__2019EX_PM_.xuf</v>
      </c>
    </row>
    <row r="103" spans="44:82" x14ac:dyDescent="0.2">
      <c r="AR103" s="18"/>
      <c r="AX103" s="18"/>
      <c r="CB103" s="31" t="str">
        <f t="shared" si="10"/>
        <v xml:space="preserve">  </v>
      </c>
      <c r="CC103" s="25" t="str">
        <f t="shared" si="11"/>
        <v/>
      </c>
      <c r="CD103" s="25" t="str">
        <f>BasicInput!$D$13&amp;$CD$2&amp;B103&amp;"_"&amp;C103&amp;D103&amp;"_"&amp;BasicInput!$D$7&amp;BasicInput!$D$8&amp;"_"&amp;CC103&amp;".xuf"</f>
        <v>C:\PWWORKING\east01\d2591108\Basic\__2019EX_PM_.xuf</v>
      </c>
    </row>
    <row r="104" spans="44:82" x14ac:dyDescent="0.2">
      <c r="AR104" s="18"/>
      <c r="AX104" s="18"/>
      <c r="CB104" s="31" t="str">
        <f t="shared" si="10"/>
        <v xml:space="preserve">  </v>
      </c>
      <c r="CC104" s="25" t="str">
        <f t="shared" si="11"/>
        <v/>
      </c>
      <c r="CD104" s="25" t="str">
        <f>BasicInput!$D$13&amp;$CD$2&amp;B104&amp;"_"&amp;C104&amp;D104&amp;"_"&amp;BasicInput!$D$7&amp;BasicInput!$D$8&amp;"_"&amp;CC104&amp;".xuf"</f>
        <v>C:\PWWORKING\east01\d2591108\Basic\__2019EX_PM_.xuf</v>
      </c>
    </row>
    <row r="105" spans="44:82" x14ac:dyDescent="0.2">
      <c r="AR105" s="18"/>
      <c r="AX105" s="18"/>
      <c r="CB105" s="31" t="str">
        <f t="shared" si="10"/>
        <v xml:space="preserve">  </v>
      </c>
      <c r="CC105" s="25" t="str">
        <f t="shared" si="11"/>
        <v/>
      </c>
      <c r="CD105" s="25" t="str">
        <f>BasicInput!$D$13&amp;$CD$2&amp;B105&amp;"_"&amp;C105&amp;D105&amp;"_"&amp;BasicInput!$D$7&amp;BasicInput!$D$8&amp;"_"&amp;CC105&amp;".xuf"</f>
        <v>C:\PWWORKING\east01\d2591108\Basic\__2019EX_PM_.xuf</v>
      </c>
    </row>
    <row r="106" spans="44:82" x14ac:dyDescent="0.2">
      <c r="AR106" s="18"/>
      <c r="AX106" s="18"/>
      <c r="CB106" s="31" t="str">
        <f t="shared" si="10"/>
        <v xml:space="preserve">  </v>
      </c>
      <c r="CC106" s="25" t="str">
        <f t="shared" si="11"/>
        <v/>
      </c>
      <c r="CD106" s="25" t="str">
        <f>BasicInput!$D$13&amp;$CD$2&amp;B106&amp;"_"&amp;C106&amp;D106&amp;"_"&amp;BasicInput!$D$7&amp;BasicInput!$D$8&amp;"_"&amp;CC106&amp;".xuf"</f>
        <v>C:\PWWORKING\east01\d2591108\Basic\__2019EX_PM_.xuf</v>
      </c>
    </row>
    <row r="107" spans="44:82" x14ac:dyDescent="0.2">
      <c r="AR107" s="18"/>
      <c r="AX107" s="18"/>
      <c r="CB107" s="31" t="str">
        <f t="shared" si="10"/>
        <v xml:space="preserve">  </v>
      </c>
      <c r="CC107" s="25" t="str">
        <f t="shared" si="11"/>
        <v/>
      </c>
      <c r="CD107" s="25" t="str">
        <f>BasicInput!$D$13&amp;$CD$2&amp;B107&amp;"_"&amp;C107&amp;D107&amp;"_"&amp;BasicInput!$D$7&amp;BasicInput!$D$8&amp;"_"&amp;CC107&amp;".xuf"</f>
        <v>C:\PWWORKING\east01\d2591108\Basic\__2019EX_PM_.xuf</v>
      </c>
    </row>
    <row r="108" spans="44:82" x14ac:dyDescent="0.2">
      <c r="AR108" s="18"/>
      <c r="AX108" s="18"/>
      <c r="CB108" s="31" t="str">
        <f t="shared" si="10"/>
        <v xml:space="preserve">  </v>
      </c>
      <c r="CC108" s="25" t="str">
        <f t="shared" si="11"/>
        <v/>
      </c>
      <c r="CD108" s="25" t="str">
        <f>BasicInput!$D$13&amp;$CD$2&amp;B108&amp;"_"&amp;C108&amp;D108&amp;"_"&amp;BasicInput!$D$7&amp;BasicInput!$D$8&amp;"_"&amp;CC108&amp;".xuf"</f>
        <v>C:\PWWORKING\east01\d2591108\Basic\__2019EX_PM_.xuf</v>
      </c>
    </row>
    <row r="109" spans="44:82" x14ac:dyDescent="0.2">
      <c r="AR109" s="18"/>
      <c r="AX109" s="18"/>
      <c r="CB109" s="31" t="str">
        <f t="shared" si="10"/>
        <v xml:space="preserve">  </v>
      </c>
      <c r="CC109" s="25" t="str">
        <f t="shared" si="11"/>
        <v/>
      </c>
      <c r="CD109" s="25" t="str">
        <f>BasicInput!$D$13&amp;$CD$2&amp;B109&amp;"_"&amp;C109&amp;D109&amp;"_"&amp;BasicInput!$D$7&amp;BasicInput!$D$8&amp;"_"&amp;CC109&amp;".xuf"</f>
        <v>C:\PWWORKING\east01\d2591108\Basic\__2019EX_PM_.xuf</v>
      </c>
    </row>
    <row r="110" spans="44:82" x14ac:dyDescent="0.2">
      <c r="AR110" s="18"/>
      <c r="AX110" s="18"/>
      <c r="CB110" s="31" t="str">
        <f t="shared" si="10"/>
        <v xml:space="preserve">  </v>
      </c>
      <c r="CC110" s="25" t="str">
        <f t="shared" si="11"/>
        <v/>
      </c>
      <c r="CD110" s="25" t="str">
        <f>BasicInput!$D$13&amp;$CD$2&amp;B110&amp;"_"&amp;C110&amp;D110&amp;"_"&amp;BasicInput!$D$7&amp;BasicInput!$D$8&amp;"_"&amp;CC110&amp;".xuf"</f>
        <v>C:\PWWORKING\east01\d2591108\Basic\__2019EX_PM_.xuf</v>
      </c>
    </row>
    <row r="111" spans="44:82" x14ac:dyDescent="0.2">
      <c r="AR111" s="18"/>
      <c r="AX111" s="18"/>
      <c r="CB111" s="31" t="str">
        <f t="shared" si="10"/>
        <v xml:space="preserve">  </v>
      </c>
      <c r="CC111" s="25" t="str">
        <f t="shared" si="11"/>
        <v/>
      </c>
      <c r="CD111" s="25" t="str">
        <f>BasicInput!$D$13&amp;$CD$2&amp;B111&amp;"_"&amp;C111&amp;D111&amp;"_"&amp;BasicInput!$D$7&amp;BasicInput!$D$8&amp;"_"&amp;CC111&amp;".xuf"</f>
        <v>C:\PWWORKING\east01\d2591108\Basic\__2019EX_PM_.xuf</v>
      </c>
    </row>
    <row r="112" spans="44:82" x14ac:dyDescent="0.2">
      <c r="AR112" s="18"/>
      <c r="AX112" s="18"/>
      <c r="CB112" s="31" t="str">
        <f t="shared" si="10"/>
        <v xml:space="preserve">  </v>
      </c>
      <c r="CC112" s="25" t="str">
        <f t="shared" si="11"/>
        <v/>
      </c>
      <c r="CD112" s="25" t="str">
        <f>BasicInput!$D$13&amp;$CD$2&amp;B112&amp;"_"&amp;C112&amp;D112&amp;"_"&amp;BasicInput!$D$7&amp;BasicInput!$D$8&amp;"_"&amp;CC112&amp;".xuf"</f>
        <v>C:\PWWORKING\east01\d2591108\Basic\__2019EX_PM_.xuf</v>
      </c>
    </row>
    <row r="113" spans="44:82" x14ac:dyDescent="0.2">
      <c r="AR113" s="18"/>
      <c r="AX113" s="18"/>
      <c r="CB113" s="31" t="str">
        <f t="shared" si="10"/>
        <v xml:space="preserve">  </v>
      </c>
      <c r="CC113" s="25" t="str">
        <f t="shared" si="11"/>
        <v/>
      </c>
      <c r="CD113" s="25" t="str">
        <f>BasicInput!$D$13&amp;$CD$2&amp;B113&amp;"_"&amp;C113&amp;D113&amp;"_"&amp;BasicInput!$D$7&amp;BasicInput!$D$8&amp;"_"&amp;CC113&amp;".xuf"</f>
        <v>C:\PWWORKING\east01\d2591108\Basic\__2019EX_PM_.xuf</v>
      </c>
    </row>
    <row r="114" spans="44:82" x14ac:dyDescent="0.2">
      <c r="AR114" s="18"/>
      <c r="AX114" s="18"/>
      <c r="CB114" s="31" t="str">
        <f t="shared" si="10"/>
        <v xml:space="preserve">  </v>
      </c>
      <c r="CC114" s="25" t="str">
        <f t="shared" si="11"/>
        <v/>
      </c>
      <c r="CD114" s="25" t="str">
        <f>BasicInput!$D$13&amp;$CD$2&amp;B114&amp;"_"&amp;C114&amp;D114&amp;"_"&amp;BasicInput!$D$7&amp;BasicInput!$D$8&amp;"_"&amp;CC114&amp;".xuf"</f>
        <v>C:\PWWORKING\east01\d2591108\Basic\__2019EX_PM_.xuf</v>
      </c>
    </row>
    <row r="115" spans="44:82" x14ac:dyDescent="0.2">
      <c r="AR115" s="18"/>
      <c r="AX115" s="18"/>
      <c r="CB115" s="31" t="str">
        <f t="shared" si="10"/>
        <v xml:space="preserve">  </v>
      </c>
      <c r="CC115" s="25" t="str">
        <f t="shared" si="11"/>
        <v/>
      </c>
      <c r="CD115" s="25" t="str">
        <f>BasicInput!$D$13&amp;$CD$2&amp;B115&amp;"_"&amp;C115&amp;D115&amp;"_"&amp;BasicInput!$D$7&amp;BasicInput!$D$8&amp;"_"&amp;CC115&amp;".xuf"</f>
        <v>C:\PWWORKING\east01\d2591108\Basic\__2019EX_PM_.xuf</v>
      </c>
    </row>
    <row r="116" spans="44:82" x14ac:dyDescent="0.2">
      <c r="AR116" s="18"/>
      <c r="AX116" s="18"/>
      <c r="CB116" s="31" t="str">
        <f t="shared" si="10"/>
        <v xml:space="preserve">  </v>
      </c>
      <c r="CC116" s="25" t="str">
        <f t="shared" si="11"/>
        <v/>
      </c>
      <c r="CD116" s="25" t="str">
        <f>BasicInput!$D$13&amp;$CD$2&amp;B116&amp;"_"&amp;C116&amp;D116&amp;"_"&amp;BasicInput!$D$7&amp;BasicInput!$D$8&amp;"_"&amp;CC116&amp;".xuf"</f>
        <v>C:\PWWORKING\east01\d2591108\Basic\__2019EX_PM_.xuf</v>
      </c>
    </row>
    <row r="117" spans="44:82" x14ac:dyDescent="0.2">
      <c r="AR117" s="18"/>
      <c r="AX117" s="18"/>
      <c r="CB117" s="31" t="str">
        <f t="shared" si="10"/>
        <v xml:space="preserve">  </v>
      </c>
      <c r="CC117" s="25" t="str">
        <f t="shared" si="11"/>
        <v/>
      </c>
      <c r="CD117" s="25" t="str">
        <f>BasicInput!$D$13&amp;$CD$2&amp;B117&amp;"_"&amp;C117&amp;D117&amp;"_"&amp;BasicInput!$D$7&amp;BasicInput!$D$8&amp;"_"&amp;CC117&amp;".xuf"</f>
        <v>C:\PWWORKING\east01\d2591108\Basic\__2019EX_PM_.xuf</v>
      </c>
    </row>
    <row r="118" spans="44:82" x14ac:dyDescent="0.2">
      <c r="AR118" s="18"/>
      <c r="AX118" s="18"/>
      <c r="CB118" s="31" t="str">
        <f t="shared" si="10"/>
        <v xml:space="preserve">  </v>
      </c>
      <c r="CC118" s="25" t="str">
        <f t="shared" si="11"/>
        <v/>
      </c>
      <c r="CD118" s="25" t="str">
        <f>BasicInput!$D$13&amp;$CD$2&amp;B118&amp;"_"&amp;C118&amp;D118&amp;"_"&amp;BasicInput!$D$7&amp;BasicInput!$D$8&amp;"_"&amp;CC118&amp;".xuf"</f>
        <v>C:\PWWORKING\east01\d2591108\Basic\__2019EX_PM_.xuf</v>
      </c>
    </row>
    <row r="119" spans="44:82" x14ac:dyDescent="0.2">
      <c r="AR119" s="18"/>
      <c r="AX119" s="18"/>
      <c r="CB119" s="31" t="str">
        <f t="shared" si="10"/>
        <v xml:space="preserve">  </v>
      </c>
      <c r="CC119" s="25" t="str">
        <f t="shared" si="11"/>
        <v/>
      </c>
      <c r="CD119" s="25" t="str">
        <f>BasicInput!$D$13&amp;$CD$2&amp;B119&amp;"_"&amp;C119&amp;D119&amp;"_"&amp;BasicInput!$D$7&amp;BasicInput!$D$8&amp;"_"&amp;CC119&amp;".xuf"</f>
        <v>C:\PWWORKING\east01\d2591108\Basic\__2019EX_PM_.xuf</v>
      </c>
    </row>
    <row r="120" spans="44:82" x14ac:dyDescent="0.2">
      <c r="AR120" s="18"/>
      <c r="AX120" s="18"/>
      <c r="CB120" s="31" t="str">
        <f t="shared" si="10"/>
        <v xml:space="preserve">  </v>
      </c>
      <c r="CC120" s="25" t="str">
        <f t="shared" si="11"/>
        <v/>
      </c>
      <c r="CD120" s="25" t="str">
        <f>BasicInput!$D$13&amp;$CD$2&amp;B120&amp;"_"&amp;C120&amp;D120&amp;"_"&amp;BasicInput!$D$7&amp;BasicInput!$D$8&amp;"_"&amp;CC120&amp;".xuf"</f>
        <v>C:\PWWORKING\east01\d2591108\Basic\__2019EX_PM_.xuf</v>
      </c>
    </row>
    <row r="121" spans="44:82" x14ac:dyDescent="0.2">
      <c r="AR121" s="18"/>
      <c r="AX121" s="18"/>
      <c r="CB121" s="31" t="str">
        <f t="shared" si="10"/>
        <v xml:space="preserve">  </v>
      </c>
      <c r="CC121" s="25" t="str">
        <f t="shared" si="11"/>
        <v/>
      </c>
      <c r="CD121" s="25" t="str">
        <f>BasicInput!$D$13&amp;$CD$2&amp;B121&amp;"_"&amp;C121&amp;D121&amp;"_"&amp;BasicInput!$D$7&amp;BasicInput!$D$8&amp;"_"&amp;CC121&amp;".xuf"</f>
        <v>C:\PWWORKING\east01\d2591108\Basic\__2019EX_PM_.xuf</v>
      </c>
    </row>
    <row r="122" spans="44:82" x14ac:dyDescent="0.2">
      <c r="AR122" s="18"/>
      <c r="AX122" s="18"/>
      <c r="CB122" s="31" t="str">
        <f t="shared" si="10"/>
        <v xml:space="preserve">  </v>
      </c>
      <c r="CC122" s="25" t="str">
        <f t="shared" si="11"/>
        <v/>
      </c>
      <c r="CD122" s="25" t="str">
        <f>BasicInput!$D$13&amp;$CD$2&amp;B122&amp;"_"&amp;C122&amp;D122&amp;"_"&amp;BasicInput!$D$7&amp;BasicInput!$D$8&amp;"_"&amp;CC122&amp;".xuf"</f>
        <v>C:\PWWORKING\east01\d2591108\Basic\__2019EX_PM_.xuf</v>
      </c>
    </row>
    <row r="123" spans="44:82" x14ac:dyDescent="0.2">
      <c r="AR123" s="18"/>
      <c r="AX123" s="18"/>
      <c r="CB123" s="31" t="str">
        <f t="shared" si="10"/>
        <v xml:space="preserve">  </v>
      </c>
      <c r="CC123" s="25" t="str">
        <f t="shared" si="11"/>
        <v/>
      </c>
      <c r="CD123" s="25" t="str">
        <f>BasicInput!$D$13&amp;$CD$2&amp;B123&amp;"_"&amp;C123&amp;D123&amp;"_"&amp;BasicInput!$D$7&amp;BasicInput!$D$8&amp;"_"&amp;CC123&amp;".xuf"</f>
        <v>C:\PWWORKING\east01\d2591108\Basic\__2019EX_PM_.xuf</v>
      </c>
    </row>
    <row r="124" spans="44:82" x14ac:dyDescent="0.2">
      <c r="AR124" s="18"/>
      <c r="AX124" s="18"/>
      <c r="CB124" s="31" t="str">
        <f t="shared" si="10"/>
        <v xml:space="preserve">  </v>
      </c>
      <c r="CC124" s="25" t="str">
        <f t="shared" si="11"/>
        <v/>
      </c>
      <c r="CD124" s="25" t="str">
        <f>BasicInput!$D$13&amp;$CD$2&amp;B124&amp;"_"&amp;C124&amp;D124&amp;"_"&amp;BasicInput!$D$7&amp;BasicInput!$D$8&amp;"_"&amp;CC124&amp;".xuf"</f>
        <v>C:\PWWORKING\east01\d2591108\Basic\__2019EX_PM_.xuf</v>
      </c>
    </row>
    <row r="125" spans="44:82" x14ac:dyDescent="0.2">
      <c r="AR125" s="18"/>
      <c r="AX125" s="18"/>
      <c r="CB125" s="31" t="str">
        <f t="shared" si="10"/>
        <v xml:space="preserve">  </v>
      </c>
      <c r="CC125" s="25" t="str">
        <f t="shared" si="11"/>
        <v/>
      </c>
      <c r="CD125" s="25" t="str">
        <f>BasicInput!$D$13&amp;$CD$2&amp;B125&amp;"_"&amp;C125&amp;D125&amp;"_"&amp;BasicInput!$D$7&amp;BasicInput!$D$8&amp;"_"&amp;CC125&amp;".xuf"</f>
        <v>C:\PWWORKING\east01\d2591108\Basic\__2019EX_PM_.xuf</v>
      </c>
    </row>
    <row r="126" spans="44:82" x14ac:dyDescent="0.2">
      <c r="AR126" s="18"/>
      <c r="AX126" s="18"/>
      <c r="CB126" s="31" t="str">
        <f t="shared" si="10"/>
        <v xml:space="preserve">  </v>
      </c>
      <c r="CC126" s="25" t="str">
        <f t="shared" si="11"/>
        <v/>
      </c>
      <c r="CD126" s="25" t="str">
        <f>BasicInput!$D$13&amp;$CD$2&amp;B126&amp;"_"&amp;C126&amp;D126&amp;"_"&amp;BasicInput!$D$7&amp;BasicInput!$D$8&amp;"_"&amp;CC126&amp;".xuf"</f>
        <v>C:\PWWORKING\east01\d2591108\Basic\__2019EX_PM_.xuf</v>
      </c>
    </row>
    <row r="127" spans="44:82" x14ac:dyDescent="0.2">
      <c r="AR127" s="18"/>
      <c r="AX127" s="18"/>
      <c r="CB127" s="31" t="str">
        <f t="shared" si="10"/>
        <v xml:space="preserve">  </v>
      </c>
      <c r="CC127" s="25" t="str">
        <f t="shared" si="11"/>
        <v/>
      </c>
      <c r="CD127" s="25" t="str">
        <f>BasicInput!$D$13&amp;$CD$2&amp;B127&amp;"_"&amp;C127&amp;D127&amp;"_"&amp;BasicInput!$D$7&amp;BasicInput!$D$8&amp;"_"&amp;CC127&amp;".xuf"</f>
        <v>C:\PWWORKING\east01\d2591108\Basic\__2019EX_PM_.xuf</v>
      </c>
    </row>
    <row r="128" spans="44:82" x14ac:dyDescent="0.2">
      <c r="AR128" s="18"/>
      <c r="AX128" s="18"/>
      <c r="CB128" s="31" t="str">
        <f t="shared" si="10"/>
        <v xml:space="preserve">  </v>
      </c>
      <c r="CC128" s="25" t="str">
        <f t="shared" si="11"/>
        <v/>
      </c>
      <c r="CD128" s="25" t="str">
        <f>BasicInput!$D$13&amp;$CD$2&amp;B128&amp;"_"&amp;C128&amp;D128&amp;"_"&amp;BasicInput!$D$7&amp;BasicInput!$D$8&amp;"_"&amp;CC128&amp;".xuf"</f>
        <v>C:\PWWORKING\east01\d2591108\Basic\__2019EX_PM_.xuf</v>
      </c>
    </row>
    <row r="129" spans="44:82" x14ac:dyDescent="0.2">
      <c r="AR129" s="18"/>
      <c r="AX129" s="18"/>
      <c r="CB129" s="31" t="str">
        <f t="shared" si="10"/>
        <v xml:space="preserve">  </v>
      </c>
      <c r="CC129" s="25" t="str">
        <f t="shared" si="11"/>
        <v/>
      </c>
      <c r="CD129" s="25" t="str">
        <f>BasicInput!$D$13&amp;$CD$2&amp;B129&amp;"_"&amp;C129&amp;D129&amp;"_"&amp;BasicInput!$D$7&amp;BasicInput!$D$8&amp;"_"&amp;CC129&amp;".xuf"</f>
        <v>C:\PWWORKING\east01\d2591108\Basic\__2019EX_PM_.xuf</v>
      </c>
    </row>
    <row r="130" spans="44:82" x14ac:dyDescent="0.2">
      <c r="AR130" s="18"/>
      <c r="AX130" s="18"/>
      <c r="CB130" s="31" t="str">
        <f t="shared" si="10"/>
        <v xml:space="preserve">  </v>
      </c>
      <c r="CC130" s="25" t="str">
        <f t="shared" si="11"/>
        <v/>
      </c>
      <c r="CD130" s="25" t="str">
        <f>BasicInput!$D$13&amp;$CD$2&amp;B130&amp;"_"&amp;C130&amp;D130&amp;"_"&amp;BasicInput!$D$7&amp;BasicInput!$D$8&amp;"_"&amp;CC130&amp;".xuf"</f>
        <v>C:\PWWORKING\east01\d2591108\Basic\__2019EX_PM_.xuf</v>
      </c>
    </row>
    <row r="131" spans="44:82" x14ac:dyDescent="0.2">
      <c r="AR131" s="18"/>
      <c r="AX131" s="18"/>
      <c r="CB131" s="31" t="str">
        <f t="shared" si="10"/>
        <v xml:space="preserve">  </v>
      </c>
      <c r="CC131" s="25" t="str">
        <f t="shared" si="11"/>
        <v/>
      </c>
      <c r="CD131" s="25" t="str">
        <f>BasicInput!$D$13&amp;$CD$2&amp;B131&amp;"_"&amp;C131&amp;D131&amp;"_"&amp;BasicInput!$D$7&amp;BasicInput!$D$8&amp;"_"&amp;CC131&amp;".xuf"</f>
        <v>C:\PWWORKING\east01\d2591108\Basic\__2019EX_PM_.xuf</v>
      </c>
    </row>
    <row r="132" spans="44:82" x14ac:dyDescent="0.2">
      <c r="AR132" s="18"/>
      <c r="AX132" s="18"/>
      <c r="CB132" s="31" t="str">
        <f t="shared" si="10"/>
        <v xml:space="preserve">  </v>
      </c>
      <c r="CC132" s="25" t="str">
        <f t="shared" si="11"/>
        <v/>
      </c>
      <c r="CD132" s="25" t="str">
        <f>BasicInput!$D$13&amp;$CD$2&amp;B132&amp;"_"&amp;C132&amp;D132&amp;"_"&amp;BasicInput!$D$7&amp;BasicInput!$D$8&amp;"_"&amp;CC132&amp;".xuf"</f>
        <v>C:\PWWORKING\east01\d2591108\Basic\__2019EX_PM_.xuf</v>
      </c>
    </row>
    <row r="133" spans="44:82" x14ac:dyDescent="0.2">
      <c r="AR133" s="18"/>
      <c r="AX133" s="18"/>
      <c r="CB133" s="31" t="str">
        <f t="shared" si="10"/>
        <v xml:space="preserve">  </v>
      </c>
      <c r="CC133" s="25" t="str">
        <f t="shared" si="11"/>
        <v/>
      </c>
      <c r="CD133" s="25" t="str">
        <f>BasicInput!$D$13&amp;$CD$2&amp;B133&amp;"_"&amp;C133&amp;D133&amp;"_"&amp;BasicInput!$D$7&amp;BasicInput!$D$8&amp;"_"&amp;CC133&amp;".xuf"</f>
        <v>C:\PWWORKING\east01\d2591108\Basic\__2019EX_PM_.xuf</v>
      </c>
    </row>
    <row r="134" spans="44:82" x14ac:dyDescent="0.2">
      <c r="AR134" s="18"/>
      <c r="AX134" s="18"/>
      <c r="CB134" s="31" t="str">
        <f t="shared" si="10"/>
        <v xml:space="preserve">  </v>
      </c>
      <c r="CC134" s="25" t="str">
        <f t="shared" si="11"/>
        <v/>
      </c>
      <c r="CD134" s="25" t="str">
        <f>BasicInput!$D$13&amp;$CD$2&amp;B134&amp;"_"&amp;C134&amp;D134&amp;"_"&amp;BasicInput!$D$7&amp;BasicInput!$D$8&amp;"_"&amp;CC134&amp;".xuf"</f>
        <v>C:\PWWORKING\east01\d2591108\Basic\__2019EX_PM_.xuf</v>
      </c>
    </row>
    <row r="135" spans="44:82" x14ac:dyDescent="0.2">
      <c r="AR135" s="18"/>
      <c r="AX135" s="18"/>
      <c r="CB135" s="31" t="str">
        <f t="shared" si="10"/>
        <v xml:space="preserve">  </v>
      </c>
      <c r="CC135" s="25" t="str">
        <f t="shared" si="11"/>
        <v/>
      </c>
      <c r="CD135" s="25" t="str">
        <f>BasicInput!$D$13&amp;$CD$2&amp;B135&amp;"_"&amp;C135&amp;D135&amp;"_"&amp;BasicInput!$D$7&amp;BasicInput!$D$8&amp;"_"&amp;CC135&amp;".xuf"</f>
        <v>C:\PWWORKING\east01\d2591108\Basic\__2019EX_PM_.xuf</v>
      </c>
    </row>
    <row r="136" spans="44:82" x14ac:dyDescent="0.2">
      <c r="AR136" s="18"/>
      <c r="AX136" s="18"/>
      <c r="CB136" s="31" t="str">
        <f t="shared" si="10"/>
        <v xml:space="preserve">  </v>
      </c>
      <c r="CC136" s="25" t="str">
        <f t="shared" si="11"/>
        <v/>
      </c>
      <c r="CD136" s="25" t="str">
        <f>BasicInput!$D$13&amp;$CD$2&amp;B136&amp;"_"&amp;C136&amp;D136&amp;"_"&amp;BasicInput!$D$7&amp;BasicInput!$D$8&amp;"_"&amp;CC136&amp;".xuf"</f>
        <v>C:\PWWORKING\east01\d2591108\Basic\__2019EX_PM_.xuf</v>
      </c>
    </row>
    <row r="137" spans="44:82" x14ac:dyDescent="0.2">
      <c r="AR137" s="18"/>
      <c r="AX137" s="18"/>
      <c r="CB137" s="31" t="str">
        <f t="shared" si="10"/>
        <v xml:space="preserve">  </v>
      </c>
      <c r="CC137" s="25" t="str">
        <f t="shared" si="11"/>
        <v/>
      </c>
      <c r="CD137" s="25" t="str">
        <f>BasicInput!$D$13&amp;$CD$2&amp;B137&amp;"_"&amp;C137&amp;D137&amp;"_"&amp;BasicInput!$D$7&amp;BasicInput!$D$8&amp;"_"&amp;CC137&amp;".xuf"</f>
        <v>C:\PWWORKING\east01\d2591108\Basic\__2019EX_PM_.xuf</v>
      </c>
    </row>
    <row r="138" spans="44:82" x14ac:dyDescent="0.2">
      <c r="AR138" s="18"/>
      <c r="AX138" s="18"/>
      <c r="CB138" s="31" t="str">
        <f t="shared" si="10"/>
        <v xml:space="preserve">  </v>
      </c>
      <c r="CC138" s="25" t="str">
        <f t="shared" si="11"/>
        <v/>
      </c>
      <c r="CD138" s="25" t="str">
        <f>BasicInput!$D$13&amp;$CD$2&amp;B138&amp;"_"&amp;C138&amp;D138&amp;"_"&amp;BasicInput!$D$7&amp;BasicInput!$D$8&amp;"_"&amp;CC138&amp;".xuf"</f>
        <v>C:\PWWORKING\east01\d2591108\Basic\__2019EX_PM_.xuf</v>
      </c>
    </row>
    <row r="139" spans="44:82" x14ac:dyDescent="0.2">
      <c r="AR139" s="18"/>
      <c r="AX139" s="18"/>
      <c r="CB139" s="31" t="str">
        <f t="shared" si="10"/>
        <v xml:space="preserve">  </v>
      </c>
      <c r="CC139" s="25" t="str">
        <f t="shared" si="11"/>
        <v/>
      </c>
      <c r="CD139" s="25" t="str">
        <f>BasicInput!$D$13&amp;$CD$2&amp;B139&amp;"_"&amp;C139&amp;D139&amp;"_"&amp;BasicInput!$D$7&amp;BasicInput!$D$8&amp;"_"&amp;CC139&amp;".xuf"</f>
        <v>C:\PWWORKING\east01\d2591108\Basic\__2019EX_PM_.xuf</v>
      </c>
    </row>
    <row r="140" spans="44:82" x14ac:dyDescent="0.2">
      <c r="AR140" s="18"/>
      <c r="AX140" s="18"/>
      <c r="CB140" s="31" t="str">
        <f t="shared" si="10"/>
        <v xml:space="preserve">  </v>
      </c>
      <c r="CC140" s="25" t="str">
        <f t="shared" si="11"/>
        <v/>
      </c>
      <c r="CD140" s="25" t="str">
        <f>BasicInput!$D$13&amp;$CD$2&amp;B140&amp;"_"&amp;C140&amp;D140&amp;"_"&amp;BasicInput!$D$7&amp;BasicInput!$D$8&amp;"_"&amp;CC140&amp;".xuf"</f>
        <v>C:\PWWORKING\east01\d2591108\Basic\__2019EX_PM_.xuf</v>
      </c>
    </row>
    <row r="141" spans="44:82" x14ac:dyDescent="0.2">
      <c r="AR141" s="18"/>
      <c r="AX141" s="18"/>
      <c r="CB141" s="31" t="str">
        <f t="shared" si="10"/>
        <v xml:space="preserve">  </v>
      </c>
      <c r="CC141" s="25" t="str">
        <f t="shared" si="11"/>
        <v/>
      </c>
      <c r="CD141" s="25" t="str">
        <f>BasicInput!$D$13&amp;$CD$2&amp;B141&amp;"_"&amp;C141&amp;D141&amp;"_"&amp;BasicInput!$D$7&amp;BasicInput!$D$8&amp;"_"&amp;CC141&amp;".xuf"</f>
        <v>C:\PWWORKING\east01\d2591108\Basic\__2019EX_PM_.xuf</v>
      </c>
    </row>
    <row r="142" spans="44:82" x14ac:dyDescent="0.2">
      <c r="AR142" s="18"/>
      <c r="AX142" s="18"/>
      <c r="CB142" s="31" t="str">
        <f t="shared" si="10"/>
        <v xml:space="preserve">  </v>
      </c>
      <c r="CC142" s="25" t="str">
        <f t="shared" si="11"/>
        <v/>
      </c>
      <c r="CD142" s="25" t="str">
        <f>BasicInput!$D$13&amp;$CD$2&amp;B142&amp;"_"&amp;C142&amp;D142&amp;"_"&amp;BasicInput!$D$7&amp;BasicInput!$D$8&amp;"_"&amp;CC142&amp;".xuf"</f>
        <v>C:\PWWORKING\east01\d2591108\Basic\__2019EX_PM_.xuf</v>
      </c>
    </row>
    <row r="143" spans="44:82" x14ac:dyDescent="0.2">
      <c r="AR143" s="18"/>
      <c r="AX143" s="18"/>
      <c r="CB143" s="31" t="str">
        <f t="shared" si="10"/>
        <v xml:space="preserve">  </v>
      </c>
      <c r="CC143" s="25" t="str">
        <f t="shared" si="11"/>
        <v/>
      </c>
      <c r="CD143" s="25" t="str">
        <f>BasicInput!$D$13&amp;$CD$2&amp;B143&amp;"_"&amp;C143&amp;D143&amp;"_"&amp;BasicInput!$D$7&amp;BasicInput!$D$8&amp;"_"&amp;CC143&amp;".xuf"</f>
        <v>C:\PWWORKING\east01\d2591108\Basic\__2019EX_PM_.xuf</v>
      </c>
    </row>
    <row r="144" spans="44:82" x14ac:dyDescent="0.2">
      <c r="AR144" s="18"/>
      <c r="AX144" s="18"/>
      <c r="CB144" s="31" t="str">
        <f t="shared" si="10"/>
        <v xml:space="preserve">  </v>
      </c>
      <c r="CC144" s="25" t="str">
        <f t="shared" si="11"/>
        <v/>
      </c>
      <c r="CD144" s="25" t="str">
        <f>BasicInput!$D$13&amp;$CD$2&amp;B144&amp;"_"&amp;C144&amp;D144&amp;"_"&amp;BasicInput!$D$7&amp;BasicInput!$D$8&amp;"_"&amp;CC144&amp;".xuf"</f>
        <v>C:\PWWORKING\east01\d2591108\Basic\__2019EX_PM_.xuf</v>
      </c>
    </row>
    <row r="145" spans="44:82" x14ac:dyDescent="0.2">
      <c r="AR145" s="18"/>
      <c r="AX145" s="18"/>
      <c r="CB145" s="31" t="str">
        <f t="shared" ref="CB145:CB208" si="12">C145&amp; " "&amp;D145&amp;" " &amp;E145</f>
        <v xml:space="preserve">  </v>
      </c>
      <c r="CC145" s="25" t="str">
        <f t="shared" ref="CC145:CC208" si="13">SUBSTITUTE(E145, "/", "_")</f>
        <v/>
      </c>
      <c r="CD145" s="25" t="str">
        <f>BasicInput!$D$13&amp;$CD$2&amp;B145&amp;"_"&amp;C145&amp;D145&amp;"_"&amp;BasicInput!$D$7&amp;BasicInput!$D$8&amp;"_"&amp;CC145&amp;".xuf"</f>
        <v>C:\PWWORKING\east01\d2591108\Basic\__2019EX_PM_.xuf</v>
      </c>
    </row>
    <row r="146" spans="44:82" x14ac:dyDescent="0.2">
      <c r="AR146" s="18"/>
      <c r="AX146" s="18"/>
      <c r="CB146" s="31" t="str">
        <f t="shared" si="12"/>
        <v xml:space="preserve">  </v>
      </c>
      <c r="CC146" s="25" t="str">
        <f t="shared" si="13"/>
        <v/>
      </c>
      <c r="CD146" s="25" t="str">
        <f>BasicInput!$D$13&amp;$CD$2&amp;B146&amp;"_"&amp;C146&amp;D146&amp;"_"&amp;BasicInput!$D$7&amp;BasicInput!$D$8&amp;"_"&amp;CC146&amp;".xuf"</f>
        <v>C:\PWWORKING\east01\d2591108\Basic\__2019EX_PM_.xuf</v>
      </c>
    </row>
    <row r="147" spans="44:82" x14ac:dyDescent="0.2">
      <c r="AR147" s="18"/>
      <c r="AX147" s="18"/>
      <c r="CB147" s="31" t="str">
        <f t="shared" si="12"/>
        <v xml:space="preserve">  </v>
      </c>
      <c r="CC147" s="25" t="str">
        <f t="shared" si="13"/>
        <v/>
      </c>
      <c r="CD147" s="25" t="str">
        <f>BasicInput!$D$13&amp;$CD$2&amp;B147&amp;"_"&amp;C147&amp;D147&amp;"_"&amp;BasicInput!$D$7&amp;BasicInput!$D$8&amp;"_"&amp;CC147&amp;".xuf"</f>
        <v>C:\PWWORKING\east01\d2591108\Basic\__2019EX_PM_.xuf</v>
      </c>
    </row>
    <row r="148" spans="44:82" x14ac:dyDescent="0.2">
      <c r="AR148" s="18"/>
      <c r="AX148" s="18"/>
      <c r="CB148" s="31" t="str">
        <f t="shared" si="12"/>
        <v xml:space="preserve">  </v>
      </c>
      <c r="CC148" s="25" t="str">
        <f t="shared" si="13"/>
        <v/>
      </c>
      <c r="CD148" s="25" t="str">
        <f>BasicInput!$D$13&amp;$CD$2&amp;B148&amp;"_"&amp;C148&amp;D148&amp;"_"&amp;BasicInput!$D$7&amp;BasicInput!$D$8&amp;"_"&amp;CC148&amp;".xuf"</f>
        <v>C:\PWWORKING\east01\d2591108\Basic\__2019EX_PM_.xuf</v>
      </c>
    </row>
    <row r="149" spans="44:82" x14ac:dyDescent="0.2">
      <c r="AR149" s="18"/>
      <c r="AX149" s="18"/>
      <c r="CB149" s="31" t="str">
        <f t="shared" si="12"/>
        <v xml:space="preserve">  </v>
      </c>
      <c r="CC149" s="25" t="str">
        <f t="shared" si="13"/>
        <v/>
      </c>
      <c r="CD149" s="25" t="str">
        <f>BasicInput!$D$13&amp;$CD$2&amp;B149&amp;"_"&amp;C149&amp;D149&amp;"_"&amp;BasicInput!$D$7&amp;BasicInput!$D$8&amp;"_"&amp;CC149&amp;".xuf"</f>
        <v>C:\PWWORKING\east01\d2591108\Basic\__2019EX_PM_.xuf</v>
      </c>
    </row>
    <row r="150" spans="44:82" x14ac:dyDescent="0.2">
      <c r="AR150" s="18"/>
      <c r="AX150" s="18"/>
      <c r="CB150" s="31" t="str">
        <f t="shared" si="12"/>
        <v xml:space="preserve">  </v>
      </c>
      <c r="CC150" s="25" t="str">
        <f t="shared" si="13"/>
        <v/>
      </c>
      <c r="CD150" s="25" t="str">
        <f>BasicInput!$D$13&amp;$CD$2&amp;B150&amp;"_"&amp;C150&amp;D150&amp;"_"&amp;BasicInput!$D$7&amp;BasicInput!$D$8&amp;"_"&amp;CC150&amp;".xuf"</f>
        <v>C:\PWWORKING\east01\d2591108\Basic\__2019EX_PM_.xuf</v>
      </c>
    </row>
    <row r="151" spans="44:82" x14ac:dyDescent="0.2">
      <c r="AR151" s="18"/>
      <c r="AX151" s="18"/>
      <c r="CB151" s="31" t="str">
        <f t="shared" si="12"/>
        <v xml:space="preserve">  </v>
      </c>
      <c r="CC151" s="25" t="str">
        <f t="shared" si="13"/>
        <v/>
      </c>
      <c r="CD151" s="25" t="str">
        <f>BasicInput!$D$13&amp;$CD$2&amp;B151&amp;"_"&amp;C151&amp;D151&amp;"_"&amp;BasicInput!$D$7&amp;BasicInput!$D$8&amp;"_"&amp;CC151&amp;".xuf"</f>
        <v>C:\PWWORKING\east01\d2591108\Basic\__2019EX_PM_.xuf</v>
      </c>
    </row>
    <row r="152" spans="44:82" x14ac:dyDescent="0.2">
      <c r="AR152" s="18"/>
      <c r="AX152" s="18"/>
      <c r="CB152" s="31" t="str">
        <f t="shared" si="12"/>
        <v xml:space="preserve">  </v>
      </c>
      <c r="CC152" s="25" t="str">
        <f t="shared" si="13"/>
        <v/>
      </c>
      <c r="CD152" s="25" t="str">
        <f>BasicInput!$D$13&amp;$CD$2&amp;B152&amp;"_"&amp;C152&amp;D152&amp;"_"&amp;BasicInput!$D$7&amp;BasicInput!$D$8&amp;"_"&amp;CC152&amp;".xuf"</f>
        <v>C:\PWWORKING\east01\d2591108\Basic\__2019EX_PM_.xuf</v>
      </c>
    </row>
    <row r="153" spans="44:82" x14ac:dyDescent="0.2">
      <c r="AR153" s="18"/>
      <c r="AX153" s="18"/>
      <c r="CB153" s="31" t="str">
        <f t="shared" si="12"/>
        <v xml:space="preserve">  </v>
      </c>
      <c r="CC153" s="25" t="str">
        <f t="shared" si="13"/>
        <v/>
      </c>
      <c r="CD153" s="25" t="str">
        <f>BasicInput!$D$13&amp;$CD$2&amp;B153&amp;"_"&amp;C153&amp;D153&amp;"_"&amp;BasicInput!$D$7&amp;BasicInput!$D$8&amp;"_"&amp;CC153&amp;".xuf"</f>
        <v>C:\PWWORKING\east01\d2591108\Basic\__2019EX_PM_.xuf</v>
      </c>
    </row>
    <row r="154" spans="44:82" x14ac:dyDescent="0.2">
      <c r="AR154" s="18"/>
      <c r="AX154" s="18"/>
      <c r="CB154" s="31" t="str">
        <f t="shared" si="12"/>
        <v xml:space="preserve">  </v>
      </c>
      <c r="CC154" s="25" t="str">
        <f t="shared" si="13"/>
        <v/>
      </c>
      <c r="CD154" s="25" t="str">
        <f>BasicInput!$D$13&amp;$CD$2&amp;B154&amp;"_"&amp;C154&amp;D154&amp;"_"&amp;BasicInput!$D$7&amp;BasicInput!$D$8&amp;"_"&amp;CC154&amp;".xuf"</f>
        <v>C:\PWWORKING\east01\d2591108\Basic\__2019EX_PM_.xuf</v>
      </c>
    </row>
    <row r="155" spans="44:82" x14ac:dyDescent="0.2">
      <c r="AR155" s="18"/>
      <c r="AX155" s="18"/>
      <c r="CB155" s="31" t="str">
        <f t="shared" si="12"/>
        <v xml:space="preserve">  </v>
      </c>
      <c r="CC155" s="25" t="str">
        <f t="shared" si="13"/>
        <v/>
      </c>
      <c r="CD155" s="25" t="str">
        <f>BasicInput!$D$13&amp;$CD$2&amp;B155&amp;"_"&amp;C155&amp;D155&amp;"_"&amp;BasicInput!$D$7&amp;BasicInput!$D$8&amp;"_"&amp;CC155&amp;".xuf"</f>
        <v>C:\PWWORKING\east01\d2591108\Basic\__2019EX_PM_.xuf</v>
      </c>
    </row>
    <row r="156" spans="44:82" x14ac:dyDescent="0.2">
      <c r="AR156" s="18"/>
      <c r="AX156" s="18"/>
      <c r="CB156" s="31" t="str">
        <f t="shared" si="12"/>
        <v xml:space="preserve">  </v>
      </c>
      <c r="CC156" s="25" t="str">
        <f t="shared" si="13"/>
        <v/>
      </c>
      <c r="CD156" s="25" t="str">
        <f>BasicInput!$D$13&amp;$CD$2&amp;B156&amp;"_"&amp;C156&amp;D156&amp;"_"&amp;BasicInput!$D$7&amp;BasicInput!$D$8&amp;"_"&amp;CC156&amp;".xuf"</f>
        <v>C:\PWWORKING\east01\d2591108\Basic\__2019EX_PM_.xuf</v>
      </c>
    </row>
    <row r="157" spans="44:82" x14ac:dyDescent="0.2">
      <c r="AR157" s="18"/>
      <c r="AX157" s="18"/>
      <c r="CB157" s="31" t="str">
        <f t="shared" si="12"/>
        <v xml:space="preserve">  </v>
      </c>
      <c r="CC157" s="25" t="str">
        <f t="shared" si="13"/>
        <v/>
      </c>
      <c r="CD157" s="25" t="str">
        <f>BasicInput!$D$13&amp;$CD$2&amp;B157&amp;"_"&amp;C157&amp;D157&amp;"_"&amp;BasicInput!$D$7&amp;BasicInput!$D$8&amp;"_"&amp;CC157&amp;".xuf"</f>
        <v>C:\PWWORKING\east01\d2591108\Basic\__2019EX_PM_.xuf</v>
      </c>
    </row>
    <row r="158" spans="44:82" x14ac:dyDescent="0.2">
      <c r="AR158" s="18"/>
      <c r="AX158" s="18"/>
      <c r="CB158" s="31" t="str">
        <f t="shared" si="12"/>
        <v xml:space="preserve">  </v>
      </c>
      <c r="CC158" s="25" t="str">
        <f t="shared" si="13"/>
        <v/>
      </c>
      <c r="CD158" s="25" t="str">
        <f>BasicInput!$D$13&amp;$CD$2&amp;B158&amp;"_"&amp;C158&amp;D158&amp;"_"&amp;BasicInput!$D$7&amp;BasicInput!$D$8&amp;"_"&amp;CC158&amp;".xuf"</f>
        <v>C:\PWWORKING\east01\d2591108\Basic\__2019EX_PM_.xuf</v>
      </c>
    </row>
    <row r="159" spans="44:82" x14ac:dyDescent="0.2">
      <c r="AR159" s="18"/>
      <c r="AX159" s="18"/>
      <c r="CB159" s="31" t="str">
        <f t="shared" si="12"/>
        <v xml:space="preserve">  </v>
      </c>
      <c r="CC159" s="25" t="str">
        <f t="shared" si="13"/>
        <v/>
      </c>
      <c r="CD159" s="25" t="str">
        <f>BasicInput!$D$13&amp;$CD$2&amp;B159&amp;"_"&amp;C159&amp;D159&amp;"_"&amp;BasicInput!$D$7&amp;BasicInput!$D$8&amp;"_"&amp;CC159&amp;".xuf"</f>
        <v>C:\PWWORKING\east01\d2591108\Basic\__2019EX_PM_.xuf</v>
      </c>
    </row>
    <row r="160" spans="44:82" x14ac:dyDescent="0.2">
      <c r="AR160" s="18"/>
      <c r="AX160" s="18"/>
      <c r="CB160" s="31" t="str">
        <f t="shared" si="12"/>
        <v xml:space="preserve">  </v>
      </c>
      <c r="CC160" s="25" t="str">
        <f t="shared" si="13"/>
        <v/>
      </c>
      <c r="CD160" s="25" t="str">
        <f>BasicInput!$D$13&amp;$CD$2&amp;B160&amp;"_"&amp;C160&amp;D160&amp;"_"&amp;BasicInput!$D$7&amp;BasicInput!$D$8&amp;"_"&amp;CC160&amp;".xuf"</f>
        <v>C:\PWWORKING\east01\d2591108\Basic\__2019EX_PM_.xuf</v>
      </c>
    </row>
    <row r="161" spans="44:82" x14ac:dyDescent="0.2">
      <c r="AR161" s="18"/>
      <c r="AX161" s="18"/>
      <c r="CB161" s="31" t="str">
        <f t="shared" si="12"/>
        <v xml:space="preserve">  </v>
      </c>
      <c r="CC161" s="25" t="str">
        <f t="shared" si="13"/>
        <v/>
      </c>
      <c r="CD161" s="25" t="str">
        <f>BasicInput!$D$13&amp;$CD$2&amp;B161&amp;"_"&amp;C161&amp;D161&amp;"_"&amp;BasicInput!$D$7&amp;BasicInput!$D$8&amp;"_"&amp;CC161&amp;".xuf"</f>
        <v>C:\PWWORKING\east01\d2591108\Basic\__2019EX_PM_.xuf</v>
      </c>
    </row>
    <row r="162" spans="44:82" x14ac:dyDescent="0.2">
      <c r="AR162" s="18"/>
      <c r="AX162" s="18"/>
      <c r="CB162" s="31" t="str">
        <f t="shared" si="12"/>
        <v xml:space="preserve">  </v>
      </c>
      <c r="CC162" s="25" t="str">
        <f t="shared" si="13"/>
        <v/>
      </c>
      <c r="CD162" s="25" t="str">
        <f>BasicInput!$D$13&amp;$CD$2&amp;B162&amp;"_"&amp;C162&amp;D162&amp;"_"&amp;BasicInput!$D$7&amp;BasicInput!$D$8&amp;"_"&amp;CC162&amp;".xuf"</f>
        <v>C:\PWWORKING\east01\d2591108\Basic\__2019EX_PM_.xuf</v>
      </c>
    </row>
    <row r="163" spans="44:82" x14ac:dyDescent="0.2">
      <c r="AR163" s="18"/>
      <c r="AX163" s="18"/>
      <c r="CB163" s="31" t="str">
        <f t="shared" si="12"/>
        <v xml:space="preserve">  </v>
      </c>
      <c r="CC163" s="25" t="str">
        <f t="shared" si="13"/>
        <v/>
      </c>
      <c r="CD163" s="25" t="str">
        <f>BasicInput!$D$13&amp;$CD$2&amp;B163&amp;"_"&amp;C163&amp;D163&amp;"_"&amp;BasicInput!$D$7&amp;BasicInput!$D$8&amp;"_"&amp;CC163&amp;".xuf"</f>
        <v>C:\PWWORKING\east01\d2591108\Basic\__2019EX_PM_.xuf</v>
      </c>
    </row>
    <row r="164" spans="44:82" x14ac:dyDescent="0.2">
      <c r="AR164" s="18"/>
      <c r="AX164" s="18"/>
      <c r="CB164" s="31" t="str">
        <f t="shared" si="12"/>
        <v xml:space="preserve">  </v>
      </c>
      <c r="CC164" s="25" t="str">
        <f t="shared" si="13"/>
        <v/>
      </c>
      <c r="CD164" s="25" t="str">
        <f>BasicInput!$D$13&amp;$CD$2&amp;B164&amp;"_"&amp;C164&amp;D164&amp;"_"&amp;BasicInput!$D$7&amp;BasicInput!$D$8&amp;"_"&amp;CC164&amp;".xuf"</f>
        <v>C:\PWWORKING\east01\d2591108\Basic\__2019EX_PM_.xuf</v>
      </c>
    </row>
    <row r="165" spans="44:82" x14ac:dyDescent="0.2">
      <c r="AR165" s="18"/>
      <c r="AX165" s="18"/>
      <c r="CB165" s="31" t="str">
        <f t="shared" si="12"/>
        <v xml:space="preserve">  </v>
      </c>
      <c r="CC165" s="25" t="str">
        <f t="shared" si="13"/>
        <v/>
      </c>
      <c r="CD165" s="25" t="str">
        <f>BasicInput!$D$13&amp;$CD$2&amp;B165&amp;"_"&amp;C165&amp;D165&amp;"_"&amp;BasicInput!$D$7&amp;BasicInput!$D$8&amp;"_"&amp;CC165&amp;".xuf"</f>
        <v>C:\PWWORKING\east01\d2591108\Basic\__2019EX_PM_.xuf</v>
      </c>
    </row>
    <row r="166" spans="44:82" x14ac:dyDescent="0.2">
      <c r="AR166" s="18"/>
      <c r="AX166" s="18"/>
      <c r="CB166" s="31" t="str">
        <f t="shared" si="12"/>
        <v xml:space="preserve">  </v>
      </c>
      <c r="CC166" s="25" t="str">
        <f t="shared" si="13"/>
        <v/>
      </c>
      <c r="CD166" s="25" t="str">
        <f>BasicInput!$D$13&amp;$CD$2&amp;B166&amp;"_"&amp;C166&amp;D166&amp;"_"&amp;BasicInput!$D$7&amp;BasicInput!$D$8&amp;"_"&amp;CC166&amp;".xuf"</f>
        <v>C:\PWWORKING\east01\d2591108\Basic\__2019EX_PM_.xuf</v>
      </c>
    </row>
    <row r="167" spans="44:82" x14ac:dyDescent="0.2">
      <c r="AR167" s="18"/>
      <c r="AX167" s="18"/>
      <c r="CB167" s="31" t="str">
        <f t="shared" si="12"/>
        <v xml:space="preserve">  </v>
      </c>
      <c r="CC167" s="25" t="str">
        <f t="shared" si="13"/>
        <v/>
      </c>
      <c r="CD167" s="25" t="str">
        <f>BasicInput!$D$13&amp;$CD$2&amp;B167&amp;"_"&amp;C167&amp;D167&amp;"_"&amp;BasicInput!$D$7&amp;BasicInput!$D$8&amp;"_"&amp;CC167&amp;".xuf"</f>
        <v>C:\PWWORKING\east01\d2591108\Basic\__2019EX_PM_.xuf</v>
      </c>
    </row>
    <row r="168" spans="44:82" x14ac:dyDescent="0.2">
      <c r="AR168" s="18"/>
      <c r="AX168" s="18"/>
      <c r="CB168" s="31" t="str">
        <f t="shared" si="12"/>
        <v xml:space="preserve">  </v>
      </c>
      <c r="CC168" s="25" t="str">
        <f t="shared" si="13"/>
        <v/>
      </c>
      <c r="CD168" s="25" t="str">
        <f>BasicInput!$D$13&amp;$CD$2&amp;B168&amp;"_"&amp;C168&amp;D168&amp;"_"&amp;BasicInput!$D$7&amp;BasicInput!$D$8&amp;"_"&amp;CC168&amp;".xuf"</f>
        <v>C:\PWWORKING\east01\d2591108\Basic\__2019EX_PM_.xuf</v>
      </c>
    </row>
    <row r="169" spans="44:82" x14ac:dyDescent="0.2">
      <c r="AR169" s="18"/>
      <c r="AX169" s="18"/>
      <c r="CB169" s="31" t="str">
        <f t="shared" si="12"/>
        <v xml:space="preserve">  </v>
      </c>
      <c r="CC169" s="25" t="str">
        <f t="shared" si="13"/>
        <v/>
      </c>
      <c r="CD169" s="25" t="str">
        <f>BasicInput!$D$13&amp;$CD$2&amp;B169&amp;"_"&amp;C169&amp;D169&amp;"_"&amp;BasicInput!$D$7&amp;BasicInput!$D$8&amp;"_"&amp;CC169&amp;".xuf"</f>
        <v>C:\PWWORKING\east01\d2591108\Basic\__2019EX_PM_.xuf</v>
      </c>
    </row>
    <row r="170" spans="44:82" x14ac:dyDescent="0.2">
      <c r="AR170" s="18"/>
      <c r="AX170" s="18"/>
      <c r="CB170" s="31" t="str">
        <f t="shared" si="12"/>
        <v xml:space="preserve">  </v>
      </c>
      <c r="CC170" s="25" t="str">
        <f t="shared" si="13"/>
        <v/>
      </c>
      <c r="CD170" s="25" t="str">
        <f>BasicInput!$D$13&amp;$CD$2&amp;B170&amp;"_"&amp;C170&amp;D170&amp;"_"&amp;BasicInput!$D$7&amp;BasicInput!$D$8&amp;"_"&amp;CC170&amp;".xuf"</f>
        <v>C:\PWWORKING\east01\d2591108\Basic\__2019EX_PM_.xuf</v>
      </c>
    </row>
    <row r="171" spans="44:82" x14ac:dyDescent="0.2">
      <c r="AR171" s="18"/>
      <c r="AX171" s="18"/>
      <c r="CB171" s="31" t="str">
        <f t="shared" si="12"/>
        <v xml:space="preserve">  </v>
      </c>
      <c r="CC171" s="25" t="str">
        <f t="shared" si="13"/>
        <v/>
      </c>
      <c r="CD171" s="25" t="str">
        <f>BasicInput!$D$13&amp;$CD$2&amp;B171&amp;"_"&amp;C171&amp;D171&amp;"_"&amp;BasicInput!$D$7&amp;BasicInput!$D$8&amp;"_"&amp;CC171&amp;".xuf"</f>
        <v>C:\PWWORKING\east01\d2591108\Basic\__2019EX_PM_.xuf</v>
      </c>
    </row>
    <row r="172" spans="44:82" x14ac:dyDescent="0.2">
      <c r="AR172" s="18"/>
      <c r="AX172" s="18"/>
      <c r="CB172" s="31" t="str">
        <f t="shared" si="12"/>
        <v xml:space="preserve">  </v>
      </c>
      <c r="CC172" s="25" t="str">
        <f t="shared" si="13"/>
        <v/>
      </c>
      <c r="CD172" s="25" t="str">
        <f>BasicInput!$D$13&amp;$CD$2&amp;B172&amp;"_"&amp;C172&amp;D172&amp;"_"&amp;BasicInput!$D$7&amp;BasicInput!$D$8&amp;"_"&amp;CC172&amp;".xuf"</f>
        <v>C:\PWWORKING\east01\d2591108\Basic\__2019EX_PM_.xuf</v>
      </c>
    </row>
    <row r="173" spans="44:82" x14ac:dyDescent="0.2">
      <c r="AR173" s="18"/>
      <c r="AX173" s="18"/>
      <c r="CB173" s="31" t="str">
        <f t="shared" si="12"/>
        <v xml:space="preserve">  </v>
      </c>
      <c r="CC173" s="25" t="str">
        <f t="shared" si="13"/>
        <v/>
      </c>
      <c r="CD173" s="25" t="str">
        <f>BasicInput!$D$13&amp;$CD$2&amp;B173&amp;"_"&amp;C173&amp;D173&amp;"_"&amp;BasicInput!$D$7&amp;BasicInput!$D$8&amp;"_"&amp;CC173&amp;".xuf"</f>
        <v>C:\PWWORKING\east01\d2591108\Basic\__2019EX_PM_.xuf</v>
      </c>
    </row>
    <row r="174" spans="44:82" x14ac:dyDescent="0.2">
      <c r="AR174" s="18"/>
      <c r="AX174" s="18"/>
      <c r="CB174" s="31" t="str">
        <f t="shared" si="12"/>
        <v xml:space="preserve">  </v>
      </c>
      <c r="CC174" s="25" t="str">
        <f t="shared" si="13"/>
        <v/>
      </c>
      <c r="CD174" s="25" t="str">
        <f>BasicInput!$D$13&amp;$CD$2&amp;B174&amp;"_"&amp;C174&amp;D174&amp;"_"&amp;BasicInput!$D$7&amp;BasicInput!$D$8&amp;"_"&amp;CC174&amp;".xuf"</f>
        <v>C:\PWWORKING\east01\d2591108\Basic\__2019EX_PM_.xuf</v>
      </c>
    </row>
    <row r="175" spans="44:82" x14ac:dyDescent="0.2">
      <c r="AR175" s="18"/>
      <c r="AX175" s="18"/>
      <c r="CB175" s="31" t="str">
        <f t="shared" si="12"/>
        <v xml:space="preserve">  </v>
      </c>
      <c r="CC175" s="25" t="str">
        <f t="shared" si="13"/>
        <v/>
      </c>
      <c r="CD175" s="25" t="str">
        <f>BasicInput!$D$13&amp;$CD$2&amp;B175&amp;"_"&amp;C175&amp;D175&amp;"_"&amp;BasicInput!$D$7&amp;BasicInput!$D$8&amp;"_"&amp;CC175&amp;".xuf"</f>
        <v>C:\PWWORKING\east01\d2591108\Basic\__2019EX_PM_.xuf</v>
      </c>
    </row>
    <row r="176" spans="44:82" x14ac:dyDescent="0.2">
      <c r="AR176" s="18"/>
      <c r="AX176" s="18"/>
      <c r="CB176" s="31" t="str">
        <f t="shared" si="12"/>
        <v xml:space="preserve">  </v>
      </c>
      <c r="CC176" s="25" t="str">
        <f t="shared" si="13"/>
        <v/>
      </c>
      <c r="CD176" s="25" t="str">
        <f>BasicInput!$D$13&amp;$CD$2&amp;B176&amp;"_"&amp;C176&amp;D176&amp;"_"&amp;BasicInput!$D$7&amp;BasicInput!$D$8&amp;"_"&amp;CC176&amp;".xuf"</f>
        <v>C:\PWWORKING\east01\d2591108\Basic\__2019EX_PM_.xuf</v>
      </c>
    </row>
    <row r="177" spans="44:82" x14ac:dyDescent="0.2">
      <c r="AR177" s="18"/>
      <c r="AX177" s="18"/>
      <c r="CB177" s="31" t="str">
        <f t="shared" si="12"/>
        <v xml:space="preserve">  </v>
      </c>
      <c r="CC177" s="25" t="str">
        <f t="shared" si="13"/>
        <v/>
      </c>
      <c r="CD177" s="25" t="str">
        <f>BasicInput!$D$13&amp;$CD$2&amp;B177&amp;"_"&amp;C177&amp;D177&amp;"_"&amp;BasicInput!$D$7&amp;BasicInput!$D$8&amp;"_"&amp;CC177&amp;".xuf"</f>
        <v>C:\PWWORKING\east01\d2591108\Basic\__2019EX_PM_.xuf</v>
      </c>
    </row>
    <row r="178" spans="44:82" x14ac:dyDescent="0.2">
      <c r="AR178" s="18"/>
      <c r="AX178" s="18"/>
      <c r="CB178" s="31" t="str">
        <f t="shared" si="12"/>
        <v xml:space="preserve">  </v>
      </c>
      <c r="CC178" s="25" t="str">
        <f t="shared" si="13"/>
        <v/>
      </c>
      <c r="CD178" s="25" t="str">
        <f>BasicInput!$D$13&amp;$CD$2&amp;B178&amp;"_"&amp;C178&amp;D178&amp;"_"&amp;BasicInput!$D$7&amp;BasicInput!$D$8&amp;"_"&amp;CC178&amp;".xuf"</f>
        <v>C:\PWWORKING\east01\d2591108\Basic\__2019EX_PM_.xuf</v>
      </c>
    </row>
    <row r="179" spans="44:82" x14ac:dyDescent="0.2">
      <c r="AR179" s="18"/>
      <c r="AX179" s="18"/>
      <c r="CB179" s="31" t="str">
        <f t="shared" si="12"/>
        <v xml:space="preserve">  </v>
      </c>
      <c r="CC179" s="25" t="str">
        <f t="shared" si="13"/>
        <v/>
      </c>
      <c r="CD179" s="25" t="str">
        <f>BasicInput!$D$13&amp;$CD$2&amp;B179&amp;"_"&amp;C179&amp;D179&amp;"_"&amp;BasicInput!$D$7&amp;BasicInput!$D$8&amp;"_"&amp;CC179&amp;".xuf"</f>
        <v>C:\PWWORKING\east01\d2591108\Basic\__2019EX_PM_.xuf</v>
      </c>
    </row>
    <row r="180" spans="44:82" x14ac:dyDescent="0.2">
      <c r="AR180" s="18"/>
      <c r="AX180" s="18"/>
      <c r="CB180" s="31" t="str">
        <f t="shared" si="12"/>
        <v xml:space="preserve">  </v>
      </c>
      <c r="CC180" s="25" t="str">
        <f t="shared" si="13"/>
        <v/>
      </c>
      <c r="CD180" s="25" t="str">
        <f>BasicInput!$D$13&amp;$CD$2&amp;B180&amp;"_"&amp;C180&amp;D180&amp;"_"&amp;BasicInput!$D$7&amp;BasicInput!$D$8&amp;"_"&amp;CC180&amp;".xuf"</f>
        <v>C:\PWWORKING\east01\d2591108\Basic\__2019EX_PM_.xuf</v>
      </c>
    </row>
    <row r="181" spans="44:82" x14ac:dyDescent="0.2">
      <c r="AR181" s="18"/>
      <c r="AX181" s="18"/>
      <c r="CB181" s="31" t="str">
        <f t="shared" si="12"/>
        <v xml:space="preserve">  </v>
      </c>
      <c r="CC181" s="25" t="str">
        <f t="shared" si="13"/>
        <v/>
      </c>
      <c r="CD181" s="25" t="str">
        <f>BasicInput!$D$13&amp;$CD$2&amp;B181&amp;"_"&amp;C181&amp;D181&amp;"_"&amp;BasicInput!$D$7&amp;BasicInput!$D$8&amp;"_"&amp;CC181&amp;".xuf"</f>
        <v>C:\PWWORKING\east01\d2591108\Basic\__2019EX_PM_.xuf</v>
      </c>
    </row>
    <row r="182" spans="44:82" x14ac:dyDescent="0.2">
      <c r="AR182" s="18"/>
      <c r="AX182" s="18"/>
      <c r="CB182" s="31" t="str">
        <f t="shared" si="12"/>
        <v xml:space="preserve">  </v>
      </c>
      <c r="CC182" s="25" t="str">
        <f t="shared" si="13"/>
        <v/>
      </c>
      <c r="CD182" s="25" t="str">
        <f>BasicInput!$D$13&amp;$CD$2&amp;B182&amp;"_"&amp;C182&amp;D182&amp;"_"&amp;BasicInput!$D$7&amp;BasicInput!$D$8&amp;"_"&amp;CC182&amp;".xuf"</f>
        <v>C:\PWWORKING\east01\d2591108\Basic\__2019EX_PM_.xuf</v>
      </c>
    </row>
    <row r="183" spans="44:82" x14ac:dyDescent="0.2">
      <c r="AR183" s="18"/>
      <c r="AX183" s="18"/>
      <c r="CB183" s="31" t="str">
        <f t="shared" si="12"/>
        <v xml:space="preserve">  </v>
      </c>
      <c r="CC183" s="25" t="str">
        <f t="shared" si="13"/>
        <v/>
      </c>
      <c r="CD183" s="25" t="str">
        <f>BasicInput!$D$13&amp;$CD$2&amp;B183&amp;"_"&amp;C183&amp;D183&amp;"_"&amp;BasicInput!$D$7&amp;BasicInput!$D$8&amp;"_"&amp;CC183&amp;".xuf"</f>
        <v>C:\PWWORKING\east01\d2591108\Basic\__2019EX_PM_.xuf</v>
      </c>
    </row>
    <row r="184" spans="44:82" x14ac:dyDescent="0.2">
      <c r="AR184" s="18"/>
      <c r="AX184" s="18"/>
      <c r="CB184" s="31" t="str">
        <f t="shared" si="12"/>
        <v xml:space="preserve">  </v>
      </c>
      <c r="CC184" s="25" t="str">
        <f t="shared" si="13"/>
        <v/>
      </c>
      <c r="CD184" s="25" t="str">
        <f>BasicInput!$D$13&amp;$CD$2&amp;B184&amp;"_"&amp;C184&amp;D184&amp;"_"&amp;BasicInput!$D$7&amp;BasicInput!$D$8&amp;"_"&amp;CC184&amp;".xuf"</f>
        <v>C:\PWWORKING\east01\d2591108\Basic\__2019EX_PM_.xuf</v>
      </c>
    </row>
    <row r="185" spans="44:82" x14ac:dyDescent="0.2">
      <c r="AR185" s="18"/>
      <c r="AX185" s="18"/>
      <c r="CB185" s="31" t="str">
        <f t="shared" si="12"/>
        <v xml:space="preserve">  </v>
      </c>
      <c r="CC185" s="25" t="str">
        <f t="shared" si="13"/>
        <v/>
      </c>
      <c r="CD185" s="25" t="str">
        <f>BasicInput!$D$13&amp;$CD$2&amp;B185&amp;"_"&amp;C185&amp;D185&amp;"_"&amp;BasicInput!$D$7&amp;BasicInput!$D$8&amp;"_"&amp;CC185&amp;".xuf"</f>
        <v>C:\PWWORKING\east01\d2591108\Basic\__2019EX_PM_.xuf</v>
      </c>
    </row>
    <row r="186" spans="44:82" x14ac:dyDescent="0.2">
      <c r="AR186" s="18"/>
      <c r="AX186" s="18"/>
      <c r="CB186" s="31" t="str">
        <f t="shared" si="12"/>
        <v xml:space="preserve">  </v>
      </c>
      <c r="CC186" s="25" t="str">
        <f t="shared" si="13"/>
        <v/>
      </c>
      <c r="CD186" s="25" t="str">
        <f>BasicInput!$D$13&amp;$CD$2&amp;B186&amp;"_"&amp;C186&amp;D186&amp;"_"&amp;BasicInput!$D$7&amp;BasicInput!$D$8&amp;"_"&amp;CC186&amp;".xuf"</f>
        <v>C:\PWWORKING\east01\d2591108\Basic\__2019EX_PM_.xuf</v>
      </c>
    </row>
    <row r="187" spans="44:82" x14ac:dyDescent="0.2">
      <c r="AR187" s="18"/>
      <c r="AX187" s="18"/>
      <c r="CB187" s="31" t="str">
        <f t="shared" si="12"/>
        <v xml:space="preserve">  </v>
      </c>
      <c r="CC187" s="25" t="str">
        <f t="shared" si="13"/>
        <v/>
      </c>
      <c r="CD187" s="25" t="str">
        <f>BasicInput!$D$13&amp;$CD$2&amp;B187&amp;"_"&amp;C187&amp;D187&amp;"_"&amp;BasicInput!$D$7&amp;BasicInput!$D$8&amp;"_"&amp;CC187&amp;".xuf"</f>
        <v>C:\PWWORKING\east01\d2591108\Basic\__2019EX_PM_.xuf</v>
      </c>
    </row>
    <row r="188" spans="44:82" x14ac:dyDescent="0.2">
      <c r="AR188" s="18"/>
      <c r="AX188" s="18"/>
      <c r="CB188" s="31" t="str">
        <f t="shared" si="12"/>
        <v xml:space="preserve">  </v>
      </c>
      <c r="CC188" s="25" t="str">
        <f t="shared" si="13"/>
        <v/>
      </c>
      <c r="CD188" s="25" t="str">
        <f>BasicInput!$D$13&amp;$CD$2&amp;B188&amp;"_"&amp;C188&amp;D188&amp;"_"&amp;BasicInput!$D$7&amp;BasicInput!$D$8&amp;"_"&amp;CC188&amp;".xuf"</f>
        <v>C:\PWWORKING\east01\d2591108\Basic\__2019EX_PM_.xuf</v>
      </c>
    </row>
    <row r="189" spans="44:82" x14ac:dyDescent="0.2">
      <c r="AR189" s="18"/>
      <c r="AX189" s="18"/>
      <c r="CB189" s="31" t="str">
        <f t="shared" si="12"/>
        <v xml:space="preserve">  </v>
      </c>
      <c r="CC189" s="25" t="str">
        <f t="shared" si="13"/>
        <v/>
      </c>
      <c r="CD189" s="25" t="str">
        <f>BasicInput!$D$13&amp;$CD$2&amp;B189&amp;"_"&amp;C189&amp;D189&amp;"_"&amp;BasicInput!$D$7&amp;BasicInput!$D$8&amp;"_"&amp;CC189&amp;".xuf"</f>
        <v>C:\PWWORKING\east01\d2591108\Basic\__2019EX_PM_.xuf</v>
      </c>
    </row>
    <row r="190" spans="44:82" x14ac:dyDescent="0.2">
      <c r="AR190" s="18"/>
      <c r="AX190" s="18"/>
      <c r="CB190" s="31" t="str">
        <f t="shared" si="12"/>
        <v xml:space="preserve">  </v>
      </c>
      <c r="CC190" s="25" t="str">
        <f t="shared" si="13"/>
        <v/>
      </c>
      <c r="CD190" s="25" t="str">
        <f>BasicInput!$D$13&amp;$CD$2&amp;B190&amp;"_"&amp;C190&amp;D190&amp;"_"&amp;BasicInput!$D$7&amp;BasicInput!$D$8&amp;"_"&amp;CC190&amp;".xuf"</f>
        <v>C:\PWWORKING\east01\d2591108\Basic\__2019EX_PM_.xuf</v>
      </c>
    </row>
    <row r="191" spans="44:82" x14ac:dyDescent="0.2">
      <c r="AR191" s="18"/>
      <c r="AX191" s="18"/>
      <c r="CB191" s="31" t="str">
        <f t="shared" si="12"/>
        <v xml:space="preserve">  </v>
      </c>
      <c r="CC191" s="25" t="str">
        <f t="shared" si="13"/>
        <v/>
      </c>
      <c r="CD191" s="25" t="str">
        <f>BasicInput!$D$13&amp;$CD$2&amp;B191&amp;"_"&amp;C191&amp;D191&amp;"_"&amp;BasicInput!$D$7&amp;BasicInput!$D$8&amp;"_"&amp;CC191&amp;".xuf"</f>
        <v>C:\PWWORKING\east01\d2591108\Basic\__2019EX_PM_.xuf</v>
      </c>
    </row>
    <row r="192" spans="44:82" x14ac:dyDescent="0.2">
      <c r="AR192" s="18"/>
      <c r="AX192" s="18"/>
      <c r="CB192" s="31" t="str">
        <f t="shared" si="12"/>
        <v xml:space="preserve">  </v>
      </c>
      <c r="CC192" s="25" t="str">
        <f t="shared" si="13"/>
        <v/>
      </c>
      <c r="CD192" s="25" t="str">
        <f>BasicInput!$D$13&amp;$CD$2&amp;B192&amp;"_"&amp;C192&amp;D192&amp;"_"&amp;BasicInput!$D$7&amp;BasicInput!$D$8&amp;"_"&amp;CC192&amp;".xuf"</f>
        <v>C:\PWWORKING\east01\d2591108\Basic\__2019EX_PM_.xuf</v>
      </c>
    </row>
    <row r="193" spans="44:82" x14ac:dyDescent="0.2">
      <c r="AR193" s="18"/>
      <c r="AX193" s="18"/>
      <c r="CB193" s="31" t="str">
        <f t="shared" si="12"/>
        <v xml:space="preserve">  </v>
      </c>
      <c r="CC193" s="25" t="str">
        <f t="shared" si="13"/>
        <v/>
      </c>
      <c r="CD193" s="25" t="str">
        <f>BasicInput!$D$13&amp;$CD$2&amp;B193&amp;"_"&amp;C193&amp;D193&amp;"_"&amp;BasicInput!$D$7&amp;BasicInput!$D$8&amp;"_"&amp;CC193&amp;".xuf"</f>
        <v>C:\PWWORKING\east01\d2591108\Basic\__2019EX_PM_.xuf</v>
      </c>
    </row>
    <row r="194" spans="44:82" x14ac:dyDescent="0.2">
      <c r="AR194" s="18"/>
      <c r="AX194" s="18"/>
      <c r="CB194" s="31" t="str">
        <f t="shared" si="12"/>
        <v xml:space="preserve">  </v>
      </c>
      <c r="CC194" s="25" t="str">
        <f t="shared" si="13"/>
        <v/>
      </c>
      <c r="CD194" s="25" t="str">
        <f>BasicInput!$D$13&amp;$CD$2&amp;B194&amp;"_"&amp;C194&amp;D194&amp;"_"&amp;BasicInput!$D$7&amp;BasicInput!$D$8&amp;"_"&amp;CC194&amp;".xuf"</f>
        <v>C:\PWWORKING\east01\d2591108\Basic\__2019EX_PM_.xuf</v>
      </c>
    </row>
    <row r="195" spans="44:82" x14ac:dyDescent="0.2">
      <c r="AR195" s="18"/>
      <c r="AX195" s="18"/>
      <c r="CB195" s="31" t="str">
        <f t="shared" si="12"/>
        <v xml:space="preserve">  </v>
      </c>
      <c r="CC195" s="25" t="str">
        <f t="shared" si="13"/>
        <v/>
      </c>
      <c r="CD195" s="25" t="str">
        <f>BasicInput!$D$13&amp;$CD$2&amp;B195&amp;"_"&amp;C195&amp;D195&amp;"_"&amp;BasicInput!$D$7&amp;BasicInput!$D$8&amp;"_"&amp;CC195&amp;".xuf"</f>
        <v>C:\PWWORKING\east01\d2591108\Basic\__2019EX_PM_.xuf</v>
      </c>
    </row>
    <row r="196" spans="44:82" x14ac:dyDescent="0.2">
      <c r="AR196" s="18"/>
      <c r="AX196" s="18"/>
      <c r="CB196" s="31" t="str">
        <f t="shared" si="12"/>
        <v xml:space="preserve">  </v>
      </c>
      <c r="CC196" s="25" t="str">
        <f t="shared" si="13"/>
        <v/>
      </c>
      <c r="CD196" s="25" t="str">
        <f>BasicInput!$D$13&amp;$CD$2&amp;B196&amp;"_"&amp;C196&amp;D196&amp;"_"&amp;BasicInput!$D$7&amp;BasicInput!$D$8&amp;"_"&amp;CC196&amp;".xuf"</f>
        <v>C:\PWWORKING\east01\d2591108\Basic\__2019EX_PM_.xuf</v>
      </c>
    </row>
    <row r="197" spans="44:82" x14ac:dyDescent="0.2">
      <c r="AR197" s="18"/>
      <c r="AX197" s="18"/>
      <c r="CB197" s="31" t="str">
        <f t="shared" si="12"/>
        <v xml:space="preserve">  </v>
      </c>
      <c r="CC197" s="25" t="str">
        <f t="shared" si="13"/>
        <v/>
      </c>
      <c r="CD197" s="25" t="str">
        <f>BasicInput!$D$13&amp;$CD$2&amp;B197&amp;"_"&amp;C197&amp;D197&amp;"_"&amp;BasicInput!$D$7&amp;BasicInput!$D$8&amp;"_"&amp;CC197&amp;".xuf"</f>
        <v>C:\PWWORKING\east01\d2591108\Basic\__2019EX_PM_.xuf</v>
      </c>
    </row>
    <row r="198" spans="44:82" x14ac:dyDescent="0.2">
      <c r="AR198" s="18"/>
      <c r="AX198" s="18"/>
      <c r="CB198" s="31" t="str">
        <f t="shared" si="12"/>
        <v xml:space="preserve">  </v>
      </c>
      <c r="CC198" s="25" t="str">
        <f t="shared" si="13"/>
        <v/>
      </c>
      <c r="CD198" s="25" t="str">
        <f>BasicInput!$D$13&amp;$CD$2&amp;B198&amp;"_"&amp;C198&amp;D198&amp;"_"&amp;BasicInput!$D$7&amp;BasicInput!$D$8&amp;"_"&amp;CC198&amp;".xuf"</f>
        <v>C:\PWWORKING\east01\d2591108\Basic\__2019EX_PM_.xuf</v>
      </c>
    </row>
    <row r="199" spans="44:82" x14ac:dyDescent="0.2">
      <c r="AR199" s="18"/>
      <c r="AX199" s="18"/>
      <c r="CB199" s="31" t="str">
        <f t="shared" si="12"/>
        <v xml:space="preserve">  </v>
      </c>
      <c r="CC199" s="25" t="str">
        <f t="shared" si="13"/>
        <v/>
      </c>
      <c r="CD199" s="25" t="str">
        <f>BasicInput!$D$13&amp;$CD$2&amp;B199&amp;"_"&amp;C199&amp;D199&amp;"_"&amp;BasicInput!$D$7&amp;BasicInput!$D$8&amp;"_"&amp;CC199&amp;".xuf"</f>
        <v>C:\PWWORKING\east01\d2591108\Basic\__2019EX_PM_.xuf</v>
      </c>
    </row>
    <row r="200" spans="44:82" x14ac:dyDescent="0.2">
      <c r="AR200" s="18"/>
      <c r="AX200" s="18"/>
      <c r="CB200" s="31" t="str">
        <f t="shared" si="12"/>
        <v xml:space="preserve">  </v>
      </c>
      <c r="CC200" s="25" t="str">
        <f t="shared" si="13"/>
        <v/>
      </c>
      <c r="CD200" s="25" t="str">
        <f>BasicInput!$D$13&amp;$CD$2&amp;B200&amp;"_"&amp;C200&amp;D200&amp;"_"&amp;BasicInput!$D$7&amp;BasicInput!$D$8&amp;"_"&amp;CC200&amp;".xuf"</f>
        <v>C:\PWWORKING\east01\d2591108\Basic\__2019EX_PM_.xuf</v>
      </c>
    </row>
    <row r="201" spans="44:82" x14ac:dyDescent="0.2">
      <c r="AR201" s="18"/>
      <c r="AX201" s="18"/>
      <c r="CB201" s="31" t="str">
        <f t="shared" si="12"/>
        <v xml:space="preserve">  </v>
      </c>
      <c r="CC201" s="25" t="str">
        <f t="shared" si="13"/>
        <v/>
      </c>
      <c r="CD201" s="25" t="str">
        <f>BasicInput!$D$13&amp;$CD$2&amp;B201&amp;"_"&amp;C201&amp;D201&amp;"_"&amp;BasicInput!$D$7&amp;BasicInput!$D$8&amp;"_"&amp;CC201&amp;".xuf"</f>
        <v>C:\PWWORKING\east01\d2591108\Basic\__2019EX_PM_.xuf</v>
      </c>
    </row>
    <row r="202" spans="44:82" x14ac:dyDescent="0.2">
      <c r="AR202" s="18"/>
      <c r="AX202" s="18"/>
      <c r="CB202" s="31" t="str">
        <f t="shared" si="12"/>
        <v xml:space="preserve">  </v>
      </c>
      <c r="CC202" s="25" t="str">
        <f t="shared" si="13"/>
        <v/>
      </c>
      <c r="CD202" s="25" t="str">
        <f>BasicInput!$D$13&amp;$CD$2&amp;B202&amp;"_"&amp;C202&amp;D202&amp;"_"&amp;BasicInput!$D$7&amp;BasicInput!$D$8&amp;"_"&amp;CC202&amp;".xuf"</f>
        <v>C:\PWWORKING\east01\d2591108\Basic\__2019EX_PM_.xuf</v>
      </c>
    </row>
    <row r="203" spans="44:82" x14ac:dyDescent="0.2">
      <c r="AR203" s="18"/>
      <c r="AX203" s="18"/>
      <c r="CB203" s="31" t="str">
        <f t="shared" si="12"/>
        <v xml:space="preserve">  </v>
      </c>
      <c r="CC203" s="25" t="str">
        <f t="shared" si="13"/>
        <v/>
      </c>
      <c r="CD203" s="25" t="str">
        <f>BasicInput!$D$13&amp;$CD$2&amp;B203&amp;"_"&amp;C203&amp;D203&amp;"_"&amp;BasicInput!$D$7&amp;BasicInput!$D$8&amp;"_"&amp;CC203&amp;".xuf"</f>
        <v>C:\PWWORKING\east01\d2591108\Basic\__2019EX_PM_.xuf</v>
      </c>
    </row>
    <row r="204" spans="44:82" x14ac:dyDescent="0.2">
      <c r="AR204" s="18"/>
      <c r="AX204" s="18"/>
      <c r="CB204" s="31" t="str">
        <f t="shared" si="12"/>
        <v xml:space="preserve">  </v>
      </c>
      <c r="CC204" s="25" t="str">
        <f t="shared" si="13"/>
        <v/>
      </c>
      <c r="CD204" s="25" t="str">
        <f>BasicInput!$D$13&amp;$CD$2&amp;B204&amp;"_"&amp;C204&amp;D204&amp;"_"&amp;BasicInput!$D$7&amp;BasicInput!$D$8&amp;"_"&amp;CC204&amp;".xuf"</f>
        <v>C:\PWWORKING\east01\d2591108\Basic\__2019EX_PM_.xuf</v>
      </c>
    </row>
    <row r="205" spans="44:82" x14ac:dyDescent="0.2">
      <c r="AR205" s="18"/>
      <c r="AX205" s="18"/>
      <c r="CB205" s="31" t="str">
        <f t="shared" si="12"/>
        <v xml:space="preserve">  </v>
      </c>
      <c r="CC205" s="25" t="str">
        <f t="shared" si="13"/>
        <v/>
      </c>
      <c r="CD205" s="25" t="str">
        <f>BasicInput!$D$13&amp;$CD$2&amp;B205&amp;"_"&amp;C205&amp;D205&amp;"_"&amp;BasicInput!$D$7&amp;BasicInput!$D$8&amp;"_"&amp;CC205&amp;".xuf"</f>
        <v>C:\PWWORKING\east01\d2591108\Basic\__2019EX_PM_.xuf</v>
      </c>
    </row>
    <row r="206" spans="44:82" x14ac:dyDescent="0.2">
      <c r="AR206" s="18"/>
      <c r="AX206" s="18"/>
      <c r="CB206" s="31" t="str">
        <f t="shared" si="12"/>
        <v xml:space="preserve">  </v>
      </c>
      <c r="CC206" s="25" t="str">
        <f t="shared" si="13"/>
        <v/>
      </c>
      <c r="CD206" s="25" t="str">
        <f>BasicInput!$D$13&amp;$CD$2&amp;B206&amp;"_"&amp;C206&amp;D206&amp;"_"&amp;BasicInput!$D$7&amp;BasicInput!$D$8&amp;"_"&amp;CC206&amp;".xuf"</f>
        <v>C:\PWWORKING\east01\d2591108\Basic\__2019EX_PM_.xuf</v>
      </c>
    </row>
    <row r="207" spans="44:82" x14ac:dyDescent="0.2">
      <c r="AR207" s="18"/>
      <c r="AX207" s="18"/>
      <c r="CB207" s="31" t="str">
        <f t="shared" si="12"/>
        <v xml:space="preserve">  </v>
      </c>
      <c r="CC207" s="25" t="str">
        <f t="shared" si="13"/>
        <v/>
      </c>
      <c r="CD207" s="25" t="str">
        <f>BasicInput!$D$13&amp;$CD$2&amp;B207&amp;"_"&amp;C207&amp;D207&amp;"_"&amp;BasicInput!$D$7&amp;BasicInput!$D$8&amp;"_"&amp;CC207&amp;".xuf"</f>
        <v>C:\PWWORKING\east01\d2591108\Basic\__2019EX_PM_.xuf</v>
      </c>
    </row>
    <row r="208" spans="44:82" x14ac:dyDescent="0.2">
      <c r="AR208" s="18"/>
      <c r="AX208" s="18"/>
      <c r="CB208" s="31" t="str">
        <f t="shared" si="12"/>
        <v xml:space="preserve">  </v>
      </c>
      <c r="CC208" s="25" t="str">
        <f t="shared" si="13"/>
        <v/>
      </c>
      <c r="CD208" s="25" t="str">
        <f>BasicInput!$D$13&amp;$CD$2&amp;B208&amp;"_"&amp;C208&amp;D208&amp;"_"&amp;BasicInput!$D$7&amp;BasicInput!$D$8&amp;"_"&amp;CC208&amp;".xuf"</f>
        <v>C:\PWWORKING\east01\d2591108\Basic\__2019EX_PM_.xuf</v>
      </c>
    </row>
    <row r="209" spans="44:82" x14ac:dyDescent="0.2">
      <c r="AR209" s="18"/>
      <c r="AX209" s="18"/>
      <c r="CB209" s="31" t="str">
        <f t="shared" ref="CB209:CB272" si="14">C209&amp; " "&amp;D209&amp;" " &amp;E209</f>
        <v xml:space="preserve">  </v>
      </c>
      <c r="CC209" s="25" t="str">
        <f t="shared" ref="CC209:CC272" si="15">SUBSTITUTE(E209, "/", "_")</f>
        <v/>
      </c>
      <c r="CD209" s="25" t="str">
        <f>BasicInput!$D$13&amp;$CD$2&amp;B209&amp;"_"&amp;C209&amp;D209&amp;"_"&amp;BasicInput!$D$7&amp;BasicInput!$D$8&amp;"_"&amp;CC209&amp;".xuf"</f>
        <v>C:\PWWORKING\east01\d2591108\Basic\__2019EX_PM_.xuf</v>
      </c>
    </row>
    <row r="210" spans="44:82" x14ac:dyDescent="0.2">
      <c r="AR210" s="18"/>
      <c r="AX210" s="18"/>
      <c r="CB210" s="31" t="str">
        <f t="shared" si="14"/>
        <v xml:space="preserve">  </v>
      </c>
      <c r="CC210" s="25" t="str">
        <f t="shared" si="15"/>
        <v/>
      </c>
      <c r="CD210" s="25" t="str">
        <f>BasicInput!$D$13&amp;$CD$2&amp;B210&amp;"_"&amp;C210&amp;D210&amp;"_"&amp;BasicInput!$D$7&amp;BasicInput!$D$8&amp;"_"&amp;CC210&amp;".xuf"</f>
        <v>C:\PWWORKING\east01\d2591108\Basic\__2019EX_PM_.xuf</v>
      </c>
    </row>
    <row r="211" spans="44:82" x14ac:dyDescent="0.2">
      <c r="AR211" s="18"/>
      <c r="AX211" s="18"/>
      <c r="CB211" s="31" t="str">
        <f t="shared" si="14"/>
        <v xml:space="preserve">  </v>
      </c>
      <c r="CC211" s="25" t="str">
        <f t="shared" si="15"/>
        <v/>
      </c>
      <c r="CD211" s="25" t="str">
        <f>BasicInput!$D$13&amp;$CD$2&amp;B211&amp;"_"&amp;C211&amp;D211&amp;"_"&amp;BasicInput!$D$7&amp;BasicInput!$D$8&amp;"_"&amp;CC211&amp;".xuf"</f>
        <v>C:\PWWORKING\east01\d2591108\Basic\__2019EX_PM_.xuf</v>
      </c>
    </row>
    <row r="212" spans="44:82" x14ac:dyDescent="0.2">
      <c r="AR212" s="18"/>
      <c r="AX212" s="18"/>
      <c r="CB212" s="31" t="str">
        <f t="shared" si="14"/>
        <v xml:space="preserve">  </v>
      </c>
      <c r="CC212" s="25" t="str">
        <f t="shared" si="15"/>
        <v/>
      </c>
      <c r="CD212" s="25" t="str">
        <f>BasicInput!$D$13&amp;$CD$2&amp;B212&amp;"_"&amp;C212&amp;D212&amp;"_"&amp;BasicInput!$D$7&amp;BasicInput!$D$8&amp;"_"&amp;CC212&amp;".xuf"</f>
        <v>C:\PWWORKING\east01\d2591108\Basic\__2019EX_PM_.xuf</v>
      </c>
    </row>
    <row r="213" spans="44:82" x14ac:dyDescent="0.2">
      <c r="AR213" s="18"/>
      <c r="AX213" s="18"/>
      <c r="CB213" s="31" t="str">
        <f t="shared" si="14"/>
        <v xml:space="preserve">  </v>
      </c>
      <c r="CC213" s="25" t="str">
        <f t="shared" si="15"/>
        <v/>
      </c>
      <c r="CD213" s="25" t="str">
        <f>BasicInput!$D$13&amp;$CD$2&amp;B213&amp;"_"&amp;C213&amp;D213&amp;"_"&amp;BasicInput!$D$7&amp;BasicInput!$D$8&amp;"_"&amp;CC213&amp;".xuf"</f>
        <v>C:\PWWORKING\east01\d2591108\Basic\__2019EX_PM_.xuf</v>
      </c>
    </row>
    <row r="214" spans="44:82" x14ac:dyDescent="0.2">
      <c r="AR214" s="18"/>
      <c r="AX214" s="18"/>
      <c r="CB214" s="31" t="str">
        <f t="shared" si="14"/>
        <v xml:space="preserve">  </v>
      </c>
      <c r="CC214" s="25" t="str">
        <f t="shared" si="15"/>
        <v/>
      </c>
      <c r="CD214" s="25" t="str">
        <f>BasicInput!$D$13&amp;$CD$2&amp;B214&amp;"_"&amp;C214&amp;D214&amp;"_"&amp;BasicInput!$D$7&amp;BasicInput!$D$8&amp;"_"&amp;CC214&amp;".xuf"</f>
        <v>C:\PWWORKING\east01\d2591108\Basic\__2019EX_PM_.xuf</v>
      </c>
    </row>
    <row r="215" spans="44:82" x14ac:dyDescent="0.2">
      <c r="AR215" s="18"/>
      <c r="AX215" s="18"/>
      <c r="CB215" s="31" t="str">
        <f t="shared" si="14"/>
        <v xml:space="preserve">  </v>
      </c>
      <c r="CC215" s="25" t="str">
        <f t="shared" si="15"/>
        <v/>
      </c>
      <c r="CD215" s="25" t="str">
        <f>BasicInput!$D$13&amp;$CD$2&amp;B215&amp;"_"&amp;C215&amp;D215&amp;"_"&amp;BasicInput!$D$7&amp;BasicInput!$D$8&amp;"_"&amp;CC215&amp;".xuf"</f>
        <v>C:\PWWORKING\east01\d2591108\Basic\__2019EX_PM_.xuf</v>
      </c>
    </row>
    <row r="216" spans="44:82" x14ac:dyDescent="0.2">
      <c r="AR216" s="18"/>
      <c r="AX216" s="18"/>
      <c r="CB216" s="31" t="str">
        <f t="shared" si="14"/>
        <v xml:space="preserve">  </v>
      </c>
      <c r="CC216" s="25" t="str">
        <f t="shared" si="15"/>
        <v/>
      </c>
      <c r="CD216" s="25" t="str">
        <f>BasicInput!$D$13&amp;$CD$2&amp;B216&amp;"_"&amp;C216&amp;D216&amp;"_"&amp;BasicInput!$D$7&amp;BasicInput!$D$8&amp;"_"&amp;CC216&amp;".xuf"</f>
        <v>C:\PWWORKING\east01\d2591108\Basic\__2019EX_PM_.xuf</v>
      </c>
    </row>
    <row r="217" spans="44:82" x14ac:dyDescent="0.2">
      <c r="AR217" s="18"/>
      <c r="AX217" s="18"/>
      <c r="CB217" s="31" t="str">
        <f t="shared" si="14"/>
        <v xml:space="preserve">  </v>
      </c>
      <c r="CC217" s="25" t="str">
        <f t="shared" si="15"/>
        <v/>
      </c>
      <c r="CD217" s="25" t="str">
        <f>BasicInput!$D$13&amp;$CD$2&amp;B217&amp;"_"&amp;C217&amp;D217&amp;"_"&amp;BasicInput!$D$7&amp;BasicInput!$D$8&amp;"_"&amp;CC217&amp;".xuf"</f>
        <v>C:\PWWORKING\east01\d2591108\Basic\__2019EX_PM_.xuf</v>
      </c>
    </row>
    <row r="218" spans="44:82" x14ac:dyDescent="0.2">
      <c r="AR218" s="18"/>
      <c r="AX218" s="18"/>
      <c r="CB218" s="31" t="str">
        <f t="shared" si="14"/>
        <v xml:space="preserve">  </v>
      </c>
      <c r="CC218" s="25" t="str">
        <f t="shared" si="15"/>
        <v/>
      </c>
      <c r="CD218" s="25" t="str">
        <f>BasicInput!$D$13&amp;$CD$2&amp;B218&amp;"_"&amp;C218&amp;D218&amp;"_"&amp;BasicInput!$D$7&amp;BasicInput!$D$8&amp;"_"&amp;CC218&amp;".xuf"</f>
        <v>C:\PWWORKING\east01\d2591108\Basic\__2019EX_PM_.xuf</v>
      </c>
    </row>
    <row r="219" spans="44:82" x14ac:dyDescent="0.2">
      <c r="AR219" s="18"/>
      <c r="AX219" s="18"/>
      <c r="CB219" s="31" t="str">
        <f t="shared" si="14"/>
        <v xml:space="preserve">  </v>
      </c>
      <c r="CC219" s="25" t="str">
        <f t="shared" si="15"/>
        <v/>
      </c>
      <c r="CD219" s="25" t="str">
        <f>BasicInput!$D$13&amp;$CD$2&amp;B219&amp;"_"&amp;C219&amp;D219&amp;"_"&amp;BasicInput!$D$7&amp;BasicInput!$D$8&amp;"_"&amp;CC219&amp;".xuf"</f>
        <v>C:\PWWORKING\east01\d2591108\Basic\__2019EX_PM_.xuf</v>
      </c>
    </row>
    <row r="220" spans="44:82" x14ac:dyDescent="0.2">
      <c r="AR220" s="18"/>
      <c r="AX220" s="18"/>
      <c r="CB220" s="31" t="str">
        <f t="shared" si="14"/>
        <v xml:space="preserve">  </v>
      </c>
      <c r="CC220" s="25" t="str">
        <f t="shared" si="15"/>
        <v/>
      </c>
      <c r="CD220" s="25" t="str">
        <f>BasicInput!$D$13&amp;$CD$2&amp;B220&amp;"_"&amp;C220&amp;D220&amp;"_"&amp;BasicInput!$D$7&amp;BasicInput!$D$8&amp;"_"&amp;CC220&amp;".xuf"</f>
        <v>C:\PWWORKING\east01\d2591108\Basic\__2019EX_PM_.xuf</v>
      </c>
    </row>
    <row r="221" spans="44:82" x14ac:dyDescent="0.2">
      <c r="AR221" s="18"/>
      <c r="AX221" s="18"/>
      <c r="CB221" s="31" t="str">
        <f t="shared" si="14"/>
        <v xml:space="preserve">  </v>
      </c>
      <c r="CC221" s="25" t="str">
        <f t="shared" si="15"/>
        <v/>
      </c>
      <c r="CD221" s="25" t="str">
        <f>BasicInput!$D$13&amp;$CD$2&amp;B221&amp;"_"&amp;C221&amp;D221&amp;"_"&amp;BasicInput!$D$7&amp;BasicInput!$D$8&amp;"_"&amp;CC221&amp;".xuf"</f>
        <v>C:\PWWORKING\east01\d2591108\Basic\__2019EX_PM_.xuf</v>
      </c>
    </row>
    <row r="222" spans="44:82" x14ac:dyDescent="0.2">
      <c r="AR222" s="18"/>
      <c r="AX222" s="18"/>
      <c r="CB222" s="31" t="str">
        <f t="shared" si="14"/>
        <v xml:space="preserve">  </v>
      </c>
      <c r="CC222" s="25" t="str">
        <f t="shared" si="15"/>
        <v/>
      </c>
      <c r="CD222" s="25" t="str">
        <f>BasicInput!$D$13&amp;$CD$2&amp;B222&amp;"_"&amp;C222&amp;D222&amp;"_"&amp;BasicInput!$D$7&amp;BasicInput!$D$8&amp;"_"&amp;CC222&amp;".xuf"</f>
        <v>C:\PWWORKING\east01\d2591108\Basic\__2019EX_PM_.xuf</v>
      </c>
    </row>
    <row r="223" spans="44:82" x14ac:dyDescent="0.2">
      <c r="AR223" s="18"/>
      <c r="AX223" s="18"/>
      <c r="CB223" s="31" t="str">
        <f t="shared" si="14"/>
        <v xml:space="preserve">  </v>
      </c>
      <c r="CC223" s="25" t="str">
        <f t="shared" si="15"/>
        <v/>
      </c>
      <c r="CD223" s="25" t="str">
        <f>BasicInput!$D$13&amp;$CD$2&amp;B223&amp;"_"&amp;C223&amp;D223&amp;"_"&amp;BasicInput!$D$7&amp;BasicInput!$D$8&amp;"_"&amp;CC223&amp;".xuf"</f>
        <v>C:\PWWORKING\east01\d2591108\Basic\__2019EX_PM_.xuf</v>
      </c>
    </row>
    <row r="224" spans="44:82" x14ac:dyDescent="0.2">
      <c r="AR224" s="18"/>
      <c r="AX224" s="18"/>
      <c r="CB224" s="31" t="str">
        <f t="shared" si="14"/>
        <v xml:space="preserve">  </v>
      </c>
      <c r="CC224" s="25" t="str">
        <f t="shared" si="15"/>
        <v/>
      </c>
      <c r="CD224" s="25" t="str">
        <f>BasicInput!$D$13&amp;$CD$2&amp;B224&amp;"_"&amp;C224&amp;D224&amp;"_"&amp;BasicInput!$D$7&amp;BasicInput!$D$8&amp;"_"&amp;CC224&amp;".xuf"</f>
        <v>C:\PWWORKING\east01\d2591108\Basic\__2019EX_PM_.xuf</v>
      </c>
    </row>
    <row r="225" spans="44:82" x14ac:dyDescent="0.2">
      <c r="AR225" s="18"/>
      <c r="AX225" s="18"/>
      <c r="CB225" s="31" t="str">
        <f t="shared" si="14"/>
        <v xml:space="preserve">  </v>
      </c>
      <c r="CC225" s="25" t="str">
        <f t="shared" si="15"/>
        <v/>
      </c>
      <c r="CD225" s="25" t="str">
        <f>BasicInput!$D$13&amp;$CD$2&amp;B225&amp;"_"&amp;C225&amp;D225&amp;"_"&amp;BasicInput!$D$7&amp;BasicInput!$D$8&amp;"_"&amp;CC225&amp;".xuf"</f>
        <v>C:\PWWORKING\east01\d2591108\Basic\__2019EX_PM_.xuf</v>
      </c>
    </row>
    <row r="226" spans="44:82" x14ac:dyDescent="0.2">
      <c r="AR226" s="18"/>
      <c r="AX226" s="18"/>
      <c r="CB226" s="31" t="str">
        <f t="shared" si="14"/>
        <v xml:space="preserve">  </v>
      </c>
      <c r="CC226" s="25" t="str">
        <f t="shared" si="15"/>
        <v/>
      </c>
      <c r="CD226" s="25" t="str">
        <f>BasicInput!$D$13&amp;$CD$2&amp;B226&amp;"_"&amp;C226&amp;D226&amp;"_"&amp;BasicInput!$D$7&amp;BasicInput!$D$8&amp;"_"&amp;CC226&amp;".xuf"</f>
        <v>C:\PWWORKING\east01\d2591108\Basic\__2019EX_PM_.xuf</v>
      </c>
    </row>
    <row r="227" spans="44:82" x14ac:dyDescent="0.2">
      <c r="AR227" s="18"/>
      <c r="AX227" s="18"/>
      <c r="CB227" s="31" t="str">
        <f t="shared" si="14"/>
        <v xml:space="preserve">  </v>
      </c>
      <c r="CC227" s="25" t="str">
        <f t="shared" si="15"/>
        <v/>
      </c>
      <c r="CD227" s="25" t="str">
        <f>BasicInput!$D$13&amp;$CD$2&amp;B227&amp;"_"&amp;C227&amp;D227&amp;"_"&amp;BasicInput!$D$7&amp;BasicInput!$D$8&amp;"_"&amp;CC227&amp;".xuf"</f>
        <v>C:\PWWORKING\east01\d2591108\Basic\__2019EX_PM_.xuf</v>
      </c>
    </row>
    <row r="228" spans="44:82" x14ac:dyDescent="0.2">
      <c r="AR228" s="18"/>
      <c r="AX228" s="18"/>
      <c r="CB228" s="31" t="str">
        <f t="shared" si="14"/>
        <v xml:space="preserve">  </v>
      </c>
      <c r="CC228" s="25" t="str">
        <f t="shared" si="15"/>
        <v/>
      </c>
      <c r="CD228" s="25" t="str">
        <f>BasicInput!$D$13&amp;$CD$2&amp;B228&amp;"_"&amp;C228&amp;D228&amp;"_"&amp;BasicInput!$D$7&amp;BasicInput!$D$8&amp;"_"&amp;CC228&amp;".xuf"</f>
        <v>C:\PWWORKING\east01\d2591108\Basic\__2019EX_PM_.xuf</v>
      </c>
    </row>
    <row r="229" spans="44:82" x14ac:dyDescent="0.2">
      <c r="AR229" s="18"/>
      <c r="AX229" s="18"/>
      <c r="CB229" s="31" t="str">
        <f t="shared" si="14"/>
        <v xml:space="preserve">  </v>
      </c>
      <c r="CC229" s="25" t="str">
        <f t="shared" si="15"/>
        <v/>
      </c>
      <c r="CD229" s="25" t="str">
        <f>BasicInput!$D$13&amp;$CD$2&amp;B229&amp;"_"&amp;C229&amp;D229&amp;"_"&amp;BasicInput!$D$7&amp;BasicInput!$D$8&amp;"_"&amp;CC229&amp;".xuf"</f>
        <v>C:\PWWORKING\east01\d2591108\Basic\__2019EX_PM_.xuf</v>
      </c>
    </row>
    <row r="230" spans="44:82" x14ac:dyDescent="0.2">
      <c r="AR230" s="18"/>
      <c r="AX230" s="18"/>
      <c r="CB230" s="31" t="str">
        <f t="shared" si="14"/>
        <v xml:space="preserve">  </v>
      </c>
      <c r="CC230" s="25" t="str">
        <f t="shared" si="15"/>
        <v/>
      </c>
      <c r="CD230" s="25" t="str">
        <f>BasicInput!$D$13&amp;$CD$2&amp;B230&amp;"_"&amp;C230&amp;D230&amp;"_"&amp;BasicInput!$D$7&amp;BasicInput!$D$8&amp;"_"&amp;CC230&amp;".xuf"</f>
        <v>C:\PWWORKING\east01\d2591108\Basic\__2019EX_PM_.xuf</v>
      </c>
    </row>
    <row r="231" spans="44:82" x14ac:dyDescent="0.2">
      <c r="AR231" s="18"/>
      <c r="AX231" s="18"/>
      <c r="CB231" s="31" t="str">
        <f t="shared" si="14"/>
        <v xml:space="preserve">  </v>
      </c>
      <c r="CC231" s="25" t="str">
        <f t="shared" si="15"/>
        <v/>
      </c>
      <c r="CD231" s="25" t="str">
        <f>BasicInput!$D$13&amp;$CD$2&amp;B231&amp;"_"&amp;C231&amp;D231&amp;"_"&amp;BasicInput!$D$7&amp;BasicInput!$D$8&amp;"_"&amp;CC231&amp;".xuf"</f>
        <v>C:\PWWORKING\east01\d2591108\Basic\__2019EX_PM_.xuf</v>
      </c>
    </row>
    <row r="232" spans="44:82" x14ac:dyDescent="0.2">
      <c r="AR232" s="18"/>
      <c r="AX232" s="18"/>
      <c r="CB232" s="31" t="str">
        <f t="shared" si="14"/>
        <v xml:space="preserve">  </v>
      </c>
      <c r="CC232" s="25" t="str">
        <f t="shared" si="15"/>
        <v/>
      </c>
      <c r="CD232" s="25" t="str">
        <f>BasicInput!$D$13&amp;$CD$2&amp;B232&amp;"_"&amp;C232&amp;D232&amp;"_"&amp;BasicInput!$D$7&amp;BasicInput!$D$8&amp;"_"&amp;CC232&amp;".xuf"</f>
        <v>C:\PWWORKING\east01\d2591108\Basic\__2019EX_PM_.xuf</v>
      </c>
    </row>
    <row r="233" spans="44:82" x14ac:dyDescent="0.2">
      <c r="AR233" s="18"/>
      <c r="AX233" s="18"/>
      <c r="CB233" s="31" t="str">
        <f t="shared" si="14"/>
        <v xml:space="preserve">  </v>
      </c>
      <c r="CC233" s="25" t="str">
        <f t="shared" si="15"/>
        <v/>
      </c>
      <c r="CD233" s="25" t="str">
        <f>BasicInput!$D$13&amp;$CD$2&amp;B233&amp;"_"&amp;C233&amp;D233&amp;"_"&amp;BasicInput!$D$7&amp;BasicInput!$D$8&amp;"_"&amp;CC233&amp;".xuf"</f>
        <v>C:\PWWORKING\east01\d2591108\Basic\__2019EX_PM_.xuf</v>
      </c>
    </row>
    <row r="234" spans="44:82" x14ac:dyDescent="0.2">
      <c r="AR234" s="18"/>
      <c r="AX234" s="18"/>
      <c r="CB234" s="31" t="str">
        <f t="shared" si="14"/>
        <v xml:space="preserve">  </v>
      </c>
      <c r="CC234" s="25" t="str">
        <f t="shared" si="15"/>
        <v/>
      </c>
      <c r="CD234" s="25" t="str">
        <f>BasicInput!$D$13&amp;$CD$2&amp;B234&amp;"_"&amp;C234&amp;D234&amp;"_"&amp;BasicInput!$D$7&amp;BasicInput!$D$8&amp;"_"&amp;CC234&amp;".xuf"</f>
        <v>C:\PWWORKING\east01\d2591108\Basic\__2019EX_PM_.xuf</v>
      </c>
    </row>
    <row r="235" spans="44:82" x14ac:dyDescent="0.2">
      <c r="AR235" s="18"/>
      <c r="AX235" s="18"/>
      <c r="CB235" s="31" t="str">
        <f t="shared" si="14"/>
        <v xml:space="preserve">  </v>
      </c>
      <c r="CC235" s="25" t="str">
        <f t="shared" si="15"/>
        <v/>
      </c>
      <c r="CD235" s="25" t="str">
        <f>BasicInput!$D$13&amp;$CD$2&amp;B235&amp;"_"&amp;C235&amp;D235&amp;"_"&amp;BasicInput!$D$7&amp;BasicInput!$D$8&amp;"_"&amp;CC235&amp;".xuf"</f>
        <v>C:\PWWORKING\east01\d2591108\Basic\__2019EX_PM_.xuf</v>
      </c>
    </row>
    <row r="236" spans="44:82" x14ac:dyDescent="0.2">
      <c r="AR236" s="18"/>
      <c r="AX236" s="18"/>
      <c r="CB236" s="31" t="str">
        <f t="shared" si="14"/>
        <v xml:space="preserve">  </v>
      </c>
      <c r="CC236" s="25" t="str">
        <f t="shared" si="15"/>
        <v/>
      </c>
      <c r="CD236" s="25" t="str">
        <f>BasicInput!$D$13&amp;$CD$2&amp;B236&amp;"_"&amp;C236&amp;D236&amp;"_"&amp;BasicInput!$D$7&amp;BasicInput!$D$8&amp;"_"&amp;CC236&amp;".xuf"</f>
        <v>C:\PWWORKING\east01\d2591108\Basic\__2019EX_PM_.xuf</v>
      </c>
    </row>
    <row r="237" spans="44:82" x14ac:dyDescent="0.2">
      <c r="AR237" s="18"/>
      <c r="AX237" s="18"/>
      <c r="CB237" s="31" t="str">
        <f t="shared" si="14"/>
        <v xml:space="preserve">  </v>
      </c>
      <c r="CC237" s="25" t="str">
        <f t="shared" si="15"/>
        <v/>
      </c>
      <c r="CD237" s="25" t="str">
        <f>BasicInput!$D$13&amp;$CD$2&amp;B237&amp;"_"&amp;C237&amp;D237&amp;"_"&amp;BasicInput!$D$7&amp;BasicInput!$D$8&amp;"_"&amp;CC237&amp;".xuf"</f>
        <v>C:\PWWORKING\east01\d2591108\Basic\__2019EX_PM_.xuf</v>
      </c>
    </row>
    <row r="238" spans="44:82" x14ac:dyDescent="0.2">
      <c r="AR238" s="18"/>
      <c r="AX238" s="18"/>
      <c r="CB238" s="31" t="str">
        <f t="shared" si="14"/>
        <v xml:space="preserve">  </v>
      </c>
      <c r="CC238" s="25" t="str">
        <f t="shared" si="15"/>
        <v/>
      </c>
      <c r="CD238" s="25" t="str">
        <f>BasicInput!$D$13&amp;$CD$2&amp;B238&amp;"_"&amp;C238&amp;D238&amp;"_"&amp;BasicInput!$D$7&amp;BasicInput!$D$8&amp;"_"&amp;CC238&amp;".xuf"</f>
        <v>C:\PWWORKING\east01\d2591108\Basic\__2019EX_PM_.xuf</v>
      </c>
    </row>
    <row r="239" spans="44:82" x14ac:dyDescent="0.2">
      <c r="AR239" s="18"/>
      <c r="AX239" s="18"/>
      <c r="CB239" s="31" t="str">
        <f t="shared" si="14"/>
        <v xml:space="preserve">  </v>
      </c>
      <c r="CC239" s="25" t="str">
        <f t="shared" si="15"/>
        <v/>
      </c>
      <c r="CD239" s="25" t="str">
        <f>BasicInput!$D$13&amp;$CD$2&amp;B239&amp;"_"&amp;C239&amp;D239&amp;"_"&amp;BasicInput!$D$7&amp;BasicInput!$D$8&amp;"_"&amp;CC239&amp;".xuf"</f>
        <v>C:\PWWORKING\east01\d2591108\Basic\__2019EX_PM_.xuf</v>
      </c>
    </row>
    <row r="240" spans="44:82" x14ac:dyDescent="0.2">
      <c r="AR240" s="18"/>
      <c r="AX240" s="18"/>
      <c r="CB240" s="31" t="str">
        <f t="shared" si="14"/>
        <v xml:space="preserve">  </v>
      </c>
      <c r="CC240" s="25" t="str">
        <f t="shared" si="15"/>
        <v/>
      </c>
      <c r="CD240" s="25" t="str">
        <f>BasicInput!$D$13&amp;$CD$2&amp;B240&amp;"_"&amp;C240&amp;D240&amp;"_"&amp;BasicInput!$D$7&amp;BasicInput!$D$8&amp;"_"&amp;CC240&amp;".xuf"</f>
        <v>C:\PWWORKING\east01\d2591108\Basic\__2019EX_PM_.xuf</v>
      </c>
    </row>
    <row r="241" spans="44:82" x14ac:dyDescent="0.2">
      <c r="AR241" s="18"/>
      <c r="AX241" s="18"/>
      <c r="CB241" s="31" t="str">
        <f t="shared" si="14"/>
        <v xml:space="preserve">  </v>
      </c>
      <c r="CC241" s="25" t="str">
        <f t="shared" si="15"/>
        <v/>
      </c>
      <c r="CD241" s="25" t="str">
        <f>BasicInput!$D$13&amp;$CD$2&amp;B241&amp;"_"&amp;C241&amp;D241&amp;"_"&amp;BasicInput!$D$7&amp;BasicInput!$D$8&amp;"_"&amp;CC241&amp;".xuf"</f>
        <v>C:\PWWORKING\east01\d2591108\Basic\__2019EX_PM_.xuf</v>
      </c>
    </row>
    <row r="242" spans="44:82" x14ac:dyDescent="0.2">
      <c r="AR242" s="18"/>
      <c r="AX242" s="18"/>
      <c r="CB242" s="31" t="str">
        <f t="shared" si="14"/>
        <v xml:space="preserve">  </v>
      </c>
      <c r="CC242" s="25" t="str">
        <f t="shared" si="15"/>
        <v/>
      </c>
      <c r="CD242" s="25" t="str">
        <f>BasicInput!$D$13&amp;$CD$2&amp;B242&amp;"_"&amp;C242&amp;D242&amp;"_"&amp;BasicInput!$D$7&amp;BasicInput!$D$8&amp;"_"&amp;CC242&amp;".xuf"</f>
        <v>C:\PWWORKING\east01\d2591108\Basic\__2019EX_PM_.xuf</v>
      </c>
    </row>
    <row r="243" spans="44:82" x14ac:dyDescent="0.2">
      <c r="AR243" s="18"/>
      <c r="AX243" s="18"/>
      <c r="CB243" s="31" t="str">
        <f t="shared" si="14"/>
        <v xml:space="preserve">  </v>
      </c>
      <c r="CC243" s="25" t="str">
        <f t="shared" si="15"/>
        <v/>
      </c>
      <c r="CD243" s="25" t="str">
        <f>BasicInput!$D$13&amp;$CD$2&amp;B243&amp;"_"&amp;C243&amp;D243&amp;"_"&amp;BasicInput!$D$7&amp;BasicInput!$D$8&amp;"_"&amp;CC243&amp;".xuf"</f>
        <v>C:\PWWORKING\east01\d2591108\Basic\__2019EX_PM_.xuf</v>
      </c>
    </row>
    <row r="244" spans="44:82" x14ac:dyDescent="0.2">
      <c r="AR244" s="18"/>
      <c r="AX244" s="18"/>
      <c r="CB244" s="31" t="str">
        <f t="shared" si="14"/>
        <v xml:space="preserve">  </v>
      </c>
      <c r="CC244" s="25" t="str">
        <f t="shared" si="15"/>
        <v/>
      </c>
      <c r="CD244" s="25" t="str">
        <f>BasicInput!$D$13&amp;$CD$2&amp;B244&amp;"_"&amp;C244&amp;D244&amp;"_"&amp;BasicInput!$D$7&amp;BasicInput!$D$8&amp;"_"&amp;CC244&amp;".xuf"</f>
        <v>C:\PWWORKING\east01\d2591108\Basic\__2019EX_PM_.xuf</v>
      </c>
    </row>
    <row r="245" spans="44:82" x14ac:dyDescent="0.2">
      <c r="AR245" s="18"/>
      <c r="AX245" s="18"/>
      <c r="CB245" s="31" t="str">
        <f t="shared" si="14"/>
        <v xml:space="preserve">  </v>
      </c>
      <c r="CC245" s="25" t="str">
        <f t="shared" si="15"/>
        <v/>
      </c>
      <c r="CD245" s="25" t="str">
        <f>BasicInput!$D$13&amp;$CD$2&amp;B245&amp;"_"&amp;C245&amp;D245&amp;"_"&amp;BasicInput!$D$7&amp;BasicInput!$D$8&amp;"_"&amp;CC245&amp;".xuf"</f>
        <v>C:\PWWORKING\east01\d2591108\Basic\__2019EX_PM_.xuf</v>
      </c>
    </row>
    <row r="246" spans="44:82" x14ac:dyDescent="0.2">
      <c r="AR246" s="18"/>
      <c r="AX246" s="18"/>
      <c r="CB246" s="31" t="str">
        <f t="shared" si="14"/>
        <v xml:space="preserve">  </v>
      </c>
      <c r="CC246" s="25" t="str">
        <f t="shared" si="15"/>
        <v/>
      </c>
      <c r="CD246" s="25" t="str">
        <f>BasicInput!$D$13&amp;$CD$2&amp;B246&amp;"_"&amp;C246&amp;D246&amp;"_"&amp;BasicInput!$D$7&amp;BasicInput!$D$8&amp;"_"&amp;CC246&amp;".xuf"</f>
        <v>C:\PWWORKING\east01\d2591108\Basic\__2019EX_PM_.xuf</v>
      </c>
    </row>
    <row r="247" spans="44:82" x14ac:dyDescent="0.2">
      <c r="AR247" s="18"/>
      <c r="AX247" s="18"/>
      <c r="CB247" s="31" t="str">
        <f t="shared" si="14"/>
        <v xml:space="preserve">  </v>
      </c>
      <c r="CC247" s="25" t="str">
        <f t="shared" si="15"/>
        <v/>
      </c>
      <c r="CD247" s="25" t="str">
        <f>BasicInput!$D$13&amp;$CD$2&amp;B247&amp;"_"&amp;C247&amp;D247&amp;"_"&amp;BasicInput!$D$7&amp;BasicInput!$D$8&amp;"_"&amp;CC247&amp;".xuf"</f>
        <v>C:\PWWORKING\east01\d2591108\Basic\__2019EX_PM_.xuf</v>
      </c>
    </row>
    <row r="248" spans="44:82" x14ac:dyDescent="0.2">
      <c r="AR248" s="18"/>
      <c r="AX248" s="18"/>
      <c r="CB248" s="31" t="str">
        <f t="shared" si="14"/>
        <v xml:space="preserve">  </v>
      </c>
      <c r="CC248" s="25" t="str">
        <f t="shared" si="15"/>
        <v/>
      </c>
      <c r="CD248" s="25" t="str">
        <f>BasicInput!$D$13&amp;$CD$2&amp;B248&amp;"_"&amp;C248&amp;D248&amp;"_"&amp;BasicInput!$D$7&amp;BasicInput!$D$8&amp;"_"&amp;CC248&amp;".xuf"</f>
        <v>C:\PWWORKING\east01\d2591108\Basic\__2019EX_PM_.xuf</v>
      </c>
    </row>
    <row r="249" spans="44:82" x14ac:dyDescent="0.2">
      <c r="AR249" s="18"/>
      <c r="AX249" s="18"/>
      <c r="CB249" s="31" t="str">
        <f t="shared" si="14"/>
        <v xml:space="preserve">  </v>
      </c>
      <c r="CC249" s="25" t="str">
        <f t="shared" si="15"/>
        <v/>
      </c>
      <c r="CD249" s="25" t="str">
        <f>BasicInput!$D$13&amp;$CD$2&amp;B249&amp;"_"&amp;C249&amp;D249&amp;"_"&amp;BasicInput!$D$7&amp;BasicInput!$D$8&amp;"_"&amp;CC249&amp;".xuf"</f>
        <v>C:\PWWORKING\east01\d2591108\Basic\__2019EX_PM_.xuf</v>
      </c>
    </row>
    <row r="250" spans="44:82" x14ac:dyDescent="0.2">
      <c r="AR250" s="18"/>
      <c r="AX250" s="18"/>
      <c r="CB250" s="31" t="str">
        <f t="shared" si="14"/>
        <v xml:space="preserve">  </v>
      </c>
      <c r="CC250" s="25" t="str">
        <f t="shared" si="15"/>
        <v/>
      </c>
      <c r="CD250" s="25" t="str">
        <f>BasicInput!$D$13&amp;$CD$2&amp;B250&amp;"_"&amp;C250&amp;D250&amp;"_"&amp;BasicInput!$D$7&amp;BasicInput!$D$8&amp;"_"&amp;CC250&amp;".xuf"</f>
        <v>C:\PWWORKING\east01\d2591108\Basic\__2019EX_PM_.xuf</v>
      </c>
    </row>
    <row r="251" spans="44:82" x14ac:dyDescent="0.2">
      <c r="AR251" s="18"/>
      <c r="AX251" s="18"/>
      <c r="CB251" s="31" t="str">
        <f t="shared" si="14"/>
        <v xml:space="preserve">  </v>
      </c>
      <c r="CC251" s="25" t="str">
        <f t="shared" si="15"/>
        <v/>
      </c>
      <c r="CD251" s="25" t="str">
        <f>BasicInput!$D$13&amp;$CD$2&amp;B251&amp;"_"&amp;C251&amp;D251&amp;"_"&amp;BasicInput!$D$7&amp;BasicInput!$D$8&amp;"_"&amp;CC251&amp;".xuf"</f>
        <v>C:\PWWORKING\east01\d2591108\Basic\__2019EX_PM_.xuf</v>
      </c>
    </row>
    <row r="252" spans="44:82" x14ac:dyDescent="0.2">
      <c r="AR252" s="18"/>
      <c r="AX252" s="18"/>
      <c r="CB252" s="31" t="str">
        <f t="shared" si="14"/>
        <v xml:space="preserve">  </v>
      </c>
      <c r="CC252" s="25" t="str">
        <f t="shared" si="15"/>
        <v/>
      </c>
      <c r="CD252" s="25" t="str">
        <f>BasicInput!$D$13&amp;$CD$2&amp;B252&amp;"_"&amp;C252&amp;D252&amp;"_"&amp;BasicInput!$D$7&amp;BasicInput!$D$8&amp;"_"&amp;CC252&amp;".xuf"</f>
        <v>C:\PWWORKING\east01\d2591108\Basic\__2019EX_PM_.xuf</v>
      </c>
    </row>
    <row r="253" spans="44:82" x14ac:dyDescent="0.2">
      <c r="AR253" s="18"/>
      <c r="AX253" s="18"/>
      <c r="CB253" s="31" t="str">
        <f t="shared" si="14"/>
        <v xml:space="preserve">  </v>
      </c>
      <c r="CC253" s="25" t="str">
        <f t="shared" si="15"/>
        <v/>
      </c>
      <c r="CD253" s="25" t="str">
        <f>BasicInput!$D$13&amp;$CD$2&amp;B253&amp;"_"&amp;C253&amp;D253&amp;"_"&amp;BasicInput!$D$7&amp;BasicInput!$D$8&amp;"_"&amp;CC253&amp;".xuf"</f>
        <v>C:\PWWORKING\east01\d2591108\Basic\__2019EX_PM_.xuf</v>
      </c>
    </row>
    <row r="254" spans="44:82" x14ac:dyDescent="0.2">
      <c r="AR254" s="18"/>
      <c r="AX254" s="18"/>
      <c r="CB254" s="31" t="str">
        <f t="shared" si="14"/>
        <v xml:space="preserve">  </v>
      </c>
      <c r="CC254" s="25" t="str">
        <f t="shared" si="15"/>
        <v/>
      </c>
      <c r="CD254" s="25" t="str">
        <f>BasicInput!$D$13&amp;$CD$2&amp;B254&amp;"_"&amp;C254&amp;D254&amp;"_"&amp;BasicInput!$D$7&amp;BasicInput!$D$8&amp;"_"&amp;CC254&amp;".xuf"</f>
        <v>C:\PWWORKING\east01\d2591108\Basic\__2019EX_PM_.xuf</v>
      </c>
    </row>
    <row r="255" spans="44:82" x14ac:dyDescent="0.2">
      <c r="AR255" s="18"/>
      <c r="AX255" s="18"/>
      <c r="CB255" s="31" t="str">
        <f t="shared" si="14"/>
        <v xml:space="preserve">  </v>
      </c>
      <c r="CC255" s="25" t="str">
        <f t="shared" si="15"/>
        <v/>
      </c>
      <c r="CD255" s="25" t="str">
        <f>BasicInput!$D$13&amp;$CD$2&amp;B255&amp;"_"&amp;C255&amp;D255&amp;"_"&amp;BasicInput!$D$7&amp;BasicInput!$D$8&amp;"_"&amp;CC255&amp;".xuf"</f>
        <v>C:\PWWORKING\east01\d2591108\Basic\__2019EX_PM_.xuf</v>
      </c>
    </row>
    <row r="256" spans="44:82" x14ac:dyDescent="0.2">
      <c r="AR256" s="18"/>
      <c r="AX256" s="18"/>
      <c r="CB256" s="31" t="str">
        <f t="shared" si="14"/>
        <v xml:space="preserve">  </v>
      </c>
      <c r="CC256" s="25" t="str">
        <f t="shared" si="15"/>
        <v/>
      </c>
      <c r="CD256" s="25" t="str">
        <f>BasicInput!$D$13&amp;$CD$2&amp;B256&amp;"_"&amp;C256&amp;D256&amp;"_"&amp;BasicInput!$D$7&amp;BasicInput!$D$8&amp;"_"&amp;CC256&amp;".xuf"</f>
        <v>C:\PWWORKING\east01\d2591108\Basic\__2019EX_PM_.xuf</v>
      </c>
    </row>
    <row r="257" spans="44:82" x14ac:dyDescent="0.2">
      <c r="AR257" s="18"/>
      <c r="AX257" s="18"/>
      <c r="CB257" s="31" t="str">
        <f t="shared" si="14"/>
        <v xml:space="preserve">  </v>
      </c>
      <c r="CC257" s="25" t="str">
        <f t="shared" si="15"/>
        <v/>
      </c>
      <c r="CD257" s="25" t="str">
        <f>BasicInput!$D$13&amp;$CD$2&amp;B257&amp;"_"&amp;C257&amp;D257&amp;"_"&amp;BasicInput!$D$7&amp;BasicInput!$D$8&amp;"_"&amp;CC257&amp;".xuf"</f>
        <v>C:\PWWORKING\east01\d2591108\Basic\__2019EX_PM_.xuf</v>
      </c>
    </row>
    <row r="258" spans="44:82" x14ac:dyDescent="0.2">
      <c r="AR258" s="18"/>
      <c r="AX258" s="18"/>
      <c r="CB258" s="31" t="str">
        <f t="shared" si="14"/>
        <v xml:space="preserve">  </v>
      </c>
      <c r="CC258" s="25" t="str">
        <f t="shared" si="15"/>
        <v/>
      </c>
      <c r="CD258" s="25" t="str">
        <f>BasicInput!$D$13&amp;$CD$2&amp;B258&amp;"_"&amp;C258&amp;D258&amp;"_"&amp;BasicInput!$D$7&amp;BasicInput!$D$8&amp;"_"&amp;CC258&amp;".xuf"</f>
        <v>C:\PWWORKING\east01\d2591108\Basic\__2019EX_PM_.xuf</v>
      </c>
    </row>
    <row r="259" spans="44:82" x14ac:dyDescent="0.2">
      <c r="AR259" s="18"/>
      <c r="AX259" s="18"/>
      <c r="CB259" s="31" t="str">
        <f t="shared" si="14"/>
        <v xml:space="preserve">  </v>
      </c>
      <c r="CC259" s="25" t="str">
        <f t="shared" si="15"/>
        <v/>
      </c>
      <c r="CD259" s="25" t="str">
        <f>BasicInput!$D$13&amp;$CD$2&amp;B259&amp;"_"&amp;C259&amp;D259&amp;"_"&amp;BasicInput!$D$7&amp;BasicInput!$D$8&amp;"_"&amp;CC259&amp;".xuf"</f>
        <v>C:\PWWORKING\east01\d2591108\Basic\__2019EX_PM_.xuf</v>
      </c>
    </row>
    <row r="260" spans="44:82" x14ac:dyDescent="0.2">
      <c r="AR260" s="18"/>
      <c r="AX260" s="18"/>
      <c r="CB260" s="31" t="str">
        <f t="shared" si="14"/>
        <v xml:space="preserve">  </v>
      </c>
      <c r="CC260" s="25" t="str">
        <f t="shared" si="15"/>
        <v/>
      </c>
      <c r="CD260" s="25" t="str">
        <f>BasicInput!$D$13&amp;$CD$2&amp;B260&amp;"_"&amp;C260&amp;D260&amp;"_"&amp;BasicInput!$D$7&amp;BasicInput!$D$8&amp;"_"&amp;CC260&amp;".xuf"</f>
        <v>C:\PWWORKING\east01\d2591108\Basic\__2019EX_PM_.xuf</v>
      </c>
    </row>
    <row r="261" spans="44:82" x14ac:dyDescent="0.2">
      <c r="AR261" s="18"/>
      <c r="AX261" s="18"/>
      <c r="CB261" s="31" t="str">
        <f t="shared" si="14"/>
        <v xml:space="preserve">  </v>
      </c>
      <c r="CC261" s="25" t="str">
        <f t="shared" si="15"/>
        <v/>
      </c>
      <c r="CD261" s="25" t="str">
        <f>BasicInput!$D$13&amp;$CD$2&amp;B261&amp;"_"&amp;C261&amp;D261&amp;"_"&amp;BasicInput!$D$7&amp;BasicInput!$D$8&amp;"_"&amp;CC261&amp;".xuf"</f>
        <v>C:\PWWORKING\east01\d2591108\Basic\__2019EX_PM_.xuf</v>
      </c>
    </row>
    <row r="262" spans="44:82" x14ac:dyDescent="0.2">
      <c r="AR262" s="18"/>
      <c r="AX262" s="18"/>
      <c r="CB262" s="31" t="str">
        <f t="shared" si="14"/>
        <v xml:space="preserve">  </v>
      </c>
      <c r="CC262" s="25" t="str">
        <f t="shared" si="15"/>
        <v/>
      </c>
      <c r="CD262" s="25" t="str">
        <f>BasicInput!$D$13&amp;$CD$2&amp;B262&amp;"_"&amp;C262&amp;D262&amp;"_"&amp;BasicInput!$D$7&amp;BasicInput!$D$8&amp;"_"&amp;CC262&amp;".xuf"</f>
        <v>C:\PWWORKING\east01\d2591108\Basic\__2019EX_PM_.xuf</v>
      </c>
    </row>
    <row r="263" spans="44:82" x14ac:dyDescent="0.2">
      <c r="AR263" s="18"/>
      <c r="AX263" s="18"/>
      <c r="CB263" s="31" t="str">
        <f t="shared" si="14"/>
        <v xml:space="preserve">  </v>
      </c>
      <c r="CC263" s="25" t="str">
        <f t="shared" si="15"/>
        <v/>
      </c>
      <c r="CD263" s="25" t="str">
        <f>BasicInput!$D$13&amp;$CD$2&amp;B263&amp;"_"&amp;C263&amp;D263&amp;"_"&amp;BasicInput!$D$7&amp;BasicInput!$D$8&amp;"_"&amp;CC263&amp;".xuf"</f>
        <v>C:\PWWORKING\east01\d2591108\Basic\__2019EX_PM_.xuf</v>
      </c>
    </row>
    <row r="264" spans="44:82" x14ac:dyDescent="0.2">
      <c r="AR264" s="18"/>
      <c r="AX264" s="18"/>
      <c r="CB264" s="31" t="str">
        <f t="shared" si="14"/>
        <v xml:space="preserve">  </v>
      </c>
      <c r="CC264" s="25" t="str">
        <f t="shared" si="15"/>
        <v/>
      </c>
      <c r="CD264" s="25" t="str">
        <f>BasicInput!$D$13&amp;$CD$2&amp;B264&amp;"_"&amp;C264&amp;D264&amp;"_"&amp;BasicInput!$D$7&amp;BasicInput!$D$8&amp;"_"&amp;CC264&amp;".xuf"</f>
        <v>C:\PWWORKING\east01\d2591108\Basic\__2019EX_PM_.xuf</v>
      </c>
    </row>
    <row r="265" spans="44:82" x14ac:dyDescent="0.2">
      <c r="AR265" s="18"/>
      <c r="AX265" s="18"/>
      <c r="CB265" s="31" t="str">
        <f t="shared" si="14"/>
        <v xml:space="preserve">  </v>
      </c>
      <c r="CC265" s="25" t="str">
        <f t="shared" si="15"/>
        <v/>
      </c>
      <c r="CD265" s="25" t="str">
        <f>BasicInput!$D$13&amp;$CD$2&amp;B265&amp;"_"&amp;C265&amp;D265&amp;"_"&amp;BasicInput!$D$7&amp;BasicInput!$D$8&amp;"_"&amp;CC265&amp;".xuf"</f>
        <v>C:\PWWORKING\east01\d2591108\Basic\__2019EX_PM_.xuf</v>
      </c>
    </row>
    <row r="266" spans="44:82" x14ac:dyDescent="0.2">
      <c r="AR266" s="18"/>
      <c r="AX266" s="18"/>
      <c r="CB266" s="31" t="str">
        <f t="shared" si="14"/>
        <v xml:space="preserve">  </v>
      </c>
      <c r="CC266" s="25" t="str">
        <f t="shared" si="15"/>
        <v/>
      </c>
      <c r="CD266" s="25" t="str">
        <f>BasicInput!$D$13&amp;$CD$2&amp;B266&amp;"_"&amp;C266&amp;D266&amp;"_"&amp;BasicInput!$D$7&amp;BasicInput!$D$8&amp;"_"&amp;CC266&amp;".xuf"</f>
        <v>C:\PWWORKING\east01\d2591108\Basic\__2019EX_PM_.xuf</v>
      </c>
    </row>
    <row r="267" spans="44:82" x14ac:dyDescent="0.2">
      <c r="AR267" s="18"/>
      <c r="AX267" s="18"/>
      <c r="CB267" s="31" t="str">
        <f t="shared" si="14"/>
        <v xml:space="preserve">  </v>
      </c>
      <c r="CC267" s="25" t="str">
        <f t="shared" si="15"/>
        <v/>
      </c>
      <c r="CD267" s="25" t="str">
        <f>BasicInput!$D$13&amp;$CD$2&amp;B267&amp;"_"&amp;C267&amp;D267&amp;"_"&amp;BasicInput!$D$7&amp;BasicInput!$D$8&amp;"_"&amp;CC267&amp;".xuf"</f>
        <v>C:\PWWORKING\east01\d2591108\Basic\__2019EX_PM_.xuf</v>
      </c>
    </row>
    <row r="268" spans="44:82" x14ac:dyDescent="0.2">
      <c r="AR268" s="18"/>
      <c r="AX268" s="18"/>
      <c r="CB268" s="31" t="str">
        <f t="shared" si="14"/>
        <v xml:space="preserve">  </v>
      </c>
      <c r="CC268" s="25" t="str">
        <f t="shared" si="15"/>
        <v/>
      </c>
      <c r="CD268" s="25" t="str">
        <f>BasicInput!$D$13&amp;$CD$2&amp;B268&amp;"_"&amp;C268&amp;D268&amp;"_"&amp;BasicInput!$D$7&amp;BasicInput!$D$8&amp;"_"&amp;CC268&amp;".xuf"</f>
        <v>C:\PWWORKING\east01\d2591108\Basic\__2019EX_PM_.xuf</v>
      </c>
    </row>
    <row r="269" spans="44:82" x14ac:dyDescent="0.2">
      <c r="AR269" s="18"/>
      <c r="AX269" s="18"/>
      <c r="CB269" s="31" t="str">
        <f t="shared" si="14"/>
        <v xml:space="preserve">  </v>
      </c>
      <c r="CC269" s="25" t="str">
        <f t="shared" si="15"/>
        <v/>
      </c>
      <c r="CD269" s="25" t="str">
        <f>BasicInput!$D$13&amp;$CD$2&amp;B269&amp;"_"&amp;C269&amp;D269&amp;"_"&amp;BasicInput!$D$7&amp;BasicInput!$D$8&amp;"_"&amp;CC269&amp;".xuf"</f>
        <v>C:\PWWORKING\east01\d2591108\Basic\__2019EX_PM_.xuf</v>
      </c>
    </row>
    <row r="270" spans="44:82" x14ac:dyDescent="0.2">
      <c r="AR270" s="18"/>
      <c r="AX270" s="18"/>
      <c r="CB270" s="31" t="str">
        <f t="shared" si="14"/>
        <v xml:space="preserve">  </v>
      </c>
      <c r="CC270" s="25" t="str">
        <f t="shared" si="15"/>
        <v/>
      </c>
      <c r="CD270" s="25" t="str">
        <f>BasicInput!$D$13&amp;$CD$2&amp;B270&amp;"_"&amp;C270&amp;D270&amp;"_"&amp;BasicInput!$D$7&amp;BasicInput!$D$8&amp;"_"&amp;CC270&amp;".xuf"</f>
        <v>C:\PWWORKING\east01\d2591108\Basic\__2019EX_PM_.xuf</v>
      </c>
    </row>
    <row r="271" spans="44:82" x14ac:dyDescent="0.2">
      <c r="AR271" s="18"/>
      <c r="AX271" s="18"/>
      <c r="CB271" s="31" t="str">
        <f t="shared" si="14"/>
        <v xml:space="preserve">  </v>
      </c>
      <c r="CC271" s="25" t="str">
        <f t="shared" si="15"/>
        <v/>
      </c>
      <c r="CD271" s="25" t="str">
        <f>BasicInput!$D$13&amp;$CD$2&amp;B271&amp;"_"&amp;C271&amp;D271&amp;"_"&amp;BasicInput!$D$7&amp;BasicInput!$D$8&amp;"_"&amp;CC271&amp;".xuf"</f>
        <v>C:\PWWORKING\east01\d2591108\Basic\__2019EX_PM_.xuf</v>
      </c>
    </row>
    <row r="272" spans="44:82" x14ac:dyDescent="0.2">
      <c r="AR272" s="18"/>
      <c r="AX272" s="18"/>
      <c r="CB272" s="31" t="str">
        <f t="shared" si="14"/>
        <v xml:space="preserve">  </v>
      </c>
      <c r="CC272" s="25" t="str">
        <f t="shared" si="15"/>
        <v/>
      </c>
      <c r="CD272" s="25" t="str">
        <f>BasicInput!$D$13&amp;$CD$2&amp;B272&amp;"_"&amp;C272&amp;D272&amp;"_"&amp;BasicInput!$D$7&amp;BasicInput!$D$8&amp;"_"&amp;CC272&amp;".xuf"</f>
        <v>C:\PWWORKING\east01\d2591108\Basic\__2019EX_PM_.xuf</v>
      </c>
    </row>
    <row r="273" spans="44:82" x14ac:dyDescent="0.2">
      <c r="AR273" s="18"/>
      <c r="AX273" s="18"/>
      <c r="CB273" s="31" t="str">
        <f t="shared" ref="CB273:CB336" si="16">C273&amp; " "&amp;D273&amp;" " &amp;E273</f>
        <v xml:space="preserve">  </v>
      </c>
      <c r="CC273" s="25" t="str">
        <f t="shared" ref="CC273:CC336" si="17">SUBSTITUTE(E273, "/", "_")</f>
        <v/>
      </c>
      <c r="CD273" s="25" t="str">
        <f>BasicInput!$D$13&amp;$CD$2&amp;B273&amp;"_"&amp;C273&amp;D273&amp;"_"&amp;BasicInput!$D$7&amp;BasicInput!$D$8&amp;"_"&amp;CC273&amp;".xuf"</f>
        <v>C:\PWWORKING\east01\d2591108\Basic\__2019EX_PM_.xuf</v>
      </c>
    </row>
    <row r="274" spans="44:82" x14ac:dyDescent="0.2">
      <c r="AR274" s="18"/>
      <c r="AX274" s="18"/>
      <c r="CB274" s="31" t="str">
        <f t="shared" si="16"/>
        <v xml:space="preserve">  </v>
      </c>
      <c r="CC274" s="25" t="str">
        <f t="shared" si="17"/>
        <v/>
      </c>
      <c r="CD274" s="25" t="str">
        <f>BasicInput!$D$13&amp;$CD$2&amp;B274&amp;"_"&amp;C274&amp;D274&amp;"_"&amp;BasicInput!$D$7&amp;BasicInput!$D$8&amp;"_"&amp;CC274&amp;".xuf"</f>
        <v>C:\PWWORKING\east01\d2591108\Basic\__2019EX_PM_.xuf</v>
      </c>
    </row>
    <row r="275" spans="44:82" x14ac:dyDescent="0.2">
      <c r="AR275" s="18"/>
      <c r="AX275" s="18"/>
      <c r="CB275" s="31" t="str">
        <f t="shared" si="16"/>
        <v xml:space="preserve">  </v>
      </c>
      <c r="CC275" s="25" t="str">
        <f t="shared" si="17"/>
        <v/>
      </c>
      <c r="CD275" s="25" t="str">
        <f>BasicInput!$D$13&amp;$CD$2&amp;B275&amp;"_"&amp;C275&amp;D275&amp;"_"&amp;BasicInput!$D$7&amp;BasicInput!$D$8&amp;"_"&amp;CC275&amp;".xuf"</f>
        <v>C:\PWWORKING\east01\d2591108\Basic\__2019EX_PM_.xuf</v>
      </c>
    </row>
    <row r="276" spans="44:82" x14ac:dyDescent="0.2">
      <c r="AR276" s="18"/>
      <c r="AX276" s="18"/>
      <c r="CB276" s="31" t="str">
        <f t="shared" si="16"/>
        <v xml:space="preserve">  </v>
      </c>
      <c r="CC276" s="25" t="str">
        <f t="shared" si="17"/>
        <v/>
      </c>
      <c r="CD276" s="25" t="str">
        <f>BasicInput!$D$13&amp;$CD$2&amp;B276&amp;"_"&amp;C276&amp;D276&amp;"_"&amp;BasicInput!$D$7&amp;BasicInput!$D$8&amp;"_"&amp;CC276&amp;".xuf"</f>
        <v>C:\PWWORKING\east01\d2591108\Basic\__2019EX_PM_.xuf</v>
      </c>
    </row>
    <row r="277" spans="44:82" x14ac:dyDescent="0.2">
      <c r="AR277" s="18"/>
      <c r="AX277" s="18"/>
      <c r="CB277" s="31" t="str">
        <f t="shared" si="16"/>
        <v xml:space="preserve">  </v>
      </c>
      <c r="CC277" s="25" t="str">
        <f t="shared" si="17"/>
        <v/>
      </c>
      <c r="CD277" s="25" t="str">
        <f>BasicInput!$D$13&amp;$CD$2&amp;B277&amp;"_"&amp;C277&amp;D277&amp;"_"&amp;BasicInput!$D$7&amp;BasicInput!$D$8&amp;"_"&amp;CC277&amp;".xuf"</f>
        <v>C:\PWWORKING\east01\d2591108\Basic\__2019EX_PM_.xuf</v>
      </c>
    </row>
    <row r="278" spans="44:82" x14ac:dyDescent="0.2">
      <c r="AR278" s="18"/>
      <c r="AX278" s="18"/>
      <c r="CB278" s="31" t="str">
        <f t="shared" si="16"/>
        <v xml:space="preserve">  </v>
      </c>
      <c r="CC278" s="25" t="str">
        <f t="shared" si="17"/>
        <v/>
      </c>
      <c r="CD278" s="25" t="str">
        <f>BasicInput!$D$13&amp;$CD$2&amp;B278&amp;"_"&amp;C278&amp;D278&amp;"_"&amp;BasicInput!$D$7&amp;BasicInput!$D$8&amp;"_"&amp;CC278&amp;".xuf"</f>
        <v>C:\PWWORKING\east01\d2591108\Basic\__2019EX_PM_.xuf</v>
      </c>
    </row>
    <row r="279" spans="44:82" x14ac:dyDescent="0.2">
      <c r="AR279" s="18"/>
      <c r="AX279" s="18"/>
      <c r="CB279" s="31" t="str">
        <f t="shared" si="16"/>
        <v xml:space="preserve">  </v>
      </c>
      <c r="CC279" s="25" t="str">
        <f t="shared" si="17"/>
        <v/>
      </c>
      <c r="CD279" s="25" t="str">
        <f>BasicInput!$D$13&amp;$CD$2&amp;B279&amp;"_"&amp;C279&amp;D279&amp;"_"&amp;BasicInput!$D$7&amp;BasicInput!$D$8&amp;"_"&amp;CC279&amp;".xuf"</f>
        <v>C:\PWWORKING\east01\d2591108\Basic\__2019EX_PM_.xuf</v>
      </c>
    </row>
    <row r="280" spans="44:82" x14ac:dyDescent="0.2">
      <c r="AR280" s="18"/>
      <c r="AX280" s="18"/>
      <c r="CB280" s="31" t="str">
        <f t="shared" si="16"/>
        <v xml:space="preserve">  </v>
      </c>
      <c r="CC280" s="25" t="str">
        <f t="shared" si="17"/>
        <v/>
      </c>
      <c r="CD280" s="25" t="str">
        <f>BasicInput!$D$13&amp;$CD$2&amp;B280&amp;"_"&amp;C280&amp;D280&amp;"_"&amp;BasicInput!$D$7&amp;BasicInput!$D$8&amp;"_"&amp;CC280&amp;".xuf"</f>
        <v>C:\PWWORKING\east01\d2591108\Basic\__2019EX_PM_.xuf</v>
      </c>
    </row>
    <row r="281" spans="44:82" x14ac:dyDescent="0.2">
      <c r="AR281" s="18"/>
      <c r="AX281" s="18"/>
      <c r="CB281" s="31" t="str">
        <f t="shared" si="16"/>
        <v xml:space="preserve">  </v>
      </c>
      <c r="CC281" s="25" t="str">
        <f t="shared" si="17"/>
        <v/>
      </c>
      <c r="CD281" s="25" t="str">
        <f>BasicInput!$D$13&amp;$CD$2&amp;B281&amp;"_"&amp;C281&amp;D281&amp;"_"&amp;BasicInput!$D$7&amp;BasicInput!$D$8&amp;"_"&amp;CC281&amp;".xuf"</f>
        <v>C:\PWWORKING\east01\d2591108\Basic\__2019EX_PM_.xuf</v>
      </c>
    </row>
    <row r="282" spans="44:82" x14ac:dyDescent="0.2">
      <c r="AR282" s="18"/>
      <c r="AX282" s="18"/>
      <c r="CB282" s="31" t="str">
        <f t="shared" si="16"/>
        <v xml:space="preserve">  </v>
      </c>
      <c r="CC282" s="25" t="str">
        <f t="shared" si="17"/>
        <v/>
      </c>
      <c r="CD282" s="25" t="str">
        <f>BasicInput!$D$13&amp;$CD$2&amp;B282&amp;"_"&amp;C282&amp;D282&amp;"_"&amp;BasicInput!$D$7&amp;BasicInput!$D$8&amp;"_"&amp;CC282&amp;".xuf"</f>
        <v>C:\PWWORKING\east01\d2591108\Basic\__2019EX_PM_.xuf</v>
      </c>
    </row>
    <row r="283" spans="44:82" x14ac:dyDescent="0.2">
      <c r="AR283" s="18"/>
      <c r="AX283" s="18"/>
      <c r="CB283" s="31" t="str">
        <f t="shared" si="16"/>
        <v xml:space="preserve">  </v>
      </c>
      <c r="CC283" s="25" t="str">
        <f t="shared" si="17"/>
        <v/>
      </c>
      <c r="CD283" s="25" t="str">
        <f>BasicInput!$D$13&amp;$CD$2&amp;B283&amp;"_"&amp;C283&amp;D283&amp;"_"&amp;BasicInput!$D$7&amp;BasicInput!$D$8&amp;"_"&amp;CC283&amp;".xuf"</f>
        <v>C:\PWWORKING\east01\d2591108\Basic\__2019EX_PM_.xuf</v>
      </c>
    </row>
    <row r="284" spans="44:82" x14ac:dyDescent="0.2">
      <c r="AR284" s="18"/>
      <c r="AX284" s="18"/>
      <c r="CB284" s="31" t="str">
        <f t="shared" si="16"/>
        <v xml:space="preserve">  </v>
      </c>
      <c r="CC284" s="25" t="str">
        <f t="shared" si="17"/>
        <v/>
      </c>
      <c r="CD284" s="25" t="str">
        <f>BasicInput!$D$13&amp;$CD$2&amp;B284&amp;"_"&amp;C284&amp;D284&amp;"_"&amp;BasicInput!$D$7&amp;BasicInput!$D$8&amp;"_"&amp;CC284&amp;".xuf"</f>
        <v>C:\PWWORKING\east01\d2591108\Basic\__2019EX_PM_.xuf</v>
      </c>
    </row>
    <row r="285" spans="44:82" x14ac:dyDescent="0.2">
      <c r="AR285" s="18"/>
      <c r="AX285" s="18"/>
      <c r="CB285" s="31" t="str">
        <f t="shared" si="16"/>
        <v xml:space="preserve">  </v>
      </c>
      <c r="CC285" s="25" t="str">
        <f t="shared" si="17"/>
        <v/>
      </c>
      <c r="CD285" s="25" t="str">
        <f>BasicInput!$D$13&amp;$CD$2&amp;B285&amp;"_"&amp;C285&amp;D285&amp;"_"&amp;BasicInput!$D$7&amp;BasicInput!$D$8&amp;"_"&amp;CC285&amp;".xuf"</f>
        <v>C:\PWWORKING\east01\d2591108\Basic\__2019EX_PM_.xuf</v>
      </c>
    </row>
    <row r="286" spans="44:82" x14ac:dyDescent="0.2">
      <c r="AR286" s="18"/>
      <c r="AX286" s="18"/>
      <c r="CB286" s="31" t="str">
        <f t="shared" si="16"/>
        <v xml:space="preserve">  </v>
      </c>
      <c r="CC286" s="25" t="str">
        <f t="shared" si="17"/>
        <v/>
      </c>
      <c r="CD286" s="25" t="str">
        <f>BasicInput!$D$13&amp;$CD$2&amp;B286&amp;"_"&amp;C286&amp;D286&amp;"_"&amp;BasicInput!$D$7&amp;BasicInput!$D$8&amp;"_"&amp;CC286&amp;".xuf"</f>
        <v>C:\PWWORKING\east01\d2591108\Basic\__2019EX_PM_.xuf</v>
      </c>
    </row>
    <row r="287" spans="44:82" x14ac:dyDescent="0.2">
      <c r="AR287" s="18"/>
      <c r="AX287" s="18"/>
      <c r="CB287" s="31" t="str">
        <f t="shared" si="16"/>
        <v xml:space="preserve">  </v>
      </c>
      <c r="CC287" s="25" t="str">
        <f t="shared" si="17"/>
        <v/>
      </c>
      <c r="CD287" s="25" t="str">
        <f>BasicInput!$D$13&amp;$CD$2&amp;B287&amp;"_"&amp;C287&amp;D287&amp;"_"&amp;BasicInput!$D$7&amp;BasicInput!$D$8&amp;"_"&amp;CC287&amp;".xuf"</f>
        <v>C:\PWWORKING\east01\d2591108\Basic\__2019EX_PM_.xuf</v>
      </c>
    </row>
    <row r="288" spans="44:82" x14ac:dyDescent="0.2">
      <c r="AR288" s="18"/>
      <c r="AX288" s="18"/>
      <c r="CB288" s="31" t="str">
        <f t="shared" si="16"/>
        <v xml:space="preserve">  </v>
      </c>
      <c r="CC288" s="25" t="str">
        <f t="shared" si="17"/>
        <v/>
      </c>
      <c r="CD288" s="25" t="str">
        <f>BasicInput!$D$13&amp;$CD$2&amp;B288&amp;"_"&amp;C288&amp;D288&amp;"_"&amp;BasicInput!$D$7&amp;BasicInput!$D$8&amp;"_"&amp;CC288&amp;".xuf"</f>
        <v>C:\PWWORKING\east01\d2591108\Basic\__2019EX_PM_.xuf</v>
      </c>
    </row>
    <row r="289" spans="44:82" x14ac:dyDescent="0.2">
      <c r="AR289" s="18"/>
      <c r="AX289" s="18"/>
      <c r="CB289" s="31" t="str">
        <f t="shared" si="16"/>
        <v xml:space="preserve">  </v>
      </c>
      <c r="CC289" s="25" t="str">
        <f t="shared" si="17"/>
        <v/>
      </c>
      <c r="CD289" s="25" t="str">
        <f>BasicInput!$D$13&amp;$CD$2&amp;B289&amp;"_"&amp;C289&amp;D289&amp;"_"&amp;BasicInput!$D$7&amp;BasicInput!$D$8&amp;"_"&amp;CC289&amp;".xuf"</f>
        <v>C:\PWWORKING\east01\d2591108\Basic\__2019EX_PM_.xuf</v>
      </c>
    </row>
    <row r="290" spans="44:82" x14ac:dyDescent="0.2">
      <c r="AR290" s="18"/>
      <c r="AX290" s="18"/>
      <c r="CB290" s="31" t="str">
        <f t="shared" si="16"/>
        <v xml:space="preserve">  </v>
      </c>
      <c r="CC290" s="25" t="str">
        <f t="shared" si="17"/>
        <v/>
      </c>
      <c r="CD290" s="25" t="str">
        <f>BasicInput!$D$13&amp;$CD$2&amp;B290&amp;"_"&amp;C290&amp;D290&amp;"_"&amp;BasicInput!$D$7&amp;BasicInput!$D$8&amp;"_"&amp;CC290&amp;".xuf"</f>
        <v>C:\PWWORKING\east01\d2591108\Basic\__2019EX_PM_.xuf</v>
      </c>
    </row>
    <row r="291" spans="44:82" x14ac:dyDescent="0.2">
      <c r="AR291" s="18"/>
      <c r="AX291" s="18"/>
      <c r="CB291" s="31" t="str">
        <f t="shared" si="16"/>
        <v xml:space="preserve">  </v>
      </c>
      <c r="CC291" s="25" t="str">
        <f t="shared" si="17"/>
        <v/>
      </c>
      <c r="CD291" s="25" t="str">
        <f>BasicInput!$D$13&amp;$CD$2&amp;B291&amp;"_"&amp;C291&amp;D291&amp;"_"&amp;BasicInput!$D$7&amp;BasicInput!$D$8&amp;"_"&amp;CC291&amp;".xuf"</f>
        <v>C:\PWWORKING\east01\d2591108\Basic\__2019EX_PM_.xuf</v>
      </c>
    </row>
    <row r="292" spans="44:82" x14ac:dyDescent="0.2">
      <c r="AR292" s="18"/>
      <c r="AX292" s="18"/>
      <c r="CB292" s="31" t="str">
        <f t="shared" si="16"/>
        <v xml:space="preserve">  </v>
      </c>
      <c r="CC292" s="25" t="str">
        <f t="shared" si="17"/>
        <v/>
      </c>
      <c r="CD292" s="25" t="str">
        <f>BasicInput!$D$13&amp;$CD$2&amp;B292&amp;"_"&amp;C292&amp;D292&amp;"_"&amp;BasicInput!$D$7&amp;BasicInput!$D$8&amp;"_"&amp;CC292&amp;".xuf"</f>
        <v>C:\PWWORKING\east01\d2591108\Basic\__2019EX_PM_.xuf</v>
      </c>
    </row>
    <row r="293" spans="44:82" x14ac:dyDescent="0.2">
      <c r="AR293" s="18"/>
      <c r="AX293" s="18"/>
      <c r="CB293" s="31" t="str">
        <f t="shared" si="16"/>
        <v xml:space="preserve">  </v>
      </c>
      <c r="CC293" s="25" t="str">
        <f t="shared" si="17"/>
        <v/>
      </c>
      <c r="CD293" s="25" t="str">
        <f>BasicInput!$D$13&amp;$CD$2&amp;B293&amp;"_"&amp;C293&amp;D293&amp;"_"&amp;BasicInput!$D$7&amp;BasicInput!$D$8&amp;"_"&amp;CC293&amp;".xuf"</f>
        <v>C:\PWWORKING\east01\d2591108\Basic\__2019EX_PM_.xuf</v>
      </c>
    </row>
    <row r="294" spans="44:82" x14ac:dyDescent="0.2">
      <c r="AR294" s="18"/>
      <c r="AX294" s="18"/>
      <c r="CB294" s="31" t="str">
        <f t="shared" si="16"/>
        <v xml:space="preserve">  </v>
      </c>
      <c r="CC294" s="25" t="str">
        <f t="shared" si="17"/>
        <v/>
      </c>
      <c r="CD294" s="25" t="str">
        <f>BasicInput!$D$13&amp;$CD$2&amp;B294&amp;"_"&amp;C294&amp;D294&amp;"_"&amp;BasicInput!$D$7&amp;BasicInput!$D$8&amp;"_"&amp;CC294&amp;".xuf"</f>
        <v>C:\PWWORKING\east01\d2591108\Basic\__2019EX_PM_.xuf</v>
      </c>
    </row>
    <row r="295" spans="44:82" x14ac:dyDescent="0.2">
      <c r="AR295" s="18"/>
      <c r="AX295" s="18"/>
      <c r="CB295" s="31" t="str">
        <f t="shared" si="16"/>
        <v xml:space="preserve">  </v>
      </c>
      <c r="CC295" s="25" t="str">
        <f t="shared" si="17"/>
        <v/>
      </c>
      <c r="CD295" s="25" t="str">
        <f>BasicInput!$D$13&amp;$CD$2&amp;B295&amp;"_"&amp;C295&amp;D295&amp;"_"&amp;BasicInput!$D$7&amp;BasicInput!$D$8&amp;"_"&amp;CC295&amp;".xuf"</f>
        <v>C:\PWWORKING\east01\d2591108\Basic\__2019EX_PM_.xuf</v>
      </c>
    </row>
    <row r="296" spans="44:82" x14ac:dyDescent="0.2">
      <c r="AR296" s="18"/>
      <c r="AX296" s="18"/>
      <c r="CB296" s="31" t="str">
        <f t="shared" si="16"/>
        <v xml:space="preserve">  </v>
      </c>
      <c r="CC296" s="25" t="str">
        <f t="shared" si="17"/>
        <v/>
      </c>
      <c r="CD296" s="25" t="str">
        <f>BasicInput!$D$13&amp;$CD$2&amp;B296&amp;"_"&amp;C296&amp;D296&amp;"_"&amp;BasicInput!$D$7&amp;BasicInput!$D$8&amp;"_"&amp;CC296&amp;".xuf"</f>
        <v>C:\PWWORKING\east01\d2591108\Basic\__2019EX_PM_.xuf</v>
      </c>
    </row>
    <row r="297" spans="44:82" x14ac:dyDescent="0.2">
      <c r="AR297" s="18"/>
      <c r="AX297" s="18"/>
      <c r="CB297" s="31" t="str">
        <f t="shared" si="16"/>
        <v xml:space="preserve">  </v>
      </c>
      <c r="CC297" s="25" t="str">
        <f t="shared" si="17"/>
        <v/>
      </c>
      <c r="CD297" s="25" t="str">
        <f>BasicInput!$D$13&amp;$CD$2&amp;B297&amp;"_"&amp;C297&amp;D297&amp;"_"&amp;BasicInput!$D$7&amp;BasicInput!$D$8&amp;"_"&amp;CC297&amp;".xuf"</f>
        <v>C:\PWWORKING\east01\d2591108\Basic\__2019EX_PM_.xuf</v>
      </c>
    </row>
    <row r="298" spans="44:82" x14ac:dyDescent="0.2">
      <c r="AR298" s="18"/>
      <c r="AX298" s="18"/>
      <c r="CB298" s="31" t="str">
        <f t="shared" si="16"/>
        <v xml:space="preserve">  </v>
      </c>
      <c r="CC298" s="25" t="str">
        <f t="shared" si="17"/>
        <v/>
      </c>
      <c r="CD298" s="25" t="str">
        <f>BasicInput!$D$13&amp;$CD$2&amp;B298&amp;"_"&amp;C298&amp;D298&amp;"_"&amp;BasicInput!$D$7&amp;BasicInput!$D$8&amp;"_"&amp;CC298&amp;".xuf"</f>
        <v>C:\PWWORKING\east01\d2591108\Basic\__2019EX_PM_.xuf</v>
      </c>
    </row>
    <row r="299" spans="44:82" x14ac:dyDescent="0.2">
      <c r="AR299" s="18"/>
      <c r="AX299" s="18"/>
      <c r="CB299" s="31" t="str">
        <f t="shared" si="16"/>
        <v xml:space="preserve">  </v>
      </c>
      <c r="CC299" s="25" t="str">
        <f t="shared" si="17"/>
        <v/>
      </c>
      <c r="CD299" s="25" t="str">
        <f>BasicInput!$D$13&amp;$CD$2&amp;B299&amp;"_"&amp;C299&amp;D299&amp;"_"&amp;BasicInput!$D$7&amp;BasicInput!$D$8&amp;"_"&amp;CC299&amp;".xuf"</f>
        <v>C:\PWWORKING\east01\d2591108\Basic\__2019EX_PM_.xuf</v>
      </c>
    </row>
    <row r="300" spans="44:82" x14ac:dyDescent="0.2">
      <c r="AR300" s="18"/>
      <c r="AX300" s="18"/>
      <c r="CB300" s="31" t="str">
        <f t="shared" si="16"/>
        <v xml:space="preserve">  </v>
      </c>
      <c r="CC300" s="25" t="str">
        <f t="shared" si="17"/>
        <v/>
      </c>
      <c r="CD300" s="25" t="str">
        <f>BasicInput!$D$13&amp;$CD$2&amp;B300&amp;"_"&amp;C300&amp;D300&amp;"_"&amp;BasicInput!$D$7&amp;BasicInput!$D$8&amp;"_"&amp;CC300&amp;".xuf"</f>
        <v>C:\PWWORKING\east01\d2591108\Basic\__2019EX_PM_.xuf</v>
      </c>
    </row>
    <row r="301" spans="44:82" x14ac:dyDescent="0.2">
      <c r="AR301" s="18"/>
      <c r="AX301" s="18"/>
      <c r="CB301" s="31" t="str">
        <f t="shared" si="16"/>
        <v xml:space="preserve">  </v>
      </c>
      <c r="CC301" s="25" t="str">
        <f t="shared" si="17"/>
        <v/>
      </c>
      <c r="CD301" s="25" t="str">
        <f>BasicInput!$D$13&amp;$CD$2&amp;B301&amp;"_"&amp;C301&amp;D301&amp;"_"&amp;BasicInput!$D$7&amp;BasicInput!$D$8&amp;"_"&amp;CC301&amp;".xuf"</f>
        <v>C:\PWWORKING\east01\d2591108\Basic\__2019EX_PM_.xuf</v>
      </c>
    </row>
    <row r="302" spans="44:82" x14ac:dyDescent="0.2">
      <c r="AR302" s="18"/>
      <c r="AX302" s="18"/>
      <c r="CB302" s="31" t="str">
        <f t="shared" si="16"/>
        <v xml:space="preserve">  </v>
      </c>
      <c r="CC302" s="25" t="str">
        <f t="shared" si="17"/>
        <v/>
      </c>
      <c r="CD302" s="25" t="str">
        <f>BasicInput!$D$13&amp;$CD$2&amp;B302&amp;"_"&amp;C302&amp;D302&amp;"_"&amp;BasicInput!$D$7&amp;BasicInput!$D$8&amp;"_"&amp;CC302&amp;".xuf"</f>
        <v>C:\PWWORKING\east01\d2591108\Basic\__2019EX_PM_.xuf</v>
      </c>
    </row>
    <row r="303" spans="44:82" x14ac:dyDescent="0.2">
      <c r="AR303" s="18"/>
      <c r="AX303" s="18"/>
      <c r="CB303" s="31" t="str">
        <f t="shared" si="16"/>
        <v xml:space="preserve">  </v>
      </c>
      <c r="CC303" s="25" t="str">
        <f t="shared" si="17"/>
        <v/>
      </c>
      <c r="CD303" s="25" t="str">
        <f>BasicInput!$D$13&amp;$CD$2&amp;B303&amp;"_"&amp;C303&amp;D303&amp;"_"&amp;BasicInput!$D$7&amp;BasicInput!$D$8&amp;"_"&amp;CC303&amp;".xuf"</f>
        <v>C:\PWWORKING\east01\d2591108\Basic\__2019EX_PM_.xuf</v>
      </c>
    </row>
    <row r="304" spans="44:82" x14ac:dyDescent="0.2">
      <c r="AR304" s="18"/>
      <c r="AX304" s="18"/>
      <c r="CB304" s="31" t="str">
        <f t="shared" si="16"/>
        <v xml:space="preserve">  </v>
      </c>
      <c r="CC304" s="25" t="str">
        <f t="shared" si="17"/>
        <v/>
      </c>
      <c r="CD304" s="25" t="str">
        <f>BasicInput!$D$13&amp;$CD$2&amp;B304&amp;"_"&amp;C304&amp;D304&amp;"_"&amp;BasicInput!$D$7&amp;BasicInput!$D$8&amp;"_"&amp;CC304&amp;".xuf"</f>
        <v>C:\PWWORKING\east01\d2591108\Basic\__2019EX_PM_.xuf</v>
      </c>
    </row>
    <row r="305" spans="44:82" x14ac:dyDescent="0.2">
      <c r="AR305" s="18"/>
      <c r="AX305" s="18"/>
      <c r="CB305" s="31" t="str">
        <f t="shared" si="16"/>
        <v xml:space="preserve">  </v>
      </c>
      <c r="CC305" s="25" t="str">
        <f t="shared" si="17"/>
        <v/>
      </c>
      <c r="CD305" s="25" t="str">
        <f>BasicInput!$D$13&amp;$CD$2&amp;B305&amp;"_"&amp;C305&amp;D305&amp;"_"&amp;BasicInput!$D$7&amp;BasicInput!$D$8&amp;"_"&amp;CC305&amp;".xuf"</f>
        <v>C:\PWWORKING\east01\d2591108\Basic\__2019EX_PM_.xuf</v>
      </c>
    </row>
    <row r="306" spans="44:82" x14ac:dyDescent="0.2">
      <c r="AR306" s="18"/>
      <c r="AX306" s="18"/>
      <c r="CB306" s="31" t="str">
        <f t="shared" si="16"/>
        <v xml:space="preserve">  </v>
      </c>
      <c r="CC306" s="25" t="str">
        <f t="shared" si="17"/>
        <v/>
      </c>
      <c r="CD306" s="25" t="str">
        <f>BasicInput!$D$13&amp;$CD$2&amp;B306&amp;"_"&amp;C306&amp;D306&amp;"_"&amp;BasicInput!$D$7&amp;BasicInput!$D$8&amp;"_"&amp;CC306&amp;".xuf"</f>
        <v>C:\PWWORKING\east01\d2591108\Basic\__2019EX_PM_.xuf</v>
      </c>
    </row>
    <row r="307" spans="44:82" x14ac:dyDescent="0.2">
      <c r="AR307" s="18"/>
      <c r="AX307" s="18"/>
      <c r="CB307" s="31" t="str">
        <f t="shared" si="16"/>
        <v xml:space="preserve">  </v>
      </c>
      <c r="CC307" s="25" t="str">
        <f t="shared" si="17"/>
        <v/>
      </c>
      <c r="CD307" s="25" t="str">
        <f>BasicInput!$D$13&amp;$CD$2&amp;B307&amp;"_"&amp;C307&amp;D307&amp;"_"&amp;BasicInput!$D$7&amp;BasicInput!$D$8&amp;"_"&amp;CC307&amp;".xuf"</f>
        <v>C:\PWWORKING\east01\d2591108\Basic\__2019EX_PM_.xuf</v>
      </c>
    </row>
    <row r="308" spans="44:82" x14ac:dyDescent="0.2">
      <c r="AR308" s="18"/>
      <c r="AX308" s="18"/>
      <c r="CB308" s="31" t="str">
        <f t="shared" si="16"/>
        <v xml:space="preserve">  </v>
      </c>
      <c r="CC308" s="25" t="str">
        <f t="shared" si="17"/>
        <v/>
      </c>
      <c r="CD308" s="25" t="str">
        <f>BasicInput!$D$13&amp;$CD$2&amp;B308&amp;"_"&amp;C308&amp;D308&amp;"_"&amp;BasicInput!$D$7&amp;BasicInput!$D$8&amp;"_"&amp;CC308&amp;".xuf"</f>
        <v>C:\PWWORKING\east01\d2591108\Basic\__2019EX_PM_.xuf</v>
      </c>
    </row>
    <row r="309" spans="44:82" x14ac:dyDescent="0.2">
      <c r="AR309" s="18"/>
      <c r="AX309" s="18"/>
      <c r="CB309" s="31" t="str">
        <f t="shared" si="16"/>
        <v xml:space="preserve">  </v>
      </c>
      <c r="CC309" s="25" t="str">
        <f t="shared" si="17"/>
        <v/>
      </c>
      <c r="CD309" s="25" t="str">
        <f>BasicInput!$D$13&amp;$CD$2&amp;B309&amp;"_"&amp;C309&amp;D309&amp;"_"&amp;BasicInput!$D$7&amp;BasicInput!$D$8&amp;"_"&amp;CC309&amp;".xuf"</f>
        <v>C:\PWWORKING\east01\d2591108\Basic\__2019EX_PM_.xuf</v>
      </c>
    </row>
    <row r="310" spans="44:82" x14ac:dyDescent="0.2">
      <c r="AR310" s="18"/>
      <c r="AX310" s="18"/>
      <c r="CB310" s="31" t="str">
        <f t="shared" si="16"/>
        <v xml:space="preserve">  </v>
      </c>
      <c r="CC310" s="25" t="str">
        <f t="shared" si="17"/>
        <v/>
      </c>
      <c r="CD310" s="25" t="str">
        <f>BasicInput!$D$13&amp;$CD$2&amp;B310&amp;"_"&amp;C310&amp;D310&amp;"_"&amp;BasicInput!$D$7&amp;BasicInput!$D$8&amp;"_"&amp;CC310&amp;".xuf"</f>
        <v>C:\PWWORKING\east01\d2591108\Basic\__2019EX_PM_.xuf</v>
      </c>
    </row>
    <row r="311" spans="44:82" x14ac:dyDescent="0.2">
      <c r="AR311" s="18"/>
      <c r="AX311" s="18"/>
      <c r="CB311" s="31" t="str">
        <f t="shared" si="16"/>
        <v xml:space="preserve">  </v>
      </c>
      <c r="CC311" s="25" t="str">
        <f t="shared" si="17"/>
        <v/>
      </c>
      <c r="CD311" s="25" t="str">
        <f>BasicInput!$D$13&amp;$CD$2&amp;B311&amp;"_"&amp;C311&amp;D311&amp;"_"&amp;BasicInput!$D$7&amp;BasicInput!$D$8&amp;"_"&amp;CC311&amp;".xuf"</f>
        <v>C:\PWWORKING\east01\d2591108\Basic\__2019EX_PM_.xuf</v>
      </c>
    </row>
    <row r="312" spans="44:82" x14ac:dyDescent="0.2">
      <c r="AR312" s="18"/>
      <c r="AX312" s="18"/>
      <c r="CB312" s="31" t="str">
        <f t="shared" si="16"/>
        <v xml:space="preserve">  </v>
      </c>
      <c r="CC312" s="25" t="str">
        <f t="shared" si="17"/>
        <v/>
      </c>
      <c r="CD312" s="25" t="str">
        <f>BasicInput!$D$13&amp;$CD$2&amp;B312&amp;"_"&amp;C312&amp;D312&amp;"_"&amp;BasicInput!$D$7&amp;BasicInput!$D$8&amp;"_"&amp;CC312&amp;".xuf"</f>
        <v>C:\PWWORKING\east01\d2591108\Basic\__2019EX_PM_.xuf</v>
      </c>
    </row>
    <row r="313" spans="44:82" x14ac:dyDescent="0.2">
      <c r="AR313" s="18"/>
      <c r="AX313" s="18"/>
      <c r="CB313" s="31" t="str">
        <f t="shared" si="16"/>
        <v xml:space="preserve">  </v>
      </c>
      <c r="CC313" s="25" t="str">
        <f t="shared" si="17"/>
        <v/>
      </c>
      <c r="CD313" s="25" t="str">
        <f>BasicInput!$D$13&amp;$CD$2&amp;B313&amp;"_"&amp;C313&amp;D313&amp;"_"&amp;BasicInput!$D$7&amp;BasicInput!$D$8&amp;"_"&amp;CC313&amp;".xuf"</f>
        <v>C:\PWWORKING\east01\d2591108\Basic\__2019EX_PM_.xuf</v>
      </c>
    </row>
    <row r="314" spans="44:82" x14ac:dyDescent="0.2">
      <c r="AR314" s="18"/>
      <c r="AX314" s="18"/>
      <c r="CB314" s="31" t="str">
        <f t="shared" si="16"/>
        <v xml:space="preserve">  </v>
      </c>
      <c r="CC314" s="25" t="str">
        <f t="shared" si="17"/>
        <v/>
      </c>
      <c r="CD314" s="25" t="str">
        <f>BasicInput!$D$13&amp;$CD$2&amp;B314&amp;"_"&amp;C314&amp;D314&amp;"_"&amp;BasicInput!$D$7&amp;BasicInput!$D$8&amp;"_"&amp;CC314&amp;".xuf"</f>
        <v>C:\PWWORKING\east01\d2591108\Basic\__2019EX_PM_.xuf</v>
      </c>
    </row>
    <row r="315" spans="44:82" x14ac:dyDescent="0.2">
      <c r="AR315" s="18"/>
      <c r="AX315" s="18"/>
      <c r="CB315" s="31" t="str">
        <f t="shared" si="16"/>
        <v xml:space="preserve">  </v>
      </c>
      <c r="CC315" s="25" t="str">
        <f t="shared" si="17"/>
        <v/>
      </c>
      <c r="CD315" s="25" t="str">
        <f>BasicInput!$D$13&amp;$CD$2&amp;B315&amp;"_"&amp;C315&amp;D315&amp;"_"&amp;BasicInput!$D$7&amp;BasicInput!$D$8&amp;"_"&amp;CC315&amp;".xuf"</f>
        <v>C:\PWWORKING\east01\d2591108\Basic\__2019EX_PM_.xuf</v>
      </c>
    </row>
    <row r="316" spans="44:82" x14ac:dyDescent="0.2">
      <c r="AR316" s="18"/>
      <c r="AX316" s="18"/>
      <c r="CB316" s="31" t="str">
        <f t="shared" si="16"/>
        <v xml:space="preserve">  </v>
      </c>
      <c r="CC316" s="25" t="str">
        <f t="shared" si="17"/>
        <v/>
      </c>
      <c r="CD316" s="25" t="str">
        <f>BasicInput!$D$13&amp;$CD$2&amp;B316&amp;"_"&amp;C316&amp;D316&amp;"_"&amp;BasicInput!$D$7&amp;BasicInput!$D$8&amp;"_"&amp;CC316&amp;".xuf"</f>
        <v>C:\PWWORKING\east01\d2591108\Basic\__2019EX_PM_.xuf</v>
      </c>
    </row>
    <row r="317" spans="44:82" x14ac:dyDescent="0.2">
      <c r="AR317" s="18"/>
      <c r="AX317" s="18"/>
      <c r="CB317" s="31" t="str">
        <f t="shared" si="16"/>
        <v xml:space="preserve">  </v>
      </c>
      <c r="CC317" s="25" t="str">
        <f t="shared" si="17"/>
        <v/>
      </c>
      <c r="CD317" s="25" t="str">
        <f>BasicInput!$D$13&amp;$CD$2&amp;B317&amp;"_"&amp;C317&amp;D317&amp;"_"&amp;BasicInput!$D$7&amp;BasicInput!$D$8&amp;"_"&amp;CC317&amp;".xuf"</f>
        <v>C:\PWWORKING\east01\d2591108\Basic\__2019EX_PM_.xuf</v>
      </c>
    </row>
    <row r="318" spans="44:82" x14ac:dyDescent="0.2">
      <c r="AR318" s="18"/>
      <c r="AX318" s="18"/>
      <c r="CB318" s="31" t="str">
        <f t="shared" si="16"/>
        <v xml:space="preserve">  </v>
      </c>
      <c r="CC318" s="25" t="str">
        <f t="shared" si="17"/>
        <v/>
      </c>
      <c r="CD318" s="25" t="str">
        <f>BasicInput!$D$13&amp;$CD$2&amp;B318&amp;"_"&amp;C318&amp;D318&amp;"_"&amp;BasicInput!$D$7&amp;BasicInput!$D$8&amp;"_"&amp;CC318&amp;".xuf"</f>
        <v>C:\PWWORKING\east01\d2591108\Basic\__2019EX_PM_.xuf</v>
      </c>
    </row>
    <row r="319" spans="44:82" x14ac:dyDescent="0.2">
      <c r="AR319" s="18"/>
      <c r="AX319" s="18"/>
      <c r="CB319" s="31" t="str">
        <f t="shared" si="16"/>
        <v xml:space="preserve">  </v>
      </c>
      <c r="CC319" s="25" t="str">
        <f t="shared" si="17"/>
        <v/>
      </c>
      <c r="CD319" s="25" t="str">
        <f>BasicInput!$D$13&amp;$CD$2&amp;B319&amp;"_"&amp;C319&amp;D319&amp;"_"&amp;BasicInput!$D$7&amp;BasicInput!$D$8&amp;"_"&amp;CC319&amp;".xuf"</f>
        <v>C:\PWWORKING\east01\d2591108\Basic\__2019EX_PM_.xuf</v>
      </c>
    </row>
    <row r="320" spans="44:82" x14ac:dyDescent="0.2">
      <c r="AR320" s="18"/>
      <c r="AX320" s="18"/>
      <c r="CB320" s="31" t="str">
        <f t="shared" si="16"/>
        <v xml:space="preserve">  </v>
      </c>
      <c r="CC320" s="25" t="str">
        <f t="shared" si="17"/>
        <v/>
      </c>
      <c r="CD320" s="25" t="str">
        <f>BasicInput!$D$13&amp;$CD$2&amp;B320&amp;"_"&amp;C320&amp;D320&amp;"_"&amp;BasicInput!$D$7&amp;BasicInput!$D$8&amp;"_"&amp;CC320&amp;".xuf"</f>
        <v>C:\PWWORKING\east01\d2591108\Basic\__2019EX_PM_.xuf</v>
      </c>
    </row>
    <row r="321" spans="44:82" x14ac:dyDescent="0.2">
      <c r="AR321" s="18"/>
      <c r="AX321" s="18"/>
      <c r="CB321" s="31" t="str">
        <f t="shared" si="16"/>
        <v xml:space="preserve">  </v>
      </c>
      <c r="CC321" s="25" t="str">
        <f t="shared" si="17"/>
        <v/>
      </c>
      <c r="CD321" s="25" t="str">
        <f>BasicInput!$D$13&amp;$CD$2&amp;B321&amp;"_"&amp;C321&amp;D321&amp;"_"&amp;BasicInput!$D$7&amp;BasicInput!$D$8&amp;"_"&amp;CC321&amp;".xuf"</f>
        <v>C:\PWWORKING\east01\d2591108\Basic\__2019EX_PM_.xuf</v>
      </c>
    </row>
    <row r="322" spans="44:82" x14ac:dyDescent="0.2">
      <c r="AR322" s="18"/>
      <c r="AX322" s="18"/>
      <c r="CB322" s="31" t="str">
        <f t="shared" si="16"/>
        <v xml:space="preserve">  </v>
      </c>
      <c r="CC322" s="25" t="str">
        <f t="shared" si="17"/>
        <v/>
      </c>
      <c r="CD322" s="25" t="str">
        <f>BasicInput!$D$13&amp;$CD$2&amp;B322&amp;"_"&amp;C322&amp;D322&amp;"_"&amp;BasicInput!$D$7&amp;BasicInput!$D$8&amp;"_"&amp;CC322&amp;".xuf"</f>
        <v>C:\PWWORKING\east01\d2591108\Basic\__2019EX_PM_.xuf</v>
      </c>
    </row>
    <row r="323" spans="44:82" x14ac:dyDescent="0.2">
      <c r="AR323" s="18"/>
      <c r="AX323" s="18"/>
      <c r="CB323" s="31" t="str">
        <f t="shared" si="16"/>
        <v xml:space="preserve">  </v>
      </c>
      <c r="CC323" s="25" t="str">
        <f t="shared" si="17"/>
        <v/>
      </c>
      <c r="CD323" s="25" t="str">
        <f>BasicInput!$D$13&amp;$CD$2&amp;B323&amp;"_"&amp;C323&amp;D323&amp;"_"&amp;BasicInput!$D$7&amp;BasicInput!$D$8&amp;"_"&amp;CC323&amp;".xuf"</f>
        <v>C:\PWWORKING\east01\d2591108\Basic\__2019EX_PM_.xuf</v>
      </c>
    </row>
    <row r="324" spans="44:82" x14ac:dyDescent="0.2">
      <c r="AR324" s="18"/>
      <c r="AX324" s="18"/>
      <c r="CB324" s="31" t="str">
        <f t="shared" si="16"/>
        <v xml:space="preserve">  </v>
      </c>
      <c r="CC324" s="25" t="str">
        <f t="shared" si="17"/>
        <v/>
      </c>
      <c r="CD324" s="25" t="str">
        <f>BasicInput!$D$13&amp;$CD$2&amp;B324&amp;"_"&amp;C324&amp;D324&amp;"_"&amp;BasicInput!$D$7&amp;BasicInput!$D$8&amp;"_"&amp;CC324&amp;".xuf"</f>
        <v>C:\PWWORKING\east01\d2591108\Basic\__2019EX_PM_.xuf</v>
      </c>
    </row>
    <row r="325" spans="44:82" x14ac:dyDescent="0.2">
      <c r="AR325" s="18"/>
      <c r="AX325" s="18"/>
      <c r="CB325" s="31" t="str">
        <f t="shared" si="16"/>
        <v xml:space="preserve">  </v>
      </c>
      <c r="CC325" s="25" t="str">
        <f t="shared" si="17"/>
        <v/>
      </c>
      <c r="CD325" s="25" t="str">
        <f>BasicInput!$D$13&amp;$CD$2&amp;B325&amp;"_"&amp;C325&amp;D325&amp;"_"&amp;BasicInput!$D$7&amp;BasicInput!$D$8&amp;"_"&amp;CC325&amp;".xuf"</f>
        <v>C:\PWWORKING\east01\d2591108\Basic\__2019EX_PM_.xuf</v>
      </c>
    </row>
    <row r="326" spans="44:82" x14ac:dyDescent="0.2">
      <c r="AR326" s="18"/>
      <c r="AX326" s="18"/>
      <c r="CB326" s="31" t="str">
        <f t="shared" si="16"/>
        <v xml:space="preserve">  </v>
      </c>
      <c r="CC326" s="25" t="str">
        <f t="shared" si="17"/>
        <v/>
      </c>
      <c r="CD326" s="25" t="str">
        <f>BasicInput!$D$13&amp;$CD$2&amp;B326&amp;"_"&amp;C326&amp;D326&amp;"_"&amp;BasicInput!$D$7&amp;BasicInput!$D$8&amp;"_"&amp;CC326&amp;".xuf"</f>
        <v>C:\PWWORKING\east01\d2591108\Basic\__2019EX_PM_.xuf</v>
      </c>
    </row>
    <row r="327" spans="44:82" x14ac:dyDescent="0.2">
      <c r="AR327" s="18"/>
      <c r="AX327" s="18"/>
      <c r="CB327" s="31" t="str">
        <f t="shared" si="16"/>
        <v xml:space="preserve">  </v>
      </c>
      <c r="CC327" s="25" t="str">
        <f t="shared" si="17"/>
        <v/>
      </c>
      <c r="CD327" s="25" t="str">
        <f>BasicInput!$D$13&amp;$CD$2&amp;B327&amp;"_"&amp;C327&amp;D327&amp;"_"&amp;BasicInput!$D$7&amp;BasicInput!$D$8&amp;"_"&amp;CC327&amp;".xuf"</f>
        <v>C:\PWWORKING\east01\d2591108\Basic\__2019EX_PM_.xuf</v>
      </c>
    </row>
    <row r="328" spans="44:82" x14ac:dyDescent="0.2">
      <c r="AR328" s="18"/>
      <c r="AX328" s="18"/>
      <c r="CB328" s="31" t="str">
        <f t="shared" si="16"/>
        <v xml:space="preserve">  </v>
      </c>
      <c r="CC328" s="25" t="str">
        <f t="shared" si="17"/>
        <v/>
      </c>
      <c r="CD328" s="25" t="str">
        <f>BasicInput!$D$13&amp;$CD$2&amp;B328&amp;"_"&amp;C328&amp;D328&amp;"_"&amp;BasicInput!$D$7&amp;BasicInput!$D$8&amp;"_"&amp;CC328&amp;".xuf"</f>
        <v>C:\PWWORKING\east01\d2591108\Basic\__2019EX_PM_.xuf</v>
      </c>
    </row>
    <row r="329" spans="44:82" x14ac:dyDescent="0.2">
      <c r="AR329" s="18"/>
      <c r="AX329" s="18"/>
      <c r="CB329" s="31" t="str">
        <f t="shared" si="16"/>
        <v xml:space="preserve">  </v>
      </c>
      <c r="CC329" s="25" t="str">
        <f t="shared" si="17"/>
        <v/>
      </c>
      <c r="CD329" s="25" t="str">
        <f>BasicInput!$D$13&amp;$CD$2&amp;B329&amp;"_"&amp;C329&amp;D329&amp;"_"&amp;BasicInput!$D$7&amp;BasicInput!$D$8&amp;"_"&amp;CC329&amp;".xuf"</f>
        <v>C:\PWWORKING\east01\d2591108\Basic\__2019EX_PM_.xuf</v>
      </c>
    </row>
    <row r="330" spans="44:82" x14ac:dyDescent="0.2">
      <c r="AR330" s="18"/>
      <c r="AX330" s="18"/>
      <c r="CB330" s="31" t="str">
        <f t="shared" si="16"/>
        <v xml:space="preserve">  </v>
      </c>
      <c r="CC330" s="25" t="str">
        <f t="shared" si="17"/>
        <v/>
      </c>
      <c r="CD330" s="25" t="str">
        <f>BasicInput!$D$13&amp;$CD$2&amp;B330&amp;"_"&amp;C330&amp;D330&amp;"_"&amp;BasicInput!$D$7&amp;BasicInput!$D$8&amp;"_"&amp;CC330&amp;".xuf"</f>
        <v>C:\PWWORKING\east01\d2591108\Basic\__2019EX_PM_.xuf</v>
      </c>
    </row>
    <row r="331" spans="44:82" x14ac:dyDescent="0.2">
      <c r="AR331" s="18"/>
      <c r="AX331" s="18"/>
      <c r="CB331" s="31" t="str">
        <f t="shared" si="16"/>
        <v xml:space="preserve">  </v>
      </c>
      <c r="CC331" s="25" t="str">
        <f t="shared" si="17"/>
        <v/>
      </c>
      <c r="CD331" s="25" t="str">
        <f>BasicInput!$D$13&amp;$CD$2&amp;B331&amp;"_"&amp;C331&amp;D331&amp;"_"&amp;BasicInput!$D$7&amp;BasicInput!$D$8&amp;"_"&amp;CC331&amp;".xuf"</f>
        <v>C:\PWWORKING\east01\d2591108\Basic\__2019EX_PM_.xuf</v>
      </c>
    </row>
    <row r="332" spans="44:82" x14ac:dyDescent="0.2">
      <c r="AR332" s="18"/>
      <c r="AX332" s="18"/>
      <c r="CB332" s="31" t="str">
        <f t="shared" si="16"/>
        <v xml:space="preserve">  </v>
      </c>
      <c r="CC332" s="25" t="str">
        <f t="shared" si="17"/>
        <v/>
      </c>
      <c r="CD332" s="25" t="str">
        <f>BasicInput!$D$13&amp;$CD$2&amp;B332&amp;"_"&amp;C332&amp;D332&amp;"_"&amp;BasicInput!$D$7&amp;BasicInput!$D$8&amp;"_"&amp;CC332&amp;".xuf"</f>
        <v>C:\PWWORKING\east01\d2591108\Basic\__2019EX_PM_.xuf</v>
      </c>
    </row>
    <row r="333" spans="44:82" x14ac:dyDescent="0.2">
      <c r="AR333" s="18"/>
      <c r="AX333" s="18"/>
      <c r="CB333" s="31" t="str">
        <f t="shared" si="16"/>
        <v xml:space="preserve">  </v>
      </c>
      <c r="CC333" s="25" t="str">
        <f t="shared" si="17"/>
        <v/>
      </c>
      <c r="CD333" s="25" t="str">
        <f>BasicInput!$D$13&amp;$CD$2&amp;B333&amp;"_"&amp;C333&amp;D333&amp;"_"&amp;BasicInput!$D$7&amp;BasicInput!$D$8&amp;"_"&amp;CC333&amp;".xuf"</f>
        <v>C:\PWWORKING\east01\d2591108\Basic\__2019EX_PM_.xuf</v>
      </c>
    </row>
    <row r="334" spans="44:82" x14ac:dyDescent="0.2">
      <c r="AR334" s="18"/>
      <c r="AX334" s="18"/>
      <c r="CB334" s="31" t="str">
        <f t="shared" si="16"/>
        <v xml:space="preserve">  </v>
      </c>
      <c r="CC334" s="25" t="str">
        <f t="shared" si="17"/>
        <v/>
      </c>
      <c r="CD334" s="25" t="str">
        <f>BasicInput!$D$13&amp;$CD$2&amp;B334&amp;"_"&amp;C334&amp;D334&amp;"_"&amp;BasicInput!$D$7&amp;BasicInput!$D$8&amp;"_"&amp;CC334&amp;".xuf"</f>
        <v>C:\PWWORKING\east01\d2591108\Basic\__2019EX_PM_.xuf</v>
      </c>
    </row>
    <row r="335" spans="44:82" x14ac:dyDescent="0.2">
      <c r="AR335" s="18"/>
      <c r="AX335" s="18"/>
      <c r="CB335" s="31" t="str">
        <f t="shared" si="16"/>
        <v xml:space="preserve">  </v>
      </c>
      <c r="CC335" s="25" t="str">
        <f t="shared" si="17"/>
        <v/>
      </c>
      <c r="CD335" s="25" t="str">
        <f>BasicInput!$D$13&amp;$CD$2&amp;B335&amp;"_"&amp;C335&amp;D335&amp;"_"&amp;BasicInput!$D$7&amp;BasicInput!$D$8&amp;"_"&amp;CC335&amp;".xuf"</f>
        <v>C:\PWWORKING\east01\d2591108\Basic\__2019EX_PM_.xuf</v>
      </c>
    </row>
    <row r="336" spans="44:82" x14ac:dyDescent="0.2">
      <c r="AR336" s="18"/>
      <c r="AX336" s="18"/>
      <c r="CB336" s="31" t="str">
        <f t="shared" si="16"/>
        <v xml:space="preserve">  </v>
      </c>
      <c r="CC336" s="25" t="str">
        <f t="shared" si="17"/>
        <v/>
      </c>
      <c r="CD336" s="25" t="str">
        <f>BasicInput!$D$13&amp;$CD$2&amp;B336&amp;"_"&amp;C336&amp;D336&amp;"_"&amp;BasicInput!$D$7&amp;BasicInput!$D$8&amp;"_"&amp;CC336&amp;".xuf"</f>
        <v>C:\PWWORKING\east01\d2591108\Basic\__2019EX_PM_.xuf</v>
      </c>
    </row>
    <row r="337" spans="44:82" x14ac:dyDescent="0.2">
      <c r="AR337" s="18"/>
      <c r="AX337" s="18"/>
      <c r="CB337" s="31" t="str">
        <f t="shared" ref="CB337:CB400" si="18">C337&amp; " "&amp;D337&amp;" " &amp;E337</f>
        <v xml:space="preserve">  </v>
      </c>
      <c r="CC337" s="25" t="str">
        <f t="shared" ref="CC337:CC400" si="19">SUBSTITUTE(E337, "/", "_")</f>
        <v/>
      </c>
      <c r="CD337" s="25" t="str">
        <f>BasicInput!$D$13&amp;$CD$2&amp;B337&amp;"_"&amp;C337&amp;D337&amp;"_"&amp;BasicInput!$D$7&amp;BasicInput!$D$8&amp;"_"&amp;CC337&amp;".xuf"</f>
        <v>C:\PWWORKING\east01\d2591108\Basic\__2019EX_PM_.xuf</v>
      </c>
    </row>
    <row r="338" spans="44:82" x14ac:dyDescent="0.2">
      <c r="AR338" s="18"/>
      <c r="AX338" s="18"/>
      <c r="CB338" s="31" t="str">
        <f t="shared" si="18"/>
        <v xml:space="preserve">  </v>
      </c>
      <c r="CC338" s="25" t="str">
        <f t="shared" si="19"/>
        <v/>
      </c>
      <c r="CD338" s="25" t="str">
        <f>BasicInput!$D$13&amp;$CD$2&amp;B338&amp;"_"&amp;C338&amp;D338&amp;"_"&amp;BasicInput!$D$7&amp;BasicInput!$D$8&amp;"_"&amp;CC338&amp;".xuf"</f>
        <v>C:\PWWORKING\east01\d2591108\Basic\__2019EX_PM_.xuf</v>
      </c>
    </row>
    <row r="339" spans="44:82" x14ac:dyDescent="0.2">
      <c r="AR339" s="18"/>
      <c r="AX339" s="18"/>
      <c r="CB339" s="31" t="str">
        <f t="shared" si="18"/>
        <v xml:space="preserve">  </v>
      </c>
      <c r="CC339" s="25" t="str">
        <f t="shared" si="19"/>
        <v/>
      </c>
      <c r="CD339" s="25" t="str">
        <f>BasicInput!$D$13&amp;$CD$2&amp;B339&amp;"_"&amp;C339&amp;D339&amp;"_"&amp;BasicInput!$D$7&amp;BasicInput!$D$8&amp;"_"&amp;CC339&amp;".xuf"</f>
        <v>C:\PWWORKING\east01\d2591108\Basic\__2019EX_PM_.xuf</v>
      </c>
    </row>
    <row r="340" spans="44:82" x14ac:dyDescent="0.2">
      <c r="AR340" s="18"/>
      <c r="AX340" s="18"/>
      <c r="CB340" s="31" t="str">
        <f t="shared" si="18"/>
        <v xml:space="preserve">  </v>
      </c>
      <c r="CC340" s="25" t="str">
        <f t="shared" si="19"/>
        <v/>
      </c>
      <c r="CD340" s="25" t="str">
        <f>BasicInput!$D$13&amp;$CD$2&amp;B340&amp;"_"&amp;C340&amp;D340&amp;"_"&amp;BasicInput!$D$7&amp;BasicInput!$D$8&amp;"_"&amp;CC340&amp;".xuf"</f>
        <v>C:\PWWORKING\east01\d2591108\Basic\__2019EX_PM_.xuf</v>
      </c>
    </row>
    <row r="341" spans="44:82" x14ac:dyDescent="0.2">
      <c r="AR341" s="18"/>
      <c r="AX341" s="18"/>
      <c r="CB341" s="31" t="str">
        <f t="shared" si="18"/>
        <v xml:space="preserve">  </v>
      </c>
      <c r="CC341" s="25" t="str">
        <f t="shared" si="19"/>
        <v/>
      </c>
      <c r="CD341" s="25" t="str">
        <f>BasicInput!$D$13&amp;$CD$2&amp;B341&amp;"_"&amp;C341&amp;D341&amp;"_"&amp;BasicInput!$D$7&amp;BasicInput!$D$8&amp;"_"&amp;CC341&amp;".xuf"</f>
        <v>C:\PWWORKING\east01\d2591108\Basic\__2019EX_PM_.xuf</v>
      </c>
    </row>
    <row r="342" spans="44:82" x14ac:dyDescent="0.2">
      <c r="AR342" s="18"/>
      <c r="AX342" s="18"/>
      <c r="CB342" s="31" t="str">
        <f t="shared" si="18"/>
        <v xml:space="preserve">  </v>
      </c>
      <c r="CC342" s="25" t="str">
        <f t="shared" si="19"/>
        <v/>
      </c>
      <c r="CD342" s="25" t="str">
        <f>BasicInput!$D$13&amp;$CD$2&amp;B342&amp;"_"&amp;C342&amp;D342&amp;"_"&amp;BasicInput!$D$7&amp;BasicInput!$D$8&amp;"_"&amp;CC342&amp;".xuf"</f>
        <v>C:\PWWORKING\east01\d2591108\Basic\__2019EX_PM_.xuf</v>
      </c>
    </row>
    <row r="343" spans="44:82" x14ac:dyDescent="0.2">
      <c r="AR343" s="18"/>
      <c r="AX343" s="18"/>
      <c r="CB343" s="31" t="str">
        <f t="shared" si="18"/>
        <v xml:space="preserve">  </v>
      </c>
      <c r="CC343" s="25" t="str">
        <f t="shared" si="19"/>
        <v/>
      </c>
      <c r="CD343" s="25" t="str">
        <f>BasicInput!$D$13&amp;$CD$2&amp;B343&amp;"_"&amp;C343&amp;D343&amp;"_"&amp;BasicInput!$D$7&amp;BasicInput!$D$8&amp;"_"&amp;CC343&amp;".xuf"</f>
        <v>C:\PWWORKING\east01\d2591108\Basic\__2019EX_PM_.xuf</v>
      </c>
    </row>
    <row r="344" spans="44:82" x14ac:dyDescent="0.2">
      <c r="AR344" s="18"/>
      <c r="AX344" s="18"/>
      <c r="CB344" s="31" t="str">
        <f t="shared" si="18"/>
        <v xml:space="preserve">  </v>
      </c>
      <c r="CC344" s="25" t="str">
        <f t="shared" si="19"/>
        <v/>
      </c>
      <c r="CD344" s="25" t="str">
        <f>BasicInput!$D$13&amp;$CD$2&amp;B344&amp;"_"&amp;C344&amp;D344&amp;"_"&amp;BasicInput!$D$7&amp;BasicInput!$D$8&amp;"_"&amp;CC344&amp;".xuf"</f>
        <v>C:\PWWORKING\east01\d2591108\Basic\__2019EX_PM_.xuf</v>
      </c>
    </row>
    <row r="345" spans="44:82" x14ac:dyDescent="0.2">
      <c r="AR345" s="18"/>
      <c r="AX345" s="18"/>
      <c r="CB345" s="31" t="str">
        <f t="shared" si="18"/>
        <v xml:space="preserve">  </v>
      </c>
      <c r="CC345" s="25" t="str">
        <f t="shared" si="19"/>
        <v/>
      </c>
      <c r="CD345" s="25" t="str">
        <f>BasicInput!$D$13&amp;$CD$2&amp;B345&amp;"_"&amp;C345&amp;D345&amp;"_"&amp;BasicInput!$D$7&amp;BasicInput!$D$8&amp;"_"&amp;CC345&amp;".xuf"</f>
        <v>C:\PWWORKING\east01\d2591108\Basic\__2019EX_PM_.xuf</v>
      </c>
    </row>
    <row r="346" spans="44:82" x14ac:dyDescent="0.2">
      <c r="AR346" s="18"/>
      <c r="AX346" s="18"/>
      <c r="CB346" s="31" t="str">
        <f t="shared" si="18"/>
        <v xml:space="preserve">  </v>
      </c>
      <c r="CC346" s="25" t="str">
        <f t="shared" si="19"/>
        <v/>
      </c>
      <c r="CD346" s="25" t="str">
        <f>BasicInput!$D$13&amp;$CD$2&amp;B346&amp;"_"&amp;C346&amp;D346&amp;"_"&amp;BasicInput!$D$7&amp;BasicInput!$D$8&amp;"_"&amp;CC346&amp;".xuf"</f>
        <v>C:\PWWORKING\east01\d2591108\Basic\__2019EX_PM_.xuf</v>
      </c>
    </row>
    <row r="347" spans="44:82" x14ac:dyDescent="0.2">
      <c r="AR347" s="18"/>
      <c r="AX347" s="18"/>
      <c r="CB347" s="31" t="str">
        <f t="shared" si="18"/>
        <v xml:space="preserve">  </v>
      </c>
      <c r="CC347" s="25" t="str">
        <f t="shared" si="19"/>
        <v/>
      </c>
      <c r="CD347" s="25" t="str">
        <f>BasicInput!$D$13&amp;$CD$2&amp;B347&amp;"_"&amp;C347&amp;D347&amp;"_"&amp;BasicInput!$D$7&amp;BasicInput!$D$8&amp;"_"&amp;CC347&amp;".xuf"</f>
        <v>C:\PWWORKING\east01\d2591108\Basic\__2019EX_PM_.xuf</v>
      </c>
    </row>
    <row r="348" spans="44:82" x14ac:dyDescent="0.2">
      <c r="AR348" s="18"/>
      <c r="AX348" s="18"/>
      <c r="CB348" s="31" t="str">
        <f t="shared" si="18"/>
        <v xml:space="preserve">  </v>
      </c>
      <c r="CC348" s="25" t="str">
        <f t="shared" si="19"/>
        <v/>
      </c>
      <c r="CD348" s="25" t="str">
        <f>BasicInput!$D$13&amp;$CD$2&amp;B348&amp;"_"&amp;C348&amp;D348&amp;"_"&amp;BasicInput!$D$7&amp;BasicInput!$D$8&amp;"_"&amp;CC348&amp;".xuf"</f>
        <v>C:\PWWORKING\east01\d2591108\Basic\__2019EX_PM_.xuf</v>
      </c>
    </row>
    <row r="349" spans="44:82" x14ac:dyDescent="0.2">
      <c r="AR349" s="18"/>
      <c r="AX349" s="18"/>
      <c r="CB349" s="31" t="str">
        <f t="shared" si="18"/>
        <v xml:space="preserve">  </v>
      </c>
      <c r="CC349" s="25" t="str">
        <f t="shared" si="19"/>
        <v/>
      </c>
      <c r="CD349" s="25" t="str">
        <f>BasicInput!$D$13&amp;$CD$2&amp;B349&amp;"_"&amp;C349&amp;D349&amp;"_"&amp;BasicInput!$D$7&amp;BasicInput!$D$8&amp;"_"&amp;CC349&amp;".xuf"</f>
        <v>C:\PWWORKING\east01\d2591108\Basic\__2019EX_PM_.xuf</v>
      </c>
    </row>
    <row r="350" spans="44:82" x14ac:dyDescent="0.2">
      <c r="AR350" s="18"/>
      <c r="AX350" s="18"/>
      <c r="CB350" s="31" t="str">
        <f t="shared" si="18"/>
        <v xml:space="preserve">  </v>
      </c>
      <c r="CC350" s="25" t="str">
        <f t="shared" si="19"/>
        <v/>
      </c>
      <c r="CD350" s="25" t="str">
        <f>BasicInput!$D$13&amp;$CD$2&amp;B350&amp;"_"&amp;C350&amp;D350&amp;"_"&amp;BasicInput!$D$7&amp;BasicInput!$D$8&amp;"_"&amp;CC350&amp;".xuf"</f>
        <v>C:\PWWORKING\east01\d2591108\Basic\__2019EX_PM_.xuf</v>
      </c>
    </row>
    <row r="351" spans="44:82" x14ac:dyDescent="0.2">
      <c r="AR351" s="18"/>
      <c r="AX351" s="18"/>
      <c r="CB351" s="31" t="str">
        <f t="shared" si="18"/>
        <v xml:space="preserve">  </v>
      </c>
      <c r="CC351" s="25" t="str">
        <f t="shared" si="19"/>
        <v/>
      </c>
      <c r="CD351" s="25" t="str">
        <f>BasicInput!$D$13&amp;$CD$2&amp;B351&amp;"_"&amp;C351&amp;D351&amp;"_"&amp;BasicInput!$D$7&amp;BasicInput!$D$8&amp;"_"&amp;CC351&amp;".xuf"</f>
        <v>C:\PWWORKING\east01\d2591108\Basic\__2019EX_PM_.xuf</v>
      </c>
    </row>
    <row r="352" spans="44:82" x14ac:dyDescent="0.2">
      <c r="AR352" s="18"/>
      <c r="AX352" s="18"/>
      <c r="CB352" s="31" t="str">
        <f t="shared" si="18"/>
        <v xml:space="preserve">  </v>
      </c>
      <c r="CC352" s="25" t="str">
        <f t="shared" si="19"/>
        <v/>
      </c>
      <c r="CD352" s="25" t="str">
        <f>BasicInput!$D$13&amp;$CD$2&amp;B352&amp;"_"&amp;C352&amp;D352&amp;"_"&amp;BasicInput!$D$7&amp;BasicInput!$D$8&amp;"_"&amp;CC352&amp;".xuf"</f>
        <v>C:\PWWORKING\east01\d2591108\Basic\__2019EX_PM_.xuf</v>
      </c>
    </row>
    <row r="353" spans="44:82" x14ac:dyDescent="0.2">
      <c r="AR353" s="18"/>
      <c r="AX353" s="18"/>
      <c r="CB353" s="31" t="str">
        <f t="shared" si="18"/>
        <v xml:space="preserve">  </v>
      </c>
      <c r="CC353" s="25" t="str">
        <f t="shared" si="19"/>
        <v/>
      </c>
      <c r="CD353" s="25" t="str">
        <f>BasicInput!$D$13&amp;$CD$2&amp;B353&amp;"_"&amp;C353&amp;D353&amp;"_"&amp;BasicInput!$D$7&amp;BasicInput!$D$8&amp;"_"&amp;CC353&amp;".xuf"</f>
        <v>C:\PWWORKING\east01\d2591108\Basic\__2019EX_PM_.xuf</v>
      </c>
    </row>
    <row r="354" spans="44:82" x14ac:dyDescent="0.2">
      <c r="AR354" s="18"/>
      <c r="AX354" s="18"/>
      <c r="CB354" s="31" t="str">
        <f t="shared" si="18"/>
        <v xml:space="preserve">  </v>
      </c>
      <c r="CC354" s="25" t="str">
        <f t="shared" si="19"/>
        <v/>
      </c>
      <c r="CD354" s="25" t="str">
        <f>BasicInput!$D$13&amp;$CD$2&amp;B354&amp;"_"&amp;C354&amp;D354&amp;"_"&amp;BasicInput!$D$7&amp;BasicInput!$D$8&amp;"_"&amp;CC354&amp;".xuf"</f>
        <v>C:\PWWORKING\east01\d2591108\Basic\__2019EX_PM_.xuf</v>
      </c>
    </row>
    <row r="355" spans="44:82" x14ac:dyDescent="0.2">
      <c r="AR355" s="18"/>
      <c r="AX355" s="18"/>
      <c r="CB355" s="31" t="str">
        <f t="shared" si="18"/>
        <v xml:space="preserve">  </v>
      </c>
      <c r="CC355" s="25" t="str">
        <f t="shared" si="19"/>
        <v/>
      </c>
      <c r="CD355" s="25" t="str">
        <f>BasicInput!$D$13&amp;$CD$2&amp;B355&amp;"_"&amp;C355&amp;D355&amp;"_"&amp;BasicInput!$D$7&amp;BasicInput!$D$8&amp;"_"&amp;CC355&amp;".xuf"</f>
        <v>C:\PWWORKING\east01\d2591108\Basic\__2019EX_PM_.xuf</v>
      </c>
    </row>
    <row r="356" spans="44:82" x14ac:dyDescent="0.2">
      <c r="AR356" s="18"/>
      <c r="AX356" s="18"/>
      <c r="CB356" s="31" t="str">
        <f t="shared" si="18"/>
        <v xml:space="preserve">  </v>
      </c>
      <c r="CC356" s="25" t="str">
        <f t="shared" si="19"/>
        <v/>
      </c>
      <c r="CD356" s="25" t="str">
        <f>BasicInput!$D$13&amp;$CD$2&amp;B356&amp;"_"&amp;C356&amp;D356&amp;"_"&amp;BasicInput!$D$7&amp;BasicInput!$D$8&amp;"_"&amp;CC356&amp;".xuf"</f>
        <v>C:\PWWORKING\east01\d2591108\Basic\__2019EX_PM_.xuf</v>
      </c>
    </row>
    <row r="357" spans="44:82" x14ac:dyDescent="0.2">
      <c r="AR357" s="18"/>
      <c r="AX357" s="18"/>
      <c r="CB357" s="31" t="str">
        <f t="shared" si="18"/>
        <v xml:space="preserve">  </v>
      </c>
      <c r="CC357" s="25" t="str">
        <f t="shared" si="19"/>
        <v/>
      </c>
      <c r="CD357" s="25" t="str">
        <f>BasicInput!$D$13&amp;$CD$2&amp;B357&amp;"_"&amp;C357&amp;D357&amp;"_"&amp;BasicInput!$D$7&amp;BasicInput!$D$8&amp;"_"&amp;CC357&amp;".xuf"</f>
        <v>C:\PWWORKING\east01\d2591108\Basic\__2019EX_PM_.xuf</v>
      </c>
    </row>
    <row r="358" spans="44:82" x14ac:dyDescent="0.2">
      <c r="AR358" s="18"/>
      <c r="AX358" s="18"/>
      <c r="CB358" s="31" t="str">
        <f t="shared" si="18"/>
        <v xml:space="preserve">  </v>
      </c>
      <c r="CC358" s="25" t="str">
        <f t="shared" si="19"/>
        <v/>
      </c>
      <c r="CD358" s="25" t="str">
        <f>BasicInput!$D$13&amp;$CD$2&amp;B358&amp;"_"&amp;C358&amp;D358&amp;"_"&amp;BasicInput!$D$7&amp;BasicInput!$D$8&amp;"_"&amp;CC358&amp;".xuf"</f>
        <v>C:\PWWORKING\east01\d2591108\Basic\__2019EX_PM_.xuf</v>
      </c>
    </row>
    <row r="359" spans="44:82" x14ac:dyDescent="0.2">
      <c r="AR359" s="18"/>
      <c r="AX359" s="18"/>
      <c r="CB359" s="31" t="str">
        <f t="shared" si="18"/>
        <v xml:space="preserve">  </v>
      </c>
      <c r="CC359" s="25" t="str">
        <f t="shared" si="19"/>
        <v/>
      </c>
      <c r="CD359" s="25" t="str">
        <f>BasicInput!$D$13&amp;$CD$2&amp;B359&amp;"_"&amp;C359&amp;D359&amp;"_"&amp;BasicInput!$D$7&amp;BasicInput!$D$8&amp;"_"&amp;CC359&amp;".xuf"</f>
        <v>C:\PWWORKING\east01\d2591108\Basic\__2019EX_PM_.xuf</v>
      </c>
    </row>
    <row r="360" spans="44:82" x14ac:dyDescent="0.2">
      <c r="AR360" s="18"/>
      <c r="AX360" s="18"/>
      <c r="CB360" s="31" t="str">
        <f t="shared" si="18"/>
        <v xml:space="preserve">  </v>
      </c>
      <c r="CC360" s="25" t="str">
        <f t="shared" si="19"/>
        <v/>
      </c>
      <c r="CD360" s="25" t="str">
        <f>BasicInput!$D$13&amp;$CD$2&amp;B360&amp;"_"&amp;C360&amp;D360&amp;"_"&amp;BasicInput!$D$7&amp;BasicInput!$D$8&amp;"_"&amp;CC360&amp;".xuf"</f>
        <v>C:\PWWORKING\east01\d2591108\Basic\__2019EX_PM_.xuf</v>
      </c>
    </row>
    <row r="361" spans="44:82" x14ac:dyDescent="0.2">
      <c r="AR361" s="18"/>
      <c r="AX361" s="18"/>
      <c r="CB361" s="31" t="str">
        <f t="shared" si="18"/>
        <v xml:space="preserve">  </v>
      </c>
      <c r="CC361" s="25" t="str">
        <f t="shared" si="19"/>
        <v/>
      </c>
      <c r="CD361" s="25" t="str">
        <f>BasicInput!$D$13&amp;$CD$2&amp;B361&amp;"_"&amp;C361&amp;D361&amp;"_"&amp;BasicInput!$D$7&amp;BasicInput!$D$8&amp;"_"&amp;CC361&amp;".xuf"</f>
        <v>C:\PWWORKING\east01\d2591108\Basic\__2019EX_PM_.xuf</v>
      </c>
    </row>
    <row r="362" spans="44:82" x14ac:dyDescent="0.2">
      <c r="AR362" s="18"/>
      <c r="AX362" s="18"/>
      <c r="CB362" s="31" t="str">
        <f t="shared" si="18"/>
        <v xml:space="preserve">  </v>
      </c>
      <c r="CC362" s="25" t="str">
        <f t="shared" si="19"/>
        <v/>
      </c>
      <c r="CD362" s="25" t="str">
        <f>BasicInput!$D$13&amp;$CD$2&amp;B362&amp;"_"&amp;C362&amp;D362&amp;"_"&amp;BasicInput!$D$7&amp;BasicInput!$D$8&amp;"_"&amp;CC362&amp;".xuf"</f>
        <v>C:\PWWORKING\east01\d2591108\Basic\__2019EX_PM_.xuf</v>
      </c>
    </row>
    <row r="363" spans="44:82" x14ac:dyDescent="0.2">
      <c r="AR363" s="18"/>
      <c r="AX363" s="18"/>
      <c r="CB363" s="31" t="str">
        <f t="shared" si="18"/>
        <v xml:space="preserve">  </v>
      </c>
      <c r="CC363" s="25" t="str">
        <f t="shared" si="19"/>
        <v/>
      </c>
      <c r="CD363" s="25" t="str">
        <f>BasicInput!$D$13&amp;$CD$2&amp;B363&amp;"_"&amp;C363&amp;D363&amp;"_"&amp;BasicInput!$D$7&amp;BasicInput!$D$8&amp;"_"&amp;CC363&amp;".xuf"</f>
        <v>C:\PWWORKING\east01\d2591108\Basic\__2019EX_PM_.xuf</v>
      </c>
    </row>
    <row r="364" spans="44:82" x14ac:dyDescent="0.2">
      <c r="AR364" s="18"/>
      <c r="AX364" s="18"/>
      <c r="CB364" s="31" t="str">
        <f t="shared" si="18"/>
        <v xml:space="preserve">  </v>
      </c>
      <c r="CC364" s="25" t="str">
        <f t="shared" si="19"/>
        <v/>
      </c>
      <c r="CD364" s="25" t="str">
        <f>BasicInput!$D$13&amp;$CD$2&amp;B364&amp;"_"&amp;C364&amp;D364&amp;"_"&amp;BasicInput!$D$7&amp;BasicInput!$D$8&amp;"_"&amp;CC364&amp;".xuf"</f>
        <v>C:\PWWORKING\east01\d2591108\Basic\__2019EX_PM_.xuf</v>
      </c>
    </row>
    <row r="365" spans="44:82" x14ac:dyDescent="0.2">
      <c r="AR365" s="18"/>
      <c r="AX365" s="18"/>
      <c r="CB365" s="31" t="str">
        <f t="shared" si="18"/>
        <v xml:space="preserve">  </v>
      </c>
      <c r="CC365" s="25" t="str">
        <f t="shared" si="19"/>
        <v/>
      </c>
      <c r="CD365" s="25" t="str">
        <f>BasicInput!$D$13&amp;$CD$2&amp;B365&amp;"_"&amp;C365&amp;D365&amp;"_"&amp;BasicInput!$D$7&amp;BasicInput!$D$8&amp;"_"&amp;CC365&amp;".xuf"</f>
        <v>C:\PWWORKING\east01\d2591108\Basic\__2019EX_PM_.xuf</v>
      </c>
    </row>
    <row r="366" spans="44:82" x14ac:dyDescent="0.2">
      <c r="AR366" s="18"/>
      <c r="AX366" s="18"/>
      <c r="CB366" s="31" t="str">
        <f t="shared" si="18"/>
        <v xml:space="preserve">  </v>
      </c>
      <c r="CC366" s="25" t="str">
        <f t="shared" si="19"/>
        <v/>
      </c>
      <c r="CD366" s="25" t="str">
        <f>BasicInput!$D$13&amp;$CD$2&amp;B366&amp;"_"&amp;C366&amp;D366&amp;"_"&amp;BasicInput!$D$7&amp;BasicInput!$D$8&amp;"_"&amp;CC366&amp;".xuf"</f>
        <v>C:\PWWORKING\east01\d2591108\Basic\__2019EX_PM_.xuf</v>
      </c>
    </row>
    <row r="367" spans="44:82" x14ac:dyDescent="0.2">
      <c r="AR367" s="18"/>
      <c r="AX367" s="18"/>
      <c r="CB367" s="31" t="str">
        <f t="shared" si="18"/>
        <v xml:space="preserve">  </v>
      </c>
      <c r="CC367" s="25" t="str">
        <f t="shared" si="19"/>
        <v/>
      </c>
      <c r="CD367" s="25" t="str">
        <f>BasicInput!$D$13&amp;$CD$2&amp;B367&amp;"_"&amp;C367&amp;D367&amp;"_"&amp;BasicInput!$D$7&amp;BasicInput!$D$8&amp;"_"&amp;CC367&amp;".xuf"</f>
        <v>C:\PWWORKING\east01\d2591108\Basic\__2019EX_PM_.xuf</v>
      </c>
    </row>
    <row r="368" spans="44:82" x14ac:dyDescent="0.2">
      <c r="AR368" s="18"/>
      <c r="AX368" s="18"/>
      <c r="CB368" s="31" t="str">
        <f t="shared" si="18"/>
        <v xml:space="preserve">  </v>
      </c>
      <c r="CC368" s="25" t="str">
        <f t="shared" si="19"/>
        <v/>
      </c>
      <c r="CD368" s="25" t="str">
        <f>BasicInput!$D$13&amp;$CD$2&amp;B368&amp;"_"&amp;C368&amp;D368&amp;"_"&amp;BasicInput!$D$7&amp;BasicInput!$D$8&amp;"_"&amp;CC368&amp;".xuf"</f>
        <v>C:\PWWORKING\east01\d2591108\Basic\__2019EX_PM_.xuf</v>
      </c>
    </row>
    <row r="369" spans="44:82" x14ac:dyDescent="0.2">
      <c r="AR369" s="18"/>
      <c r="AX369" s="18"/>
      <c r="CB369" s="31" t="str">
        <f t="shared" si="18"/>
        <v xml:space="preserve">  </v>
      </c>
      <c r="CC369" s="25" t="str">
        <f t="shared" si="19"/>
        <v/>
      </c>
      <c r="CD369" s="25" t="str">
        <f>BasicInput!$D$13&amp;$CD$2&amp;B369&amp;"_"&amp;C369&amp;D369&amp;"_"&amp;BasicInput!$D$7&amp;BasicInput!$D$8&amp;"_"&amp;CC369&amp;".xuf"</f>
        <v>C:\PWWORKING\east01\d2591108\Basic\__2019EX_PM_.xuf</v>
      </c>
    </row>
    <row r="370" spans="44:82" x14ac:dyDescent="0.2">
      <c r="AR370" s="18"/>
      <c r="AX370" s="18"/>
      <c r="CB370" s="31" t="str">
        <f t="shared" si="18"/>
        <v xml:space="preserve">  </v>
      </c>
      <c r="CC370" s="25" t="str">
        <f t="shared" si="19"/>
        <v/>
      </c>
      <c r="CD370" s="25" t="str">
        <f>BasicInput!$D$13&amp;$CD$2&amp;B370&amp;"_"&amp;C370&amp;D370&amp;"_"&amp;BasicInput!$D$7&amp;BasicInput!$D$8&amp;"_"&amp;CC370&amp;".xuf"</f>
        <v>C:\PWWORKING\east01\d2591108\Basic\__2019EX_PM_.xuf</v>
      </c>
    </row>
    <row r="371" spans="44:82" x14ac:dyDescent="0.2">
      <c r="AR371" s="18"/>
      <c r="AX371" s="18"/>
      <c r="CB371" s="31" t="str">
        <f t="shared" si="18"/>
        <v xml:space="preserve">  </v>
      </c>
      <c r="CC371" s="25" t="str">
        <f t="shared" si="19"/>
        <v/>
      </c>
      <c r="CD371" s="25" t="str">
        <f>BasicInput!$D$13&amp;$CD$2&amp;B371&amp;"_"&amp;C371&amp;D371&amp;"_"&amp;BasicInput!$D$7&amp;BasicInput!$D$8&amp;"_"&amp;CC371&amp;".xuf"</f>
        <v>C:\PWWORKING\east01\d2591108\Basic\__2019EX_PM_.xuf</v>
      </c>
    </row>
    <row r="372" spans="44:82" x14ac:dyDescent="0.2">
      <c r="AR372" s="18"/>
      <c r="AX372" s="18"/>
      <c r="CB372" s="31" t="str">
        <f t="shared" si="18"/>
        <v xml:space="preserve">  </v>
      </c>
      <c r="CC372" s="25" t="str">
        <f t="shared" si="19"/>
        <v/>
      </c>
      <c r="CD372" s="25" t="str">
        <f>BasicInput!$D$13&amp;$CD$2&amp;B372&amp;"_"&amp;C372&amp;D372&amp;"_"&amp;BasicInput!$D$7&amp;BasicInput!$D$8&amp;"_"&amp;CC372&amp;".xuf"</f>
        <v>C:\PWWORKING\east01\d2591108\Basic\__2019EX_PM_.xuf</v>
      </c>
    </row>
    <row r="373" spans="44:82" x14ac:dyDescent="0.2">
      <c r="AR373" s="18"/>
      <c r="AX373" s="18"/>
      <c r="CB373" s="31" t="str">
        <f t="shared" si="18"/>
        <v xml:space="preserve">  </v>
      </c>
      <c r="CC373" s="25" t="str">
        <f t="shared" si="19"/>
        <v/>
      </c>
      <c r="CD373" s="25" t="str">
        <f>BasicInput!$D$13&amp;$CD$2&amp;B373&amp;"_"&amp;C373&amp;D373&amp;"_"&amp;BasicInput!$D$7&amp;BasicInput!$D$8&amp;"_"&amp;CC373&amp;".xuf"</f>
        <v>C:\PWWORKING\east01\d2591108\Basic\__2019EX_PM_.xuf</v>
      </c>
    </row>
    <row r="374" spans="44:82" x14ac:dyDescent="0.2">
      <c r="AR374" s="18"/>
      <c r="AX374" s="18"/>
      <c r="CB374" s="31" t="str">
        <f t="shared" si="18"/>
        <v xml:space="preserve">  </v>
      </c>
      <c r="CC374" s="25" t="str">
        <f t="shared" si="19"/>
        <v/>
      </c>
      <c r="CD374" s="25" t="str">
        <f>BasicInput!$D$13&amp;$CD$2&amp;B374&amp;"_"&amp;C374&amp;D374&amp;"_"&amp;BasicInput!$D$7&amp;BasicInput!$D$8&amp;"_"&amp;CC374&amp;".xuf"</f>
        <v>C:\PWWORKING\east01\d2591108\Basic\__2019EX_PM_.xuf</v>
      </c>
    </row>
    <row r="375" spans="44:82" x14ac:dyDescent="0.2">
      <c r="AR375" s="18"/>
      <c r="AX375" s="18"/>
      <c r="CB375" s="31" t="str">
        <f t="shared" si="18"/>
        <v xml:space="preserve">  </v>
      </c>
      <c r="CC375" s="25" t="str">
        <f t="shared" si="19"/>
        <v/>
      </c>
      <c r="CD375" s="25" t="str">
        <f>BasicInput!$D$13&amp;$CD$2&amp;B375&amp;"_"&amp;C375&amp;D375&amp;"_"&amp;BasicInput!$D$7&amp;BasicInput!$D$8&amp;"_"&amp;CC375&amp;".xuf"</f>
        <v>C:\PWWORKING\east01\d2591108\Basic\__2019EX_PM_.xuf</v>
      </c>
    </row>
    <row r="376" spans="44:82" x14ac:dyDescent="0.2">
      <c r="AR376" s="18"/>
      <c r="AX376" s="18"/>
      <c r="CB376" s="31" t="str">
        <f t="shared" si="18"/>
        <v xml:space="preserve">  </v>
      </c>
      <c r="CC376" s="25" t="str">
        <f t="shared" si="19"/>
        <v/>
      </c>
      <c r="CD376" s="25" t="str">
        <f>BasicInput!$D$13&amp;$CD$2&amp;B376&amp;"_"&amp;C376&amp;D376&amp;"_"&amp;BasicInput!$D$7&amp;BasicInput!$D$8&amp;"_"&amp;CC376&amp;".xuf"</f>
        <v>C:\PWWORKING\east01\d2591108\Basic\__2019EX_PM_.xuf</v>
      </c>
    </row>
    <row r="377" spans="44:82" x14ac:dyDescent="0.2">
      <c r="AR377" s="18"/>
      <c r="AX377" s="18"/>
      <c r="CB377" s="31" t="str">
        <f t="shared" si="18"/>
        <v xml:space="preserve">  </v>
      </c>
      <c r="CC377" s="25" t="str">
        <f t="shared" si="19"/>
        <v/>
      </c>
      <c r="CD377" s="25" t="str">
        <f>BasicInput!$D$13&amp;$CD$2&amp;B377&amp;"_"&amp;C377&amp;D377&amp;"_"&amp;BasicInput!$D$7&amp;BasicInput!$D$8&amp;"_"&amp;CC377&amp;".xuf"</f>
        <v>C:\PWWORKING\east01\d2591108\Basic\__2019EX_PM_.xuf</v>
      </c>
    </row>
    <row r="378" spans="44:82" x14ac:dyDescent="0.2">
      <c r="AR378" s="18"/>
      <c r="AX378" s="18"/>
      <c r="CB378" s="31" t="str">
        <f t="shared" si="18"/>
        <v xml:space="preserve">  </v>
      </c>
      <c r="CC378" s="25" t="str">
        <f t="shared" si="19"/>
        <v/>
      </c>
      <c r="CD378" s="25" t="str">
        <f>BasicInput!$D$13&amp;$CD$2&amp;B378&amp;"_"&amp;C378&amp;D378&amp;"_"&amp;BasicInput!$D$7&amp;BasicInput!$D$8&amp;"_"&amp;CC378&amp;".xuf"</f>
        <v>C:\PWWORKING\east01\d2591108\Basic\__2019EX_PM_.xuf</v>
      </c>
    </row>
    <row r="379" spans="44:82" x14ac:dyDescent="0.2">
      <c r="AR379" s="18"/>
      <c r="AX379" s="18"/>
      <c r="CB379" s="31" t="str">
        <f t="shared" si="18"/>
        <v xml:space="preserve">  </v>
      </c>
      <c r="CC379" s="25" t="str">
        <f t="shared" si="19"/>
        <v/>
      </c>
      <c r="CD379" s="25" t="str">
        <f>BasicInput!$D$13&amp;$CD$2&amp;B379&amp;"_"&amp;C379&amp;D379&amp;"_"&amp;BasicInput!$D$7&amp;BasicInput!$D$8&amp;"_"&amp;CC379&amp;".xuf"</f>
        <v>C:\PWWORKING\east01\d2591108\Basic\__2019EX_PM_.xuf</v>
      </c>
    </row>
    <row r="380" spans="44:82" x14ac:dyDescent="0.2">
      <c r="AR380" s="18"/>
      <c r="AX380" s="18"/>
      <c r="CB380" s="31" t="str">
        <f t="shared" si="18"/>
        <v xml:space="preserve">  </v>
      </c>
      <c r="CC380" s="25" t="str">
        <f t="shared" si="19"/>
        <v/>
      </c>
      <c r="CD380" s="25" t="str">
        <f>BasicInput!$D$13&amp;$CD$2&amp;B380&amp;"_"&amp;C380&amp;D380&amp;"_"&amp;BasicInput!$D$7&amp;BasicInput!$D$8&amp;"_"&amp;CC380&amp;".xuf"</f>
        <v>C:\PWWORKING\east01\d2591108\Basic\__2019EX_PM_.xuf</v>
      </c>
    </row>
    <row r="381" spans="44:82" x14ac:dyDescent="0.2">
      <c r="AR381" s="18"/>
      <c r="AX381" s="18"/>
      <c r="CB381" s="31" t="str">
        <f t="shared" si="18"/>
        <v xml:space="preserve">  </v>
      </c>
      <c r="CC381" s="25" t="str">
        <f t="shared" si="19"/>
        <v/>
      </c>
      <c r="CD381" s="25" t="str">
        <f>BasicInput!$D$13&amp;$CD$2&amp;B381&amp;"_"&amp;C381&amp;D381&amp;"_"&amp;BasicInput!$D$7&amp;BasicInput!$D$8&amp;"_"&amp;CC381&amp;".xuf"</f>
        <v>C:\PWWORKING\east01\d2591108\Basic\__2019EX_PM_.xuf</v>
      </c>
    </row>
    <row r="382" spans="44:82" x14ac:dyDescent="0.2">
      <c r="AR382" s="18"/>
      <c r="AX382" s="18"/>
      <c r="CB382" s="31" t="str">
        <f t="shared" si="18"/>
        <v xml:space="preserve">  </v>
      </c>
      <c r="CC382" s="25" t="str">
        <f t="shared" si="19"/>
        <v/>
      </c>
      <c r="CD382" s="25" t="str">
        <f>BasicInput!$D$13&amp;$CD$2&amp;B382&amp;"_"&amp;C382&amp;D382&amp;"_"&amp;BasicInput!$D$7&amp;BasicInput!$D$8&amp;"_"&amp;CC382&amp;".xuf"</f>
        <v>C:\PWWORKING\east01\d2591108\Basic\__2019EX_PM_.xuf</v>
      </c>
    </row>
    <row r="383" spans="44:82" x14ac:dyDescent="0.2">
      <c r="AR383" s="18"/>
      <c r="AX383" s="18"/>
      <c r="CB383" s="31" t="str">
        <f t="shared" si="18"/>
        <v xml:space="preserve">  </v>
      </c>
      <c r="CC383" s="25" t="str">
        <f t="shared" si="19"/>
        <v/>
      </c>
      <c r="CD383" s="25" t="str">
        <f>BasicInput!$D$13&amp;$CD$2&amp;B383&amp;"_"&amp;C383&amp;D383&amp;"_"&amp;BasicInput!$D$7&amp;BasicInput!$D$8&amp;"_"&amp;CC383&amp;".xuf"</f>
        <v>C:\PWWORKING\east01\d2591108\Basic\__2019EX_PM_.xuf</v>
      </c>
    </row>
    <row r="384" spans="44:82" x14ac:dyDescent="0.2">
      <c r="AR384" s="18"/>
      <c r="AX384" s="18"/>
      <c r="CB384" s="31" t="str">
        <f t="shared" si="18"/>
        <v xml:space="preserve">  </v>
      </c>
      <c r="CC384" s="25" t="str">
        <f t="shared" si="19"/>
        <v/>
      </c>
      <c r="CD384" s="25" t="str">
        <f>BasicInput!$D$13&amp;$CD$2&amp;B384&amp;"_"&amp;C384&amp;D384&amp;"_"&amp;BasicInput!$D$7&amp;BasicInput!$D$8&amp;"_"&amp;CC384&amp;".xuf"</f>
        <v>C:\PWWORKING\east01\d2591108\Basic\__2019EX_PM_.xuf</v>
      </c>
    </row>
    <row r="385" spans="44:82" x14ac:dyDescent="0.2">
      <c r="AR385" s="18"/>
      <c r="AX385" s="18"/>
      <c r="CB385" s="31" t="str">
        <f t="shared" si="18"/>
        <v xml:space="preserve">  </v>
      </c>
      <c r="CC385" s="25" t="str">
        <f t="shared" si="19"/>
        <v/>
      </c>
      <c r="CD385" s="25" t="str">
        <f>BasicInput!$D$13&amp;$CD$2&amp;B385&amp;"_"&amp;C385&amp;D385&amp;"_"&amp;BasicInput!$D$7&amp;BasicInput!$D$8&amp;"_"&amp;CC385&amp;".xuf"</f>
        <v>C:\PWWORKING\east01\d2591108\Basic\__2019EX_PM_.xuf</v>
      </c>
    </row>
    <row r="386" spans="44:82" x14ac:dyDescent="0.2">
      <c r="AR386" s="18"/>
      <c r="AX386" s="18"/>
      <c r="CB386" s="31" t="str">
        <f t="shared" si="18"/>
        <v xml:space="preserve">  </v>
      </c>
      <c r="CC386" s="25" t="str">
        <f t="shared" si="19"/>
        <v/>
      </c>
      <c r="CD386" s="25" t="str">
        <f>BasicInput!$D$13&amp;$CD$2&amp;B386&amp;"_"&amp;C386&amp;D386&amp;"_"&amp;BasicInput!$D$7&amp;BasicInput!$D$8&amp;"_"&amp;CC386&amp;".xuf"</f>
        <v>C:\PWWORKING\east01\d2591108\Basic\__2019EX_PM_.xuf</v>
      </c>
    </row>
    <row r="387" spans="44:82" x14ac:dyDescent="0.2">
      <c r="AR387" s="18"/>
      <c r="AX387" s="18"/>
      <c r="CB387" s="31" t="str">
        <f t="shared" si="18"/>
        <v xml:space="preserve">  </v>
      </c>
      <c r="CC387" s="25" t="str">
        <f t="shared" si="19"/>
        <v/>
      </c>
      <c r="CD387" s="25" t="str">
        <f>BasicInput!$D$13&amp;$CD$2&amp;B387&amp;"_"&amp;C387&amp;D387&amp;"_"&amp;BasicInput!$D$7&amp;BasicInput!$D$8&amp;"_"&amp;CC387&amp;".xuf"</f>
        <v>C:\PWWORKING\east01\d2591108\Basic\__2019EX_PM_.xuf</v>
      </c>
    </row>
    <row r="388" spans="44:82" x14ac:dyDescent="0.2">
      <c r="AR388" s="18"/>
      <c r="AX388" s="18"/>
      <c r="CB388" s="31" t="str">
        <f t="shared" si="18"/>
        <v xml:space="preserve">  </v>
      </c>
      <c r="CC388" s="25" t="str">
        <f t="shared" si="19"/>
        <v/>
      </c>
      <c r="CD388" s="25" t="str">
        <f>BasicInput!$D$13&amp;$CD$2&amp;B388&amp;"_"&amp;C388&amp;D388&amp;"_"&amp;BasicInput!$D$7&amp;BasicInput!$D$8&amp;"_"&amp;CC388&amp;".xuf"</f>
        <v>C:\PWWORKING\east01\d2591108\Basic\__2019EX_PM_.xuf</v>
      </c>
    </row>
    <row r="389" spans="44:82" x14ac:dyDescent="0.2">
      <c r="AR389" s="18"/>
      <c r="AX389" s="18"/>
      <c r="CB389" s="31" t="str">
        <f t="shared" si="18"/>
        <v xml:space="preserve">  </v>
      </c>
      <c r="CC389" s="25" t="str">
        <f t="shared" si="19"/>
        <v/>
      </c>
      <c r="CD389" s="25" t="str">
        <f>BasicInput!$D$13&amp;$CD$2&amp;B389&amp;"_"&amp;C389&amp;D389&amp;"_"&amp;BasicInput!$D$7&amp;BasicInput!$D$8&amp;"_"&amp;CC389&amp;".xuf"</f>
        <v>C:\PWWORKING\east01\d2591108\Basic\__2019EX_PM_.xuf</v>
      </c>
    </row>
    <row r="390" spans="44:82" x14ac:dyDescent="0.2">
      <c r="AR390" s="18"/>
      <c r="AX390" s="18"/>
      <c r="CB390" s="31" t="str">
        <f t="shared" si="18"/>
        <v xml:space="preserve">  </v>
      </c>
      <c r="CC390" s="25" t="str">
        <f t="shared" si="19"/>
        <v/>
      </c>
      <c r="CD390" s="25" t="str">
        <f>BasicInput!$D$13&amp;$CD$2&amp;B390&amp;"_"&amp;C390&amp;D390&amp;"_"&amp;BasicInput!$D$7&amp;BasicInput!$D$8&amp;"_"&amp;CC390&amp;".xuf"</f>
        <v>C:\PWWORKING\east01\d2591108\Basic\__2019EX_PM_.xuf</v>
      </c>
    </row>
    <row r="391" spans="44:82" x14ac:dyDescent="0.2">
      <c r="AR391" s="18"/>
      <c r="AX391" s="18"/>
      <c r="CB391" s="31" t="str">
        <f t="shared" si="18"/>
        <v xml:space="preserve">  </v>
      </c>
      <c r="CC391" s="25" t="str">
        <f t="shared" si="19"/>
        <v/>
      </c>
      <c r="CD391" s="25" t="str">
        <f>BasicInput!$D$13&amp;$CD$2&amp;B391&amp;"_"&amp;C391&amp;D391&amp;"_"&amp;BasicInput!$D$7&amp;BasicInput!$D$8&amp;"_"&amp;CC391&amp;".xuf"</f>
        <v>C:\PWWORKING\east01\d2591108\Basic\__2019EX_PM_.xuf</v>
      </c>
    </row>
    <row r="392" spans="44:82" x14ac:dyDescent="0.2">
      <c r="AR392" s="18"/>
      <c r="AX392" s="18"/>
      <c r="CB392" s="31" t="str">
        <f t="shared" si="18"/>
        <v xml:space="preserve">  </v>
      </c>
      <c r="CC392" s="25" t="str">
        <f t="shared" si="19"/>
        <v/>
      </c>
      <c r="CD392" s="25" t="str">
        <f>BasicInput!$D$13&amp;$CD$2&amp;B392&amp;"_"&amp;C392&amp;D392&amp;"_"&amp;BasicInput!$D$7&amp;BasicInput!$D$8&amp;"_"&amp;CC392&amp;".xuf"</f>
        <v>C:\PWWORKING\east01\d2591108\Basic\__2019EX_PM_.xuf</v>
      </c>
    </row>
    <row r="393" spans="44:82" x14ac:dyDescent="0.2">
      <c r="AR393" s="18"/>
      <c r="AX393" s="18"/>
      <c r="CB393" s="31" t="str">
        <f t="shared" si="18"/>
        <v xml:space="preserve">  </v>
      </c>
      <c r="CC393" s="25" t="str">
        <f t="shared" si="19"/>
        <v/>
      </c>
      <c r="CD393" s="25" t="str">
        <f>BasicInput!$D$13&amp;$CD$2&amp;B393&amp;"_"&amp;C393&amp;D393&amp;"_"&amp;BasicInput!$D$7&amp;BasicInput!$D$8&amp;"_"&amp;CC393&amp;".xuf"</f>
        <v>C:\PWWORKING\east01\d2591108\Basic\__2019EX_PM_.xuf</v>
      </c>
    </row>
    <row r="394" spans="44:82" x14ac:dyDescent="0.2">
      <c r="AR394" s="18"/>
      <c r="AX394" s="18"/>
      <c r="CB394" s="31" t="str">
        <f t="shared" si="18"/>
        <v xml:space="preserve">  </v>
      </c>
      <c r="CC394" s="25" t="str">
        <f t="shared" si="19"/>
        <v/>
      </c>
      <c r="CD394" s="25" t="str">
        <f>BasicInput!$D$13&amp;$CD$2&amp;B394&amp;"_"&amp;C394&amp;D394&amp;"_"&amp;BasicInput!$D$7&amp;BasicInput!$D$8&amp;"_"&amp;CC394&amp;".xuf"</f>
        <v>C:\PWWORKING\east01\d2591108\Basic\__2019EX_PM_.xuf</v>
      </c>
    </row>
    <row r="395" spans="44:82" x14ac:dyDescent="0.2">
      <c r="AR395" s="18"/>
      <c r="AX395" s="18"/>
      <c r="CB395" s="31" t="str">
        <f t="shared" si="18"/>
        <v xml:space="preserve">  </v>
      </c>
      <c r="CC395" s="25" t="str">
        <f t="shared" si="19"/>
        <v/>
      </c>
      <c r="CD395" s="25" t="str">
        <f>BasicInput!$D$13&amp;$CD$2&amp;B395&amp;"_"&amp;C395&amp;D395&amp;"_"&amp;BasicInput!$D$7&amp;BasicInput!$D$8&amp;"_"&amp;CC395&amp;".xuf"</f>
        <v>C:\PWWORKING\east01\d2591108\Basic\__2019EX_PM_.xuf</v>
      </c>
    </row>
    <row r="396" spans="44:82" x14ac:dyDescent="0.2">
      <c r="AR396" s="18"/>
      <c r="AX396" s="18"/>
      <c r="CB396" s="31" t="str">
        <f t="shared" si="18"/>
        <v xml:space="preserve">  </v>
      </c>
      <c r="CC396" s="25" t="str">
        <f t="shared" si="19"/>
        <v/>
      </c>
      <c r="CD396" s="25" t="str">
        <f>BasicInput!$D$13&amp;$CD$2&amp;B396&amp;"_"&amp;C396&amp;D396&amp;"_"&amp;BasicInput!$D$7&amp;BasicInput!$D$8&amp;"_"&amp;CC396&amp;".xuf"</f>
        <v>C:\PWWORKING\east01\d2591108\Basic\__2019EX_PM_.xuf</v>
      </c>
    </row>
    <row r="397" spans="44:82" x14ac:dyDescent="0.2">
      <c r="AR397" s="18"/>
      <c r="AX397" s="18"/>
      <c r="CB397" s="31" t="str">
        <f t="shared" si="18"/>
        <v xml:space="preserve">  </v>
      </c>
      <c r="CC397" s="25" t="str">
        <f t="shared" si="19"/>
        <v/>
      </c>
      <c r="CD397" s="25" t="str">
        <f>BasicInput!$D$13&amp;$CD$2&amp;B397&amp;"_"&amp;C397&amp;D397&amp;"_"&amp;BasicInput!$D$7&amp;BasicInput!$D$8&amp;"_"&amp;CC397&amp;".xuf"</f>
        <v>C:\PWWORKING\east01\d2591108\Basic\__2019EX_PM_.xuf</v>
      </c>
    </row>
    <row r="398" spans="44:82" x14ac:dyDescent="0.2">
      <c r="AR398" s="18"/>
      <c r="AX398" s="18"/>
      <c r="CB398" s="31" t="str">
        <f t="shared" si="18"/>
        <v xml:space="preserve">  </v>
      </c>
      <c r="CC398" s="25" t="str">
        <f t="shared" si="19"/>
        <v/>
      </c>
      <c r="CD398" s="25" t="str">
        <f>BasicInput!$D$13&amp;$CD$2&amp;B398&amp;"_"&amp;C398&amp;D398&amp;"_"&amp;BasicInput!$D$7&amp;BasicInput!$D$8&amp;"_"&amp;CC398&amp;".xuf"</f>
        <v>C:\PWWORKING\east01\d2591108\Basic\__2019EX_PM_.xuf</v>
      </c>
    </row>
    <row r="399" spans="44:82" x14ac:dyDescent="0.2">
      <c r="AR399" s="18"/>
      <c r="AX399" s="18"/>
      <c r="CB399" s="31" t="str">
        <f t="shared" si="18"/>
        <v xml:space="preserve">  </v>
      </c>
      <c r="CC399" s="25" t="str">
        <f t="shared" si="19"/>
        <v/>
      </c>
      <c r="CD399" s="25" t="str">
        <f>BasicInput!$D$13&amp;$CD$2&amp;B399&amp;"_"&amp;C399&amp;D399&amp;"_"&amp;BasicInput!$D$7&amp;BasicInput!$D$8&amp;"_"&amp;CC399&amp;".xuf"</f>
        <v>C:\PWWORKING\east01\d2591108\Basic\__2019EX_PM_.xuf</v>
      </c>
    </row>
    <row r="400" spans="44:82" x14ac:dyDescent="0.2">
      <c r="AR400" s="18"/>
      <c r="AX400" s="18"/>
      <c r="CB400" s="31" t="str">
        <f t="shared" si="18"/>
        <v xml:space="preserve">  </v>
      </c>
      <c r="CC400" s="25" t="str">
        <f t="shared" si="19"/>
        <v/>
      </c>
      <c r="CD400" s="25" t="str">
        <f>BasicInput!$D$13&amp;$CD$2&amp;B400&amp;"_"&amp;C400&amp;D400&amp;"_"&amp;BasicInput!$D$7&amp;BasicInput!$D$8&amp;"_"&amp;CC400&amp;".xuf"</f>
        <v>C:\PWWORKING\east01\d2591108\Basic\__2019EX_PM_.xuf</v>
      </c>
    </row>
    <row r="401" spans="44:82" x14ac:dyDescent="0.2">
      <c r="AR401" s="18"/>
      <c r="AX401" s="18"/>
      <c r="CB401" s="31" t="str">
        <f t="shared" ref="CB401:CB464" si="20">C401&amp; " "&amp;D401&amp;" " &amp;E401</f>
        <v xml:space="preserve">  </v>
      </c>
      <c r="CC401" s="25" t="str">
        <f t="shared" ref="CC401:CC464" si="21">SUBSTITUTE(E401, "/", "_")</f>
        <v/>
      </c>
      <c r="CD401" s="25" t="str">
        <f>BasicInput!$D$13&amp;$CD$2&amp;B401&amp;"_"&amp;C401&amp;D401&amp;"_"&amp;BasicInput!$D$7&amp;BasicInput!$D$8&amp;"_"&amp;CC401&amp;".xuf"</f>
        <v>C:\PWWORKING\east01\d2591108\Basic\__2019EX_PM_.xuf</v>
      </c>
    </row>
    <row r="402" spans="44:82" x14ac:dyDescent="0.2">
      <c r="AR402" s="18"/>
      <c r="AX402" s="18"/>
      <c r="CB402" s="31" t="str">
        <f t="shared" si="20"/>
        <v xml:space="preserve">  </v>
      </c>
      <c r="CC402" s="25" t="str">
        <f t="shared" si="21"/>
        <v/>
      </c>
      <c r="CD402" s="25" t="str">
        <f>BasicInput!$D$13&amp;$CD$2&amp;B402&amp;"_"&amp;C402&amp;D402&amp;"_"&amp;BasicInput!$D$7&amp;BasicInput!$D$8&amp;"_"&amp;CC402&amp;".xuf"</f>
        <v>C:\PWWORKING\east01\d2591108\Basic\__2019EX_PM_.xuf</v>
      </c>
    </row>
    <row r="403" spans="44:82" x14ac:dyDescent="0.2">
      <c r="AR403" s="18"/>
      <c r="AX403" s="18"/>
      <c r="CB403" s="31" t="str">
        <f t="shared" si="20"/>
        <v xml:space="preserve">  </v>
      </c>
      <c r="CC403" s="25" t="str">
        <f t="shared" si="21"/>
        <v/>
      </c>
      <c r="CD403" s="25" t="str">
        <f>BasicInput!$D$13&amp;$CD$2&amp;B403&amp;"_"&amp;C403&amp;D403&amp;"_"&amp;BasicInput!$D$7&amp;BasicInput!$D$8&amp;"_"&amp;CC403&amp;".xuf"</f>
        <v>C:\PWWORKING\east01\d2591108\Basic\__2019EX_PM_.xuf</v>
      </c>
    </row>
    <row r="404" spans="44:82" x14ac:dyDescent="0.2">
      <c r="AR404" s="18"/>
      <c r="AX404" s="18"/>
      <c r="CB404" s="31" t="str">
        <f t="shared" si="20"/>
        <v xml:space="preserve">  </v>
      </c>
      <c r="CC404" s="25" t="str">
        <f t="shared" si="21"/>
        <v/>
      </c>
      <c r="CD404" s="25" t="str">
        <f>BasicInput!$D$13&amp;$CD$2&amp;B404&amp;"_"&amp;C404&amp;D404&amp;"_"&amp;BasicInput!$D$7&amp;BasicInput!$D$8&amp;"_"&amp;CC404&amp;".xuf"</f>
        <v>C:\PWWORKING\east01\d2591108\Basic\__2019EX_PM_.xuf</v>
      </c>
    </row>
    <row r="405" spans="44:82" x14ac:dyDescent="0.2">
      <c r="AR405" s="18"/>
      <c r="AX405" s="18"/>
      <c r="CB405" s="31" t="str">
        <f t="shared" si="20"/>
        <v xml:space="preserve">  </v>
      </c>
      <c r="CC405" s="25" t="str">
        <f t="shared" si="21"/>
        <v/>
      </c>
      <c r="CD405" s="25" t="str">
        <f>BasicInput!$D$13&amp;$CD$2&amp;B405&amp;"_"&amp;C405&amp;D405&amp;"_"&amp;BasicInput!$D$7&amp;BasicInput!$D$8&amp;"_"&amp;CC405&amp;".xuf"</f>
        <v>C:\PWWORKING\east01\d2591108\Basic\__2019EX_PM_.xuf</v>
      </c>
    </row>
    <row r="406" spans="44:82" x14ac:dyDescent="0.2">
      <c r="AR406" s="18"/>
      <c r="AX406" s="18"/>
      <c r="CB406" s="31" t="str">
        <f t="shared" si="20"/>
        <v xml:space="preserve">  </v>
      </c>
      <c r="CC406" s="25" t="str">
        <f t="shared" si="21"/>
        <v/>
      </c>
      <c r="CD406" s="25" t="str">
        <f>BasicInput!$D$13&amp;$CD$2&amp;B406&amp;"_"&amp;C406&amp;D406&amp;"_"&amp;BasicInput!$D$7&amp;BasicInput!$D$8&amp;"_"&amp;CC406&amp;".xuf"</f>
        <v>C:\PWWORKING\east01\d2591108\Basic\__2019EX_PM_.xuf</v>
      </c>
    </row>
    <row r="407" spans="44:82" x14ac:dyDescent="0.2">
      <c r="AR407" s="18"/>
      <c r="AX407" s="18"/>
      <c r="CB407" s="31" t="str">
        <f t="shared" si="20"/>
        <v xml:space="preserve">  </v>
      </c>
      <c r="CC407" s="25" t="str">
        <f t="shared" si="21"/>
        <v/>
      </c>
      <c r="CD407" s="25" t="str">
        <f>BasicInput!$D$13&amp;$CD$2&amp;B407&amp;"_"&amp;C407&amp;D407&amp;"_"&amp;BasicInput!$D$7&amp;BasicInput!$D$8&amp;"_"&amp;CC407&amp;".xuf"</f>
        <v>C:\PWWORKING\east01\d2591108\Basic\__2019EX_PM_.xuf</v>
      </c>
    </row>
    <row r="408" spans="44:82" x14ac:dyDescent="0.2">
      <c r="AR408" s="18"/>
      <c r="AX408" s="18"/>
      <c r="CB408" s="31" t="str">
        <f t="shared" si="20"/>
        <v xml:space="preserve">  </v>
      </c>
      <c r="CC408" s="25" t="str">
        <f t="shared" si="21"/>
        <v/>
      </c>
      <c r="CD408" s="25" t="str">
        <f>BasicInput!$D$13&amp;$CD$2&amp;B408&amp;"_"&amp;C408&amp;D408&amp;"_"&amp;BasicInput!$D$7&amp;BasicInput!$D$8&amp;"_"&amp;CC408&amp;".xuf"</f>
        <v>C:\PWWORKING\east01\d2591108\Basic\__2019EX_PM_.xuf</v>
      </c>
    </row>
    <row r="409" spans="44:82" x14ac:dyDescent="0.2">
      <c r="AR409" s="18"/>
      <c r="AX409" s="18"/>
      <c r="CB409" s="31" t="str">
        <f t="shared" si="20"/>
        <v xml:space="preserve">  </v>
      </c>
      <c r="CC409" s="25" t="str">
        <f t="shared" si="21"/>
        <v/>
      </c>
      <c r="CD409" s="25" t="str">
        <f>BasicInput!$D$13&amp;$CD$2&amp;B409&amp;"_"&amp;C409&amp;D409&amp;"_"&amp;BasicInput!$D$7&amp;BasicInput!$D$8&amp;"_"&amp;CC409&amp;".xuf"</f>
        <v>C:\PWWORKING\east01\d2591108\Basic\__2019EX_PM_.xuf</v>
      </c>
    </row>
    <row r="410" spans="44:82" x14ac:dyDescent="0.2">
      <c r="AR410" s="18"/>
      <c r="AX410" s="18"/>
      <c r="CB410" s="31" t="str">
        <f t="shared" si="20"/>
        <v xml:space="preserve">  </v>
      </c>
      <c r="CC410" s="25" t="str">
        <f t="shared" si="21"/>
        <v/>
      </c>
      <c r="CD410" s="25" t="str">
        <f>BasicInput!$D$13&amp;$CD$2&amp;B410&amp;"_"&amp;C410&amp;D410&amp;"_"&amp;BasicInput!$D$7&amp;BasicInput!$D$8&amp;"_"&amp;CC410&amp;".xuf"</f>
        <v>C:\PWWORKING\east01\d2591108\Basic\__2019EX_PM_.xuf</v>
      </c>
    </row>
    <row r="411" spans="44:82" x14ac:dyDescent="0.2">
      <c r="AR411" s="18"/>
      <c r="AX411" s="18"/>
      <c r="CB411" s="31" t="str">
        <f t="shared" si="20"/>
        <v xml:space="preserve">  </v>
      </c>
      <c r="CC411" s="25" t="str">
        <f t="shared" si="21"/>
        <v/>
      </c>
      <c r="CD411" s="25" t="str">
        <f>BasicInput!$D$13&amp;$CD$2&amp;B411&amp;"_"&amp;C411&amp;D411&amp;"_"&amp;BasicInput!$D$7&amp;BasicInput!$D$8&amp;"_"&amp;CC411&amp;".xuf"</f>
        <v>C:\PWWORKING\east01\d2591108\Basic\__2019EX_PM_.xuf</v>
      </c>
    </row>
    <row r="412" spans="44:82" x14ac:dyDescent="0.2">
      <c r="AR412" s="18"/>
      <c r="AX412" s="18"/>
      <c r="CB412" s="31" t="str">
        <f t="shared" si="20"/>
        <v xml:space="preserve">  </v>
      </c>
      <c r="CC412" s="25" t="str">
        <f t="shared" si="21"/>
        <v/>
      </c>
      <c r="CD412" s="25" t="str">
        <f>BasicInput!$D$13&amp;$CD$2&amp;B412&amp;"_"&amp;C412&amp;D412&amp;"_"&amp;BasicInput!$D$7&amp;BasicInput!$D$8&amp;"_"&amp;CC412&amp;".xuf"</f>
        <v>C:\PWWORKING\east01\d2591108\Basic\__2019EX_PM_.xuf</v>
      </c>
    </row>
    <row r="413" spans="44:82" x14ac:dyDescent="0.2">
      <c r="AR413" s="18"/>
      <c r="AX413" s="18"/>
      <c r="CB413" s="31" t="str">
        <f t="shared" si="20"/>
        <v xml:space="preserve">  </v>
      </c>
      <c r="CC413" s="25" t="str">
        <f t="shared" si="21"/>
        <v/>
      </c>
      <c r="CD413" s="25" t="str">
        <f>BasicInput!$D$13&amp;$CD$2&amp;B413&amp;"_"&amp;C413&amp;D413&amp;"_"&amp;BasicInput!$D$7&amp;BasicInput!$D$8&amp;"_"&amp;CC413&amp;".xuf"</f>
        <v>C:\PWWORKING\east01\d2591108\Basic\__2019EX_PM_.xuf</v>
      </c>
    </row>
    <row r="414" spans="44:82" x14ac:dyDescent="0.2">
      <c r="AR414" s="18"/>
      <c r="AX414" s="18"/>
      <c r="CB414" s="31" t="str">
        <f t="shared" si="20"/>
        <v xml:space="preserve">  </v>
      </c>
      <c r="CC414" s="25" t="str">
        <f t="shared" si="21"/>
        <v/>
      </c>
      <c r="CD414" s="25" t="str">
        <f>BasicInput!$D$13&amp;$CD$2&amp;B414&amp;"_"&amp;C414&amp;D414&amp;"_"&amp;BasicInput!$D$7&amp;BasicInput!$D$8&amp;"_"&amp;CC414&amp;".xuf"</f>
        <v>C:\PWWORKING\east01\d2591108\Basic\__2019EX_PM_.xuf</v>
      </c>
    </row>
    <row r="415" spans="44:82" x14ac:dyDescent="0.2">
      <c r="AR415" s="18"/>
      <c r="AX415" s="18"/>
      <c r="CB415" s="31" t="str">
        <f t="shared" si="20"/>
        <v xml:space="preserve">  </v>
      </c>
      <c r="CC415" s="25" t="str">
        <f t="shared" si="21"/>
        <v/>
      </c>
      <c r="CD415" s="25" t="str">
        <f>BasicInput!$D$13&amp;$CD$2&amp;B415&amp;"_"&amp;C415&amp;D415&amp;"_"&amp;BasicInput!$D$7&amp;BasicInput!$D$8&amp;"_"&amp;CC415&amp;".xuf"</f>
        <v>C:\PWWORKING\east01\d2591108\Basic\__2019EX_PM_.xuf</v>
      </c>
    </row>
    <row r="416" spans="44:82" x14ac:dyDescent="0.2">
      <c r="AR416" s="18"/>
      <c r="AX416" s="18"/>
      <c r="CB416" s="31" t="str">
        <f t="shared" si="20"/>
        <v xml:space="preserve">  </v>
      </c>
      <c r="CC416" s="25" t="str">
        <f t="shared" si="21"/>
        <v/>
      </c>
      <c r="CD416" s="25" t="str">
        <f>BasicInput!$D$13&amp;$CD$2&amp;B416&amp;"_"&amp;C416&amp;D416&amp;"_"&amp;BasicInput!$D$7&amp;BasicInput!$D$8&amp;"_"&amp;CC416&amp;".xuf"</f>
        <v>C:\PWWORKING\east01\d2591108\Basic\__2019EX_PM_.xuf</v>
      </c>
    </row>
    <row r="417" spans="44:82" x14ac:dyDescent="0.2">
      <c r="AR417" s="18"/>
      <c r="AX417" s="18"/>
      <c r="CB417" s="31" t="str">
        <f t="shared" si="20"/>
        <v xml:space="preserve">  </v>
      </c>
      <c r="CC417" s="25" t="str">
        <f t="shared" si="21"/>
        <v/>
      </c>
      <c r="CD417" s="25" t="str">
        <f>BasicInput!$D$13&amp;$CD$2&amp;B417&amp;"_"&amp;C417&amp;D417&amp;"_"&amp;BasicInput!$D$7&amp;BasicInput!$D$8&amp;"_"&amp;CC417&amp;".xuf"</f>
        <v>C:\PWWORKING\east01\d2591108\Basic\__2019EX_PM_.xuf</v>
      </c>
    </row>
    <row r="418" spans="44:82" x14ac:dyDescent="0.2">
      <c r="AR418" s="18"/>
      <c r="AX418" s="18"/>
      <c r="CB418" s="31" t="str">
        <f t="shared" si="20"/>
        <v xml:space="preserve">  </v>
      </c>
      <c r="CC418" s="25" t="str">
        <f t="shared" si="21"/>
        <v/>
      </c>
      <c r="CD418" s="25" t="str">
        <f>BasicInput!$D$13&amp;$CD$2&amp;B418&amp;"_"&amp;C418&amp;D418&amp;"_"&amp;BasicInput!$D$7&amp;BasicInput!$D$8&amp;"_"&amp;CC418&amp;".xuf"</f>
        <v>C:\PWWORKING\east01\d2591108\Basic\__2019EX_PM_.xuf</v>
      </c>
    </row>
    <row r="419" spans="44:82" x14ac:dyDescent="0.2">
      <c r="AR419" s="18"/>
      <c r="AX419" s="18"/>
      <c r="CB419" s="31" t="str">
        <f t="shared" si="20"/>
        <v xml:space="preserve">  </v>
      </c>
      <c r="CC419" s="25" t="str">
        <f t="shared" si="21"/>
        <v/>
      </c>
      <c r="CD419" s="25" t="str">
        <f>BasicInput!$D$13&amp;$CD$2&amp;B419&amp;"_"&amp;C419&amp;D419&amp;"_"&amp;BasicInput!$D$7&amp;BasicInput!$D$8&amp;"_"&amp;CC419&amp;".xuf"</f>
        <v>C:\PWWORKING\east01\d2591108\Basic\__2019EX_PM_.xuf</v>
      </c>
    </row>
    <row r="420" spans="44:82" x14ac:dyDescent="0.2">
      <c r="AR420" s="18"/>
      <c r="AX420" s="18"/>
      <c r="CB420" s="31" t="str">
        <f t="shared" si="20"/>
        <v xml:space="preserve">  </v>
      </c>
      <c r="CC420" s="25" t="str">
        <f t="shared" si="21"/>
        <v/>
      </c>
      <c r="CD420" s="25" t="str">
        <f>BasicInput!$D$13&amp;$CD$2&amp;B420&amp;"_"&amp;C420&amp;D420&amp;"_"&amp;BasicInput!$D$7&amp;BasicInput!$D$8&amp;"_"&amp;CC420&amp;".xuf"</f>
        <v>C:\PWWORKING\east01\d2591108\Basic\__2019EX_PM_.xuf</v>
      </c>
    </row>
    <row r="421" spans="44:82" x14ac:dyDescent="0.2">
      <c r="AR421" s="18"/>
      <c r="AX421" s="18"/>
      <c r="CB421" s="31" t="str">
        <f t="shared" si="20"/>
        <v xml:space="preserve">  </v>
      </c>
      <c r="CC421" s="25" t="str">
        <f t="shared" si="21"/>
        <v/>
      </c>
      <c r="CD421" s="25" t="str">
        <f>BasicInput!$D$13&amp;$CD$2&amp;B421&amp;"_"&amp;C421&amp;D421&amp;"_"&amp;BasicInput!$D$7&amp;BasicInput!$D$8&amp;"_"&amp;CC421&amp;".xuf"</f>
        <v>C:\PWWORKING\east01\d2591108\Basic\__2019EX_PM_.xuf</v>
      </c>
    </row>
    <row r="422" spans="44:82" x14ac:dyDescent="0.2">
      <c r="AR422" s="18"/>
      <c r="AX422" s="18"/>
      <c r="CB422" s="31" t="str">
        <f t="shared" si="20"/>
        <v xml:space="preserve">  </v>
      </c>
      <c r="CC422" s="25" t="str">
        <f t="shared" si="21"/>
        <v/>
      </c>
      <c r="CD422" s="25" t="str">
        <f>BasicInput!$D$13&amp;$CD$2&amp;B422&amp;"_"&amp;C422&amp;D422&amp;"_"&amp;BasicInput!$D$7&amp;BasicInput!$D$8&amp;"_"&amp;CC422&amp;".xuf"</f>
        <v>C:\PWWORKING\east01\d2591108\Basic\__2019EX_PM_.xuf</v>
      </c>
    </row>
    <row r="423" spans="44:82" x14ac:dyDescent="0.2">
      <c r="AR423" s="18"/>
      <c r="AX423" s="18"/>
      <c r="CB423" s="31" t="str">
        <f t="shared" si="20"/>
        <v xml:space="preserve">  </v>
      </c>
      <c r="CC423" s="25" t="str">
        <f t="shared" si="21"/>
        <v/>
      </c>
      <c r="CD423" s="25" t="str">
        <f>BasicInput!$D$13&amp;$CD$2&amp;B423&amp;"_"&amp;C423&amp;D423&amp;"_"&amp;BasicInput!$D$7&amp;BasicInput!$D$8&amp;"_"&amp;CC423&amp;".xuf"</f>
        <v>C:\PWWORKING\east01\d2591108\Basic\__2019EX_PM_.xuf</v>
      </c>
    </row>
    <row r="424" spans="44:82" x14ac:dyDescent="0.2">
      <c r="AR424" s="18"/>
      <c r="AX424" s="18"/>
      <c r="CB424" s="31" t="str">
        <f t="shared" si="20"/>
        <v xml:space="preserve">  </v>
      </c>
      <c r="CC424" s="25" t="str">
        <f t="shared" si="21"/>
        <v/>
      </c>
      <c r="CD424" s="25" t="str">
        <f>BasicInput!$D$13&amp;$CD$2&amp;B424&amp;"_"&amp;C424&amp;D424&amp;"_"&amp;BasicInput!$D$7&amp;BasicInput!$D$8&amp;"_"&amp;CC424&amp;".xuf"</f>
        <v>C:\PWWORKING\east01\d2591108\Basic\__2019EX_PM_.xuf</v>
      </c>
    </row>
    <row r="425" spans="44:82" x14ac:dyDescent="0.2">
      <c r="AR425" s="18"/>
      <c r="AX425" s="18"/>
      <c r="CB425" s="31" t="str">
        <f t="shared" si="20"/>
        <v xml:space="preserve">  </v>
      </c>
      <c r="CC425" s="25" t="str">
        <f t="shared" si="21"/>
        <v/>
      </c>
      <c r="CD425" s="25" t="str">
        <f>BasicInput!$D$13&amp;$CD$2&amp;B425&amp;"_"&amp;C425&amp;D425&amp;"_"&amp;BasicInput!$D$7&amp;BasicInput!$D$8&amp;"_"&amp;CC425&amp;".xuf"</f>
        <v>C:\PWWORKING\east01\d2591108\Basic\__2019EX_PM_.xuf</v>
      </c>
    </row>
    <row r="426" spans="44:82" x14ac:dyDescent="0.2">
      <c r="AR426" s="18"/>
      <c r="AX426" s="18"/>
      <c r="CB426" s="31" t="str">
        <f t="shared" si="20"/>
        <v xml:space="preserve">  </v>
      </c>
      <c r="CC426" s="25" t="str">
        <f t="shared" si="21"/>
        <v/>
      </c>
      <c r="CD426" s="25" t="str">
        <f>BasicInput!$D$13&amp;$CD$2&amp;B426&amp;"_"&amp;C426&amp;D426&amp;"_"&amp;BasicInput!$D$7&amp;BasicInput!$D$8&amp;"_"&amp;CC426&amp;".xuf"</f>
        <v>C:\PWWORKING\east01\d2591108\Basic\__2019EX_PM_.xuf</v>
      </c>
    </row>
    <row r="427" spans="44:82" x14ac:dyDescent="0.2">
      <c r="AR427" s="18"/>
      <c r="AX427" s="18"/>
      <c r="CB427" s="31" t="str">
        <f t="shared" si="20"/>
        <v xml:space="preserve">  </v>
      </c>
      <c r="CC427" s="25" t="str">
        <f t="shared" si="21"/>
        <v/>
      </c>
      <c r="CD427" s="25" t="str">
        <f>BasicInput!$D$13&amp;$CD$2&amp;B427&amp;"_"&amp;C427&amp;D427&amp;"_"&amp;BasicInput!$D$7&amp;BasicInput!$D$8&amp;"_"&amp;CC427&amp;".xuf"</f>
        <v>C:\PWWORKING\east01\d2591108\Basic\__2019EX_PM_.xuf</v>
      </c>
    </row>
    <row r="428" spans="44:82" x14ac:dyDescent="0.2">
      <c r="AR428" s="18"/>
      <c r="AX428" s="18"/>
      <c r="CB428" s="31" t="str">
        <f t="shared" si="20"/>
        <v xml:space="preserve">  </v>
      </c>
      <c r="CC428" s="25" t="str">
        <f t="shared" si="21"/>
        <v/>
      </c>
      <c r="CD428" s="25" t="str">
        <f>BasicInput!$D$13&amp;$CD$2&amp;B428&amp;"_"&amp;C428&amp;D428&amp;"_"&amp;BasicInput!$D$7&amp;BasicInput!$D$8&amp;"_"&amp;CC428&amp;".xuf"</f>
        <v>C:\PWWORKING\east01\d2591108\Basic\__2019EX_PM_.xuf</v>
      </c>
    </row>
    <row r="429" spans="44:82" x14ac:dyDescent="0.2">
      <c r="AR429" s="18"/>
      <c r="AX429" s="18"/>
      <c r="CB429" s="31" t="str">
        <f t="shared" si="20"/>
        <v xml:space="preserve">  </v>
      </c>
      <c r="CC429" s="25" t="str">
        <f t="shared" si="21"/>
        <v/>
      </c>
      <c r="CD429" s="25" t="str">
        <f>BasicInput!$D$13&amp;$CD$2&amp;B429&amp;"_"&amp;C429&amp;D429&amp;"_"&amp;BasicInput!$D$7&amp;BasicInput!$D$8&amp;"_"&amp;CC429&amp;".xuf"</f>
        <v>C:\PWWORKING\east01\d2591108\Basic\__2019EX_PM_.xuf</v>
      </c>
    </row>
    <row r="430" spans="44:82" x14ac:dyDescent="0.2">
      <c r="AR430" s="18"/>
      <c r="AX430" s="18"/>
      <c r="CB430" s="31" t="str">
        <f t="shared" si="20"/>
        <v xml:space="preserve">  </v>
      </c>
      <c r="CC430" s="25" t="str">
        <f t="shared" si="21"/>
        <v/>
      </c>
      <c r="CD430" s="25" t="str">
        <f>BasicInput!$D$13&amp;$CD$2&amp;B430&amp;"_"&amp;C430&amp;D430&amp;"_"&amp;BasicInput!$D$7&amp;BasicInput!$D$8&amp;"_"&amp;CC430&amp;".xuf"</f>
        <v>C:\PWWORKING\east01\d2591108\Basic\__2019EX_PM_.xuf</v>
      </c>
    </row>
    <row r="431" spans="44:82" x14ac:dyDescent="0.2">
      <c r="AR431" s="18"/>
      <c r="AX431" s="18"/>
      <c r="CB431" s="31" t="str">
        <f t="shared" si="20"/>
        <v xml:space="preserve">  </v>
      </c>
      <c r="CC431" s="25" t="str">
        <f t="shared" si="21"/>
        <v/>
      </c>
      <c r="CD431" s="25" t="str">
        <f>BasicInput!$D$13&amp;$CD$2&amp;B431&amp;"_"&amp;C431&amp;D431&amp;"_"&amp;BasicInput!$D$7&amp;BasicInput!$D$8&amp;"_"&amp;CC431&amp;".xuf"</f>
        <v>C:\PWWORKING\east01\d2591108\Basic\__2019EX_PM_.xuf</v>
      </c>
    </row>
    <row r="432" spans="44:82" x14ac:dyDescent="0.2">
      <c r="AR432" s="18"/>
      <c r="AX432" s="18"/>
      <c r="CB432" s="31" t="str">
        <f t="shared" si="20"/>
        <v xml:space="preserve">  </v>
      </c>
      <c r="CC432" s="25" t="str">
        <f t="shared" si="21"/>
        <v/>
      </c>
      <c r="CD432" s="25" t="str">
        <f>BasicInput!$D$13&amp;$CD$2&amp;B432&amp;"_"&amp;C432&amp;D432&amp;"_"&amp;BasicInput!$D$7&amp;BasicInput!$D$8&amp;"_"&amp;CC432&amp;".xuf"</f>
        <v>C:\PWWORKING\east01\d2591108\Basic\__2019EX_PM_.xuf</v>
      </c>
    </row>
    <row r="433" spans="44:82" x14ac:dyDescent="0.2">
      <c r="AR433" s="18"/>
      <c r="AX433" s="18"/>
      <c r="CB433" s="31" t="str">
        <f t="shared" si="20"/>
        <v xml:space="preserve">  </v>
      </c>
      <c r="CC433" s="25" t="str">
        <f t="shared" si="21"/>
        <v/>
      </c>
      <c r="CD433" s="25" t="str">
        <f>BasicInput!$D$13&amp;$CD$2&amp;B433&amp;"_"&amp;C433&amp;D433&amp;"_"&amp;BasicInput!$D$7&amp;BasicInput!$D$8&amp;"_"&amp;CC433&amp;".xuf"</f>
        <v>C:\PWWORKING\east01\d2591108\Basic\__2019EX_PM_.xuf</v>
      </c>
    </row>
    <row r="434" spans="44:82" x14ac:dyDescent="0.2">
      <c r="AR434" s="18"/>
      <c r="AX434" s="18"/>
      <c r="CB434" s="31" t="str">
        <f t="shared" si="20"/>
        <v xml:space="preserve">  </v>
      </c>
      <c r="CC434" s="25" t="str">
        <f t="shared" si="21"/>
        <v/>
      </c>
      <c r="CD434" s="25" t="str">
        <f>BasicInput!$D$13&amp;$CD$2&amp;B434&amp;"_"&amp;C434&amp;D434&amp;"_"&amp;BasicInput!$D$7&amp;BasicInput!$D$8&amp;"_"&amp;CC434&amp;".xuf"</f>
        <v>C:\PWWORKING\east01\d2591108\Basic\__2019EX_PM_.xuf</v>
      </c>
    </row>
    <row r="435" spans="44:82" x14ac:dyDescent="0.2">
      <c r="AR435" s="18"/>
      <c r="AX435" s="18"/>
      <c r="CB435" s="31" t="str">
        <f t="shared" si="20"/>
        <v xml:space="preserve">  </v>
      </c>
      <c r="CC435" s="25" t="str">
        <f t="shared" si="21"/>
        <v/>
      </c>
      <c r="CD435" s="25" t="str">
        <f>BasicInput!$D$13&amp;$CD$2&amp;B435&amp;"_"&amp;C435&amp;D435&amp;"_"&amp;BasicInput!$D$7&amp;BasicInput!$D$8&amp;"_"&amp;CC435&amp;".xuf"</f>
        <v>C:\PWWORKING\east01\d2591108\Basic\__2019EX_PM_.xuf</v>
      </c>
    </row>
    <row r="436" spans="44:82" x14ac:dyDescent="0.2">
      <c r="AR436" s="18"/>
      <c r="AX436" s="18"/>
      <c r="CB436" s="31" t="str">
        <f t="shared" si="20"/>
        <v xml:space="preserve">  </v>
      </c>
      <c r="CC436" s="25" t="str">
        <f t="shared" si="21"/>
        <v/>
      </c>
      <c r="CD436" s="25" t="str">
        <f>BasicInput!$D$13&amp;$CD$2&amp;B436&amp;"_"&amp;C436&amp;D436&amp;"_"&amp;BasicInput!$D$7&amp;BasicInput!$D$8&amp;"_"&amp;CC436&amp;".xuf"</f>
        <v>C:\PWWORKING\east01\d2591108\Basic\__2019EX_PM_.xuf</v>
      </c>
    </row>
    <row r="437" spans="44:82" x14ac:dyDescent="0.2">
      <c r="AR437" s="18"/>
      <c r="AX437" s="18"/>
      <c r="CB437" s="31" t="str">
        <f t="shared" si="20"/>
        <v xml:space="preserve">  </v>
      </c>
      <c r="CC437" s="25" t="str">
        <f t="shared" si="21"/>
        <v/>
      </c>
      <c r="CD437" s="25" t="str">
        <f>BasicInput!$D$13&amp;$CD$2&amp;B437&amp;"_"&amp;C437&amp;D437&amp;"_"&amp;BasicInput!$D$7&amp;BasicInput!$D$8&amp;"_"&amp;CC437&amp;".xuf"</f>
        <v>C:\PWWORKING\east01\d2591108\Basic\__2019EX_PM_.xuf</v>
      </c>
    </row>
    <row r="438" spans="44:82" x14ac:dyDescent="0.2">
      <c r="AR438" s="18"/>
      <c r="AX438" s="18"/>
      <c r="CB438" s="31" t="str">
        <f t="shared" si="20"/>
        <v xml:space="preserve">  </v>
      </c>
      <c r="CC438" s="25" t="str">
        <f t="shared" si="21"/>
        <v/>
      </c>
      <c r="CD438" s="25" t="str">
        <f>BasicInput!$D$13&amp;$CD$2&amp;B438&amp;"_"&amp;C438&amp;D438&amp;"_"&amp;BasicInput!$D$7&amp;BasicInput!$D$8&amp;"_"&amp;CC438&amp;".xuf"</f>
        <v>C:\PWWORKING\east01\d2591108\Basic\__2019EX_PM_.xuf</v>
      </c>
    </row>
    <row r="439" spans="44:82" x14ac:dyDescent="0.2">
      <c r="AR439" s="18"/>
      <c r="AX439" s="18"/>
      <c r="CB439" s="31" t="str">
        <f t="shared" si="20"/>
        <v xml:space="preserve">  </v>
      </c>
      <c r="CC439" s="25" t="str">
        <f t="shared" si="21"/>
        <v/>
      </c>
      <c r="CD439" s="25" t="str">
        <f>BasicInput!$D$13&amp;$CD$2&amp;B439&amp;"_"&amp;C439&amp;D439&amp;"_"&amp;BasicInput!$D$7&amp;BasicInput!$D$8&amp;"_"&amp;CC439&amp;".xuf"</f>
        <v>C:\PWWORKING\east01\d2591108\Basic\__2019EX_PM_.xuf</v>
      </c>
    </row>
    <row r="440" spans="44:82" x14ac:dyDescent="0.2">
      <c r="AR440" s="18"/>
      <c r="AX440" s="18"/>
      <c r="CB440" s="31" t="str">
        <f t="shared" si="20"/>
        <v xml:space="preserve">  </v>
      </c>
      <c r="CC440" s="25" t="str">
        <f t="shared" si="21"/>
        <v/>
      </c>
      <c r="CD440" s="25" t="str">
        <f>BasicInput!$D$13&amp;$CD$2&amp;B440&amp;"_"&amp;C440&amp;D440&amp;"_"&amp;BasicInput!$D$7&amp;BasicInput!$D$8&amp;"_"&amp;CC440&amp;".xuf"</f>
        <v>C:\PWWORKING\east01\d2591108\Basic\__2019EX_PM_.xuf</v>
      </c>
    </row>
    <row r="441" spans="44:82" x14ac:dyDescent="0.2">
      <c r="AR441" s="18"/>
      <c r="AX441" s="18"/>
      <c r="CB441" s="31" t="str">
        <f t="shared" si="20"/>
        <v xml:space="preserve">  </v>
      </c>
      <c r="CC441" s="25" t="str">
        <f t="shared" si="21"/>
        <v/>
      </c>
      <c r="CD441" s="25" t="str">
        <f>BasicInput!$D$13&amp;$CD$2&amp;B441&amp;"_"&amp;C441&amp;D441&amp;"_"&amp;BasicInput!$D$7&amp;BasicInput!$D$8&amp;"_"&amp;CC441&amp;".xuf"</f>
        <v>C:\PWWORKING\east01\d2591108\Basic\__2019EX_PM_.xuf</v>
      </c>
    </row>
    <row r="442" spans="44:82" x14ac:dyDescent="0.2">
      <c r="AR442" s="18"/>
      <c r="AX442" s="18"/>
      <c r="CB442" s="31" t="str">
        <f t="shared" si="20"/>
        <v xml:space="preserve">  </v>
      </c>
      <c r="CC442" s="25" t="str">
        <f t="shared" si="21"/>
        <v/>
      </c>
      <c r="CD442" s="25" t="str">
        <f>BasicInput!$D$13&amp;$CD$2&amp;B442&amp;"_"&amp;C442&amp;D442&amp;"_"&amp;BasicInput!$D$7&amp;BasicInput!$D$8&amp;"_"&amp;CC442&amp;".xuf"</f>
        <v>C:\PWWORKING\east01\d2591108\Basic\__2019EX_PM_.xuf</v>
      </c>
    </row>
    <row r="443" spans="44:82" x14ac:dyDescent="0.2">
      <c r="AR443" s="18"/>
      <c r="AX443" s="18"/>
      <c r="CB443" s="31" t="str">
        <f t="shared" si="20"/>
        <v xml:space="preserve">  </v>
      </c>
      <c r="CC443" s="25" t="str">
        <f t="shared" si="21"/>
        <v/>
      </c>
      <c r="CD443" s="25" t="str">
        <f>BasicInput!$D$13&amp;$CD$2&amp;B443&amp;"_"&amp;C443&amp;D443&amp;"_"&amp;BasicInput!$D$7&amp;BasicInput!$D$8&amp;"_"&amp;CC443&amp;".xuf"</f>
        <v>C:\PWWORKING\east01\d2591108\Basic\__2019EX_PM_.xuf</v>
      </c>
    </row>
    <row r="444" spans="44:82" x14ac:dyDescent="0.2">
      <c r="AR444" s="18"/>
      <c r="AX444" s="18"/>
      <c r="CB444" s="31" t="str">
        <f t="shared" si="20"/>
        <v xml:space="preserve">  </v>
      </c>
      <c r="CC444" s="25" t="str">
        <f t="shared" si="21"/>
        <v/>
      </c>
      <c r="CD444" s="25" t="str">
        <f>BasicInput!$D$13&amp;$CD$2&amp;B444&amp;"_"&amp;C444&amp;D444&amp;"_"&amp;BasicInput!$D$7&amp;BasicInput!$D$8&amp;"_"&amp;CC444&amp;".xuf"</f>
        <v>C:\PWWORKING\east01\d2591108\Basic\__2019EX_PM_.xuf</v>
      </c>
    </row>
    <row r="445" spans="44:82" x14ac:dyDescent="0.2">
      <c r="AR445" s="18"/>
      <c r="AX445" s="18"/>
      <c r="CB445" s="31" t="str">
        <f t="shared" si="20"/>
        <v xml:space="preserve">  </v>
      </c>
      <c r="CC445" s="25" t="str">
        <f t="shared" si="21"/>
        <v/>
      </c>
      <c r="CD445" s="25" t="str">
        <f>BasicInput!$D$13&amp;$CD$2&amp;B445&amp;"_"&amp;C445&amp;D445&amp;"_"&amp;BasicInput!$D$7&amp;BasicInput!$D$8&amp;"_"&amp;CC445&amp;".xuf"</f>
        <v>C:\PWWORKING\east01\d2591108\Basic\__2019EX_PM_.xuf</v>
      </c>
    </row>
    <row r="446" spans="44:82" x14ac:dyDescent="0.2">
      <c r="AR446" s="18"/>
      <c r="AX446" s="18"/>
      <c r="CB446" s="31" t="str">
        <f t="shared" si="20"/>
        <v xml:space="preserve">  </v>
      </c>
      <c r="CC446" s="25" t="str">
        <f t="shared" si="21"/>
        <v/>
      </c>
      <c r="CD446" s="25" t="str">
        <f>BasicInput!$D$13&amp;$CD$2&amp;B446&amp;"_"&amp;C446&amp;D446&amp;"_"&amp;BasicInput!$D$7&amp;BasicInput!$D$8&amp;"_"&amp;CC446&amp;".xuf"</f>
        <v>C:\PWWORKING\east01\d2591108\Basic\__2019EX_PM_.xuf</v>
      </c>
    </row>
    <row r="447" spans="44:82" x14ac:dyDescent="0.2">
      <c r="AR447" s="18"/>
      <c r="AX447" s="18"/>
      <c r="CB447" s="31" t="str">
        <f t="shared" si="20"/>
        <v xml:space="preserve">  </v>
      </c>
      <c r="CC447" s="25" t="str">
        <f t="shared" si="21"/>
        <v/>
      </c>
      <c r="CD447" s="25" t="str">
        <f>BasicInput!$D$13&amp;$CD$2&amp;B447&amp;"_"&amp;C447&amp;D447&amp;"_"&amp;BasicInput!$D$7&amp;BasicInput!$D$8&amp;"_"&amp;CC447&amp;".xuf"</f>
        <v>C:\PWWORKING\east01\d2591108\Basic\__2019EX_PM_.xuf</v>
      </c>
    </row>
    <row r="448" spans="44:82" x14ac:dyDescent="0.2">
      <c r="AR448" s="18"/>
      <c r="AX448" s="18"/>
      <c r="CB448" s="31" t="str">
        <f t="shared" si="20"/>
        <v xml:space="preserve">  </v>
      </c>
      <c r="CC448" s="25" t="str">
        <f t="shared" si="21"/>
        <v/>
      </c>
      <c r="CD448" s="25" t="str">
        <f>BasicInput!$D$13&amp;$CD$2&amp;B448&amp;"_"&amp;C448&amp;D448&amp;"_"&amp;BasicInput!$D$7&amp;BasicInput!$D$8&amp;"_"&amp;CC448&amp;".xuf"</f>
        <v>C:\PWWORKING\east01\d2591108\Basic\__2019EX_PM_.xuf</v>
      </c>
    </row>
    <row r="449" spans="44:82" x14ac:dyDescent="0.2">
      <c r="AR449" s="18"/>
      <c r="AX449" s="18"/>
      <c r="CB449" s="31" t="str">
        <f t="shared" si="20"/>
        <v xml:space="preserve">  </v>
      </c>
      <c r="CC449" s="25" t="str">
        <f t="shared" si="21"/>
        <v/>
      </c>
      <c r="CD449" s="25" t="str">
        <f>BasicInput!$D$13&amp;$CD$2&amp;B449&amp;"_"&amp;C449&amp;D449&amp;"_"&amp;BasicInput!$D$7&amp;BasicInput!$D$8&amp;"_"&amp;CC449&amp;".xuf"</f>
        <v>C:\PWWORKING\east01\d2591108\Basic\__2019EX_PM_.xuf</v>
      </c>
    </row>
    <row r="450" spans="44:82" x14ac:dyDescent="0.2">
      <c r="AR450" s="18"/>
      <c r="AX450" s="18"/>
      <c r="CB450" s="31" t="str">
        <f t="shared" si="20"/>
        <v xml:space="preserve">  </v>
      </c>
      <c r="CC450" s="25" t="str">
        <f t="shared" si="21"/>
        <v/>
      </c>
      <c r="CD450" s="25" t="str">
        <f>BasicInput!$D$13&amp;$CD$2&amp;B450&amp;"_"&amp;C450&amp;D450&amp;"_"&amp;BasicInput!$D$7&amp;BasicInput!$D$8&amp;"_"&amp;CC450&amp;".xuf"</f>
        <v>C:\PWWORKING\east01\d2591108\Basic\__2019EX_PM_.xuf</v>
      </c>
    </row>
    <row r="451" spans="44:82" x14ac:dyDescent="0.2">
      <c r="AR451" s="18"/>
      <c r="AX451" s="18"/>
      <c r="CB451" s="31" t="str">
        <f t="shared" si="20"/>
        <v xml:space="preserve">  </v>
      </c>
      <c r="CC451" s="25" t="str">
        <f t="shared" si="21"/>
        <v/>
      </c>
      <c r="CD451" s="25" t="str">
        <f>BasicInput!$D$13&amp;$CD$2&amp;B451&amp;"_"&amp;C451&amp;D451&amp;"_"&amp;BasicInput!$D$7&amp;BasicInput!$D$8&amp;"_"&amp;CC451&amp;".xuf"</f>
        <v>C:\PWWORKING\east01\d2591108\Basic\__2019EX_PM_.xuf</v>
      </c>
    </row>
    <row r="452" spans="44:82" x14ac:dyDescent="0.2">
      <c r="AR452" s="18"/>
      <c r="AX452" s="18"/>
      <c r="CB452" s="31" t="str">
        <f t="shared" si="20"/>
        <v xml:space="preserve">  </v>
      </c>
      <c r="CC452" s="25" t="str">
        <f t="shared" si="21"/>
        <v/>
      </c>
      <c r="CD452" s="25" t="str">
        <f>BasicInput!$D$13&amp;$CD$2&amp;B452&amp;"_"&amp;C452&amp;D452&amp;"_"&amp;BasicInput!$D$7&amp;BasicInput!$D$8&amp;"_"&amp;CC452&amp;".xuf"</f>
        <v>C:\PWWORKING\east01\d2591108\Basic\__2019EX_PM_.xuf</v>
      </c>
    </row>
    <row r="453" spans="44:82" x14ac:dyDescent="0.2">
      <c r="AR453" s="18"/>
      <c r="AX453" s="18"/>
      <c r="CB453" s="31" t="str">
        <f t="shared" si="20"/>
        <v xml:space="preserve">  </v>
      </c>
      <c r="CC453" s="25" t="str">
        <f t="shared" si="21"/>
        <v/>
      </c>
      <c r="CD453" s="25" t="str">
        <f>BasicInput!$D$13&amp;$CD$2&amp;B453&amp;"_"&amp;C453&amp;D453&amp;"_"&amp;BasicInput!$D$7&amp;BasicInput!$D$8&amp;"_"&amp;CC453&amp;".xuf"</f>
        <v>C:\PWWORKING\east01\d2591108\Basic\__2019EX_PM_.xuf</v>
      </c>
    </row>
    <row r="454" spans="44:82" x14ac:dyDescent="0.2">
      <c r="AR454" s="18"/>
      <c r="AX454" s="18"/>
      <c r="CB454" s="31" t="str">
        <f t="shared" si="20"/>
        <v xml:space="preserve">  </v>
      </c>
      <c r="CC454" s="25" t="str">
        <f t="shared" si="21"/>
        <v/>
      </c>
      <c r="CD454" s="25" t="str">
        <f>BasicInput!$D$13&amp;$CD$2&amp;B454&amp;"_"&amp;C454&amp;D454&amp;"_"&amp;BasicInput!$D$7&amp;BasicInput!$D$8&amp;"_"&amp;CC454&amp;".xuf"</f>
        <v>C:\PWWORKING\east01\d2591108\Basic\__2019EX_PM_.xuf</v>
      </c>
    </row>
    <row r="455" spans="44:82" x14ac:dyDescent="0.2">
      <c r="AR455" s="18"/>
      <c r="AX455" s="18"/>
      <c r="CB455" s="31" t="str">
        <f t="shared" si="20"/>
        <v xml:space="preserve">  </v>
      </c>
      <c r="CC455" s="25" t="str">
        <f t="shared" si="21"/>
        <v/>
      </c>
      <c r="CD455" s="25" t="str">
        <f>BasicInput!$D$13&amp;$CD$2&amp;B455&amp;"_"&amp;C455&amp;D455&amp;"_"&amp;BasicInput!$D$7&amp;BasicInput!$D$8&amp;"_"&amp;CC455&amp;".xuf"</f>
        <v>C:\PWWORKING\east01\d2591108\Basic\__2019EX_PM_.xuf</v>
      </c>
    </row>
    <row r="456" spans="44:82" x14ac:dyDescent="0.2">
      <c r="AR456" s="18"/>
      <c r="AX456" s="18"/>
      <c r="CB456" s="31" t="str">
        <f t="shared" si="20"/>
        <v xml:space="preserve">  </v>
      </c>
      <c r="CC456" s="25" t="str">
        <f t="shared" si="21"/>
        <v/>
      </c>
      <c r="CD456" s="25" t="str">
        <f>BasicInput!$D$13&amp;$CD$2&amp;B456&amp;"_"&amp;C456&amp;D456&amp;"_"&amp;BasicInput!$D$7&amp;BasicInput!$D$8&amp;"_"&amp;CC456&amp;".xuf"</f>
        <v>C:\PWWORKING\east01\d2591108\Basic\__2019EX_PM_.xuf</v>
      </c>
    </row>
    <row r="457" spans="44:82" x14ac:dyDescent="0.2">
      <c r="AR457" s="18"/>
      <c r="AX457" s="18"/>
      <c r="CB457" s="31" t="str">
        <f t="shared" si="20"/>
        <v xml:space="preserve">  </v>
      </c>
      <c r="CC457" s="25" t="str">
        <f t="shared" si="21"/>
        <v/>
      </c>
      <c r="CD457" s="25" t="str">
        <f>BasicInput!$D$13&amp;$CD$2&amp;B457&amp;"_"&amp;C457&amp;D457&amp;"_"&amp;BasicInput!$D$7&amp;BasicInput!$D$8&amp;"_"&amp;CC457&amp;".xuf"</f>
        <v>C:\PWWORKING\east01\d2591108\Basic\__2019EX_PM_.xuf</v>
      </c>
    </row>
    <row r="458" spans="44:82" x14ac:dyDescent="0.2">
      <c r="AR458" s="18"/>
      <c r="AX458" s="18"/>
      <c r="CB458" s="31" t="str">
        <f t="shared" si="20"/>
        <v xml:space="preserve">  </v>
      </c>
      <c r="CC458" s="25" t="str">
        <f t="shared" si="21"/>
        <v/>
      </c>
      <c r="CD458" s="25" t="str">
        <f>BasicInput!$D$13&amp;$CD$2&amp;B458&amp;"_"&amp;C458&amp;D458&amp;"_"&amp;BasicInput!$D$7&amp;BasicInput!$D$8&amp;"_"&amp;CC458&amp;".xuf"</f>
        <v>C:\PWWORKING\east01\d2591108\Basic\__2019EX_PM_.xuf</v>
      </c>
    </row>
    <row r="459" spans="44:82" x14ac:dyDescent="0.2">
      <c r="AR459" s="18"/>
      <c r="AX459" s="18"/>
      <c r="CB459" s="31" t="str">
        <f t="shared" si="20"/>
        <v xml:space="preserve">  </v>
      </c>
      <c r="CC459" s="25" t="str">
        <f t="shared" si="21"/>
        <v/>
      </c>
      <c r="CD459" s="25" t="str">
        <f>BasicInput!$D$13&amp;$CD$2&amp;B459&amp;"_"&amp;C459&amp;D459&amp;"_"&amp;BasicInput!$D$7&amp;BasicInput!$D$8&amp;"_"&amp;CC459&amp;".xuf"</f>
        <v>C:\PWWORKING\east01\d2591108\Basic\__2019EX_PM_.xuf</v>
      </c>
    </row>
    <row r="460" spans="44:82" x14ac:dyDescent="0.2">
      <c r="AR460" s="18"/>
      <c r="AX460" s="18"/>
      <c r="CB460" s="31" t="str">
        <f t="shared" si="20"/>
        <v xml:space="preserve">  </v>
      </c>
      <c r="CC460" s="25" t="str">
        <f t="shared" si="21"/>
        <v/>
      </c>
      <c r="CD460" s="25" t="str">
        <f>BasicInput!$D$13&amp;$CD$2&amp;B460&amp;"_"&amp;C460&amp;D460&amp;"_"&amp;BasicInput!$D$7&amp;BasicInput!$D$8&amp;"_"&amp;CC460&amp;".xuf"</f>
        <v>C:\PWWORKING\east01\d2591108\Basic\__2019EX_PM_.xuf</v>
      </c>
    </row>
    <row r="461" spans="44:82" x14ac:dyDescent="0.2">
      <c r="AR461" s="18"/>
      <c r="AX461" s="18"/>
      <c r="CB461" s="31" t="str">
        <f t="shared" si="20"/>
        <v xml:space="preserve">  </v>
      </c>
      <c r="CC461" s="25" t="str">
        <f t="shared" si="21"/>
        <v/>
      </c>
      <c r="CD461" s="25" t="str">
        <f>BasicInput!$D$13&amp;$CD$2&amp;B461&amp;"_"&amp;C461&amp;D461&amp;"_"&amp;BasicInput!$D$7&amp;BasicInput!$D$8&amp;"_"&amp;CC461&amp;".xuf"</f>
        <v>C:\PWWORKING\east01\d2591108\Basic\__2019EX_PM_.xuf</v>
      </c>
    </row>
    <row r="462" spans="44:82" x14ac:dyDescent="0.2">
      <c r="AR462" s="18"/>
      <c r="AX462" s="18"/>
      <c r="CB462" s="31" t="str">
        <f t="shared" si="20"/>
        <v xml:space="preserve">  </v>
      </c>
      <c r="CC462" s="25" t="str">
        <f t="shared" si="21"/>
        <v/>
      </c>
      <c r="CD462" s="25" t="str">
        <f>BasicInput!$D$13&amp;$CD$2&amp;B462&amp;"_"&amp;C462&amp;D462&amp;"_"&amp;BasicInput!$D$7&amp;BasicInput!$D$8&amp;"_"&amp;CC462&amp;".xuf"</f>
        <v>C:\PWWORKING\east01\d2591108\Basic\__2019EX_PM_.xuf</v>
      </c>
    </row>
    <row r="463" spans="44:82" x14ac:dyDescent="0.2">
      <c r="AR463" s="18"/>
      <c r="AX463" s="18"/>
      <c r="CB463" s="31" t="str">
        <f t="shared" si="20"/>
        <v xml:space="preserve">  </v>
      </c>
      <c r="CC463" s="25" t="str">
        <f t="shared" si="21"/>
        <v/>
      </c>
      <c r="CD463" s="25" t="str">
        <f>BasicInput!$D$13&amp;$CD$2&amp;B463&amp;"_"&amp;C463&amp;D463&amp;"_"&amp;BasicInput!$D$7&amp;BasicInput!$D$8&amp;"_"&amp;CC463&amp;".xuf"</f>
        <v>C:\PWWORKING\east01\d2591108\Basic\__2019EX_PM_.xuf</v>
      </c>
    </row>
    <row r="464" spans="44:82" x14ac:dyDescent="0.2">
      <c r="AR464" s="18"/>
      <c r="AX464" s="18"/>
      <c r="CB464" s="31" t="str">
        <f t="shared" si="20"/>
        <v xml:space="preserve">  </v>
      </c>
      <c r="CC464" s="25" t="str">
        <f t="shared" si="21"/>
        <v/>
      </c>
      <c r="CD464" s="25" t="str">
        <f>BasicInput!$D$13&amp;$CD$2&amp;B464&amp;"_"&amp;C464&amp;D464&amp;"_"&amp;BasicInput!$D$7&amp;BasicInput!$D$8&amp;"_"&amp;CC464&amp;".xuf"</f>
        <v>C:\PWWORKING\east01\d2591108\Basic\__2019EX_PM_.xuf</v>
      </c>
    </row>
    <row r="465" spans="44:82" x14ac:dyDescent="0.2">
      <c r="AR465" s="18"/>
      <c r="AX465" s="18"/>
      <c r="CB465" s="31" t="str">
        <f t="shared" ref="CB465:CB528" si="22">C465&amp; " "&amp;D465&amp;" " &amp;E465</f>
        <v xml:space="preserve">  </v>
      </c>
      <c r="CC465" s="25" t="str">
        <f t="shared" ref="CC465:CC528" si="23">SUBSTITUTE(E465, "/", "_")</f>
        <v/>
      </c>
      <c r="CD465" s="25" t="str">
        <f>BasicInput!$D$13&amp;$CD$2&amp;B465&amp;"_"&amp;C465&amp;D465&amp;"_"&amp;BasicInput!$D$7&amp;BasicInput!$D$8&amp;"_"&amp;CC465&amp;".xuf"</f>
        <v>C:\PWWORKING\east01\d2591108\Basic\__2019EX_PM_.xuf</v>
      </c>
    </row>
    <row r="466" spans="44:82" x14ac:dyDescent="0.2">
      <c r="AR466" s="18"/>
      <c r="AX466" s="18"/>
      <c r="CB466" s="31" t="str">
        <f t="shared" si="22"/>
        <v xml:space="preserve">  </v>
      </c>
      <c r="CC466" s="25" t="str">
        <f t="shared" si="23"/>
        <v/>
      </c>
      <c r="CD466" s="25" t="str">
        <f>BasicInput!$D$13&amp;$CD$2&amp;B466&amp;"_"&amp;C466&amp;D466&amp;"_"&amp;BasicInput!$D$7&amp;BasicInput!$D$8&amp;"_"&amp;CC466&amp;".xuf"</f>
        <v>C:\PWWORKING\east01\d2591108\Basic\__2019EX_PM_.xuf</v>
      </c>
    </row>
    <row r="467" spans="44:82" x14ac:dyDescent="0.2">
      <c r="AR467" s="18"/>
      <c r="AX467" s="18"/>
      <c r="CB467" s="31" t="str">
        <f t="shared" si="22"/>
        <v xml:space="preserve">  </v>
      </c>
      <c r="CC467" s="25" t="str">
        <f t="shared" si="23"/>
        <v/>
      </c>
      <c r="CD467" s="25" t="str">
        <f>BasicInput!$D$13&amp;$CD$2&amp;B467&amp;"_"&amp;C467&amp;D467&amp;"_"&amp;BasicInput!$D$7&amp;BasicInput!$D$8&amp;"_"&amp;CC467&amp;".xuf"</f>
        <v>C:\PWWORKING\east01\d2591108\Basic\__2019EX_PM_.xuf</v>
      </c>
    </row>
    <row r="468" spans="44:82" x14ac:dyDescent="0.2">
      <c r="AR468" s="18"/>
      <c r="AX468" s="18"/>
      <c r="CB468" s="31" t="str">
        <f t="shared" si="22"/>
        <v xml:space="preserve">  </v>
      </c>
      <c r="CC468" s="25" t="str">
        <f t="shared" si="23"/>
        <v/>
      </c>
      <c r="CD468" s="25" t="str">
        <f>BasicInput!$D$13&amp;$CD$2&amp;B468&amp;"_"&amp;C468&amp;D468&amp;"_"&amp;BasicInput!$D$7&amp;BasicInput!$D$8&amp;"_"&amp;CC468&amp;".xuf"</f>
        <v>C:\PWWORKING\east01\d2591108\Basic\__2019EX_PM_.xuf</v>
      </c>
    </row>
    <row r="469" spans="44:82" x14ac:dyDescent="0.2">
      <c r="AR469" s="18"/>
      <c r="AX469" s="18"/>
      <c r="CB469" s="31" t="str">
        <f t="shared" si="22"/>
        <v xml:space="preserve">  </v>
      </c>
      <c r="CC469" s="25" t="str">
        <f t="shared" si="23"/>
        <v/>
      </c>
      <c r="CD469" s="25" t="str">
        <f>BasicInput!$D$13&amp;$CD$2&amp;B469&amp;"_"&amp;C469&amp;D469&amp;"_"&amp;BasicInput!$D$7&amp;BasicInput!$D$8&amp;"_"&amp;CC469&amp;".xuf"</f>
        <v>C:\PWWORKING\east01\d2591108\Basic\__2019EX_PM_.xuf</v>
      </c>
    </row>
    <row r="470" spans="44:82" x14ac:dyDescent="0.2">
      <c r="AR470" s="18"/>
      <c r="AX470" s="18"/>
      <c r="CB470" s="31" t="str">
        <f t="shared" si="22"/>
        <v xml:space="preserve">  </v>
      </c>
      <c r="CC470" s="25" t="str">
        <f t="shared" si="23"/>
        <v/>
      </c>
      <c r="CD470" s="25" t="str">
        <f>BasicInput!$D$13&amp;$CD$2&amp;B470&amp;"_"&amp;C470&amp;D470&amp;"_"&amp;BasicInput!$D$7&amp;BasicInput!$D$8&amp;"_"&amp;CC470&amp;".xuf"</f>
        <v>C:\PWWORKING\east01\d2591108\Basic\__2019EX_PM_.xuf</v>
      </c>
    </row>
    <row r="471" spans="44:82" x14ac:dyDescent="0.2">
      <c r="AR471" s="18"/>
      <c r="AX471" s="18"/>
      <c r="CB471" s="31" t="str">
        <f t="shared" si="22"/>
        <v xml:space="preserve">  </v>
      </c>
      <c r="CC471" s="25" t="str">
        <f t="shared" si="23"/>
        <v/>
      </c>
      <c r="CD471" s="25" t="str">
        <f>BasicInput!$D$13&amp;$CD$2&amp;B471&amp;"_"&amp;C471&amp;D471&amp;"_"&amp;BasicInput!$D$7&amp;BasicInput!$D$8&amp;"_"&amp;CC471&amp;".xuf"</f>
        <v>C:\PWWORKING\east01\d2591108\Basic\__2019EX_PM_.xuf</v>
      </c>
    </row>
    <row r="472" spans="44:82" x14ac:dyDescent="0.2">
      <c r="AR472" s="18"/>
      <c r="AX472" s="18"/>
      <c r="CB472" s="31" t="str">
        <f t="shared" si="22"/>
        <v xml:space="preserve">  </v>
      </c>
      <c r="CC472" s="25" t="str">
        <f t="shared" si="23"/>
        <v/>
      </c>
      <c r="CD472" s="25" t="str">
        <f>BasicInput!$D$13&amp;$CD$2&amp;B472&amp;"_"&amp;C472&amp;D472&amp;"_"&amp;BasicInput!$D$7&amp;BasicInput!$D$8&amp;"_"&amp;CC472&amp;".xuf"</f>
        <v>C:\PWWORKING\east01\d2591108\Basic\__2019EX_PM_.xuf</v>
      </c>
    </row>
    <row r="473" spans="44:82" x14ac:dyDescent="0.2">
      <c r="AR473" s="18"/>
      <c r="AX473" s="18"/>
      <c r="CB473" s="31" t="str">
        <f t="shared" si="22"/>
        <v xml:space="preserve">  </v>
      </c>
      <c r="CC473" s="25" t="str">
        <f t="shared" si="23"/>
        <v/>
      </c>
      <c r="CD473" s="25" t="str">
        <f>BasicInput!$D$13&amp;$CD$2&amp;B473&amp;"_"&amp;C473&amp;D473&amp;"_"&amp;BasicInput!$D$7&amp;BasicInput!$D$8&amp;"_"&amp;CC473&amp;".xuf"</f>
        <v>C:\PWWORKING\east01\d2591108\Basic\__2019EX_PM_.xuf</v>
      </c>
    </row>
    <row r="474" spans="44:82" x14ac:dyDescent="0.2">
      <c r="AR474" s="18"/>
      <c r="AX474" s="18"/>
      <c r="CB474" s="31" t="str">
        <f t="shared" si="22"/>
        <v xml:space="preserve">  </v>
      </c>
      <c r="CC474" s="25" t="str">
        <f t="shared" si="23"/>
        <v/>
      </c>
      <c r="CD474" s="25" t="str">
        <f>BasicInput!$D$13&amp;$CD$2&amp;B474&amp;"_"&amp;C474&amp;D474&amp;"_"&amp;BasicInput!$D$7&amp;BasicInput!$D$8&amp;"_"&amp;CC474&amp;".xuf"</f>
        <v>C:\PWWORKING\east01\d2591108\Basic\__2019EX_PM_.xuf</v>
      </c>
    </row>
    <row r="475" spans="44:82" x14ac:dyDescent="0.2">
      <c r="AR475" s="18"/>
      <c r="AX475" s="18"/>
      <c r="CB475" s="31" t="str">
        <f t="shared" si="22"/>
        <v xml:space="preserve">  </v>
      </c>
      <c r="CC475" s="25" t="str">
        <f t="shared" si="23"/>
        <v/>
      </c>
      <c r="CD475" s="25" t="str">
        <f>BasicInput!$D$13&amp;$CD$2&amp;B475&amp;"_"&amp;C475&amp;D475&amp;"_"&amp;BasicInput!$D$7&amp;BasicInput!$D$8&amp;"_"&amp;CC475&amp;".xuf"</f>
        <v>C:\PWWORKING\east01\d2591108\Basic\__2019EX_PM_.xuf</v>
      </c>
    </row>
    <row r="476" spans="44:82" x14ac:dyDescent="0.2">
      <c r="AR476" s="18"/>
      <c r="AX476" s="18"/>
      <c r="CB476" s="31" t="str">
        <f t="shared" si="22"/>
        <v xml:space="preserve">  </v>
      </c>
      <c r="CC476" s="25" t="str">
        <f t="shared" si="23"/>
        <v/>
      </c>
      <c r="CD476" s="25" t="str">
        <f>BasicInput!$D$13&amp;$CD$2&amp;B476&amp;"_"&amp;C476&amp;D476&amp;"_"&amp;BasicInput!$D$7&amp;BasicInput!$D$8&amp;"_"&amp;CC476&amp;".xuf"</f>
        <v>C:\PWWORKING\east01\d2591108\Basic\__2019EX_PM_.xuf</v>
      </c>
    </row>
    <row r="477" spans="44:82" x14ac:dyDescent="0.2">
      <c r="AR477" s="18"/>
      <c r="AX477" s="18"/>
      <c r="CB477" s="31" t="str">
        <f t="shared" si="22"/>
        <v xml:space="preserve">  </v>
      </c>
      <c r="CC477" s="25" t="str">
        <f t="shared" si="23"/>
        <v/>
      </c>
      <c r="CD477" s="25" t="str">
        <f>BasicInput!$D$13&amp;$CD$2&amp;B477&amp;"_"&amp;C477&amp;D477&amp;"_"&amp;BasicInput!$D$7&amp;BasicInput!$D$8&amp;"_"&amp;CC477&amp;".xuf"</f>
        <v>C:\PWWORKING\east01\d2591108\Basic\__2019EX_PM_.xuf</v>
      </c>
    </row>
    <row r="478" spans="44:82" x14ac:dyDescent="0.2">
      <c r="AR478" s="18"/>
      <c r="AX478" s="18"/>
      <c r="CB478" s="31" t="str">
        <f t="shared" si="22"/>
        <v xml:space="preserve">  </v>
      </c>
      <c r="CC478" s="25" t="str">
        <f t="shared" si="23"/>
        <v/>
      </c>
      <c r="CD478" s="25" t="str">
        <f>BasicInput!$D$13&amp;$CD$2&amp;B478&amp;"_"&amp;C478&amp;D478&amp;"_"&amp;BasicInput!$D$7&amp;BasicInput!$D$8&amp;"_"&amp;CC478&amp;".xuf"</f>
        <v>C:\PWWORKING\east01\d2591108\Basic\__2019EX_PM_.xuf</v>
      </c>
    </row>
    <row r="479" spans="44:82" x14ac:dyDescent="0.2">
      <c r="AR479" s="18"/>
      <c r="AX479" s="18"/>
      <c r="CB479" s="31" t="str">
        <f t="shared" si="22"/>
        <v xml:space="preserve">  </v>
      </c>
      <c r="CC479" s="25" t="str">
        <f t="shared" si="23"/>
        <v/>
      </c>
      <c r="CD479" s="25" t="str">
        <f>BasicInput!$D$13&amp;$CD$2&amp;B479&amp;"_"&amp;C479&amp;D479&amp;"_"&amp;BasicInput!$D$7&amp;BasicInput!$D$8&amp;"_"&amp;CC479&amp;".xuf"</f>
        <v>C:\PWWORKING\east01\d2591108\Basic\__2019EX_PM_.xuf</v>
      </c>
    </row>
    <row r="480" spans="44:82" x14ac:dyDescent="0.2">
      <c r="AR480" s="18"/>
      <c r="AX480" s="18"/>
      <c r="CB480" s="31" t="str">
        <f t="shared" si="22"/>
        <v xml:space="preserve">  </v>
      </c>
      <c r="CC480" s="25" t="str">
        <f t="shared" si="23"/>
        <v/>
      </c>
      <c r="CD480" s="25" t="str">
        <f>BasicInput!$D$13&amp;$CD$2&amp;B480&amp;"_"&amp;C480&amp;D480&amp;"_"&amp;BasicInput!$D$7&amp;BasicInput!$D$8&amp;"_"&amp;CC480&amp;".xuf"</f>
        <v>C:\PWWORKING\east01\d2591108\Basic\__2019EX_PM_.xuf</v>
      </c>
    </row>
    <row r="481" spans="44:82" x14ac:dyDescent="0.2">
      <c r="AR481" s="18"/>
      <c r="AX481" s="18"/>
      <c r="CB481" s="31" t="str">
        <f t="shared" si="22"/>
        <v xml:space="preserve">  </v>
      </c>
      <c r="CC481" s="25" t="str">
        <f t="shared" si="23"/>
        <v/>
      </c>
      <c r="CD481" s="25" t="str">
        <f>BasicInput!$D$13&amp;$CD$2&amp;B481&amp;"_"&amp;C481&amp;D481&amp;"_"&amp;BasicInput!$D$7&amp;BasicInput!$D$8&amp;"_"&amp;CC481&amp;".xuf"</f>
        <v>C:\PWWORKING\east01\d2591108\Basic\__2019EX_PM_.xuf</v>
      </c>
    </row>
    <row r="482" spans="44:82" x14ac:dyDescent="0.2">
      <c r="AR482" s="18"/>
      <c r="AX482" s="18"/>
      <c r="CB482" s="31" t="str">
        <f t="shared" si="22"/>
        <v xml:space="preserve">  </v>
      </c>
      <c r="CC482" s="25" t="str">
        <f t="shared" si="23"/>
        <v/>
      </c>
      <c r="CD482" s="25" t="str">
        <f>BasicInput!$D$13&amp;$CD$2&amp;B482&amp;"_"&amp;C482&amp;D482&amp;"_"&amp;BasicInput!$D$7&amp;BasicInput!$D$8&amp;"_"&amp;CC482&amp;".xuf"</f>
        <v>C:\PWWORKING\east01\d2591108\Basic\__2019EX_PM_.xuf</v>
      </c>
    </row>
    <row r="483" spans="44:82" x14ac:dyDescent="0.2">
      <c r="AR483" s="18"/>
      <c r="AX483" s="18"/>
      <c r="CB483" s="31" t="str">
        <f t="shared" si="22"/>
        <v xml:space="preserve">  </v>
      </c>
      <c r="CC483" s="25" t="str">
        <f t="shared" si="23"/>
        <v/>
      </c>
      <c r="CD483" s="25" t="str">
        <f>BasicInput!$D$13&amp;$CD$2&amp;B483&amp;"_"&amp;C483&amp;D483&amp;"_"&amp;BasicInput!$D$7&amp;BasicInput!$D$8&amp;"_"&amp;CC483&amp;".xuf"</f>
        <v>C:\PWWORKING\east01\d2591108\Basic\__2019EX_PM_.xuf</v>
      </c>
    </row>
    <row r="484" spans="44:82" x14ac:dyDescent="0.2">
      <c r="AR484" s="18"/>
      <c r="AX484" s="18"/>
      <c r="CB484" s="31" t="str">
        <f t="shared" si="22"/>
        <v xml:space="preserve">  </v>
      </c>
      <c r="CC484" s="25" t="str">
        <f t="shared" si="23"/>
        <v/>
      </c>
      <c r="CD484" s="25" t="str">
        <f>BasicInput!$D$13&amp;$CD$2&amp;B484&amp;"_"&amp;C484&amp;D484&amp;"_"&amp;BasicInput!$D$7&amp;BasicInput!$D$8&amp;"_"&amp;CC484&amp;".xuf"</f>
        <v>C:\PWWORKING\east01\d2591108\Basic\__2019EX_PM_.xuf</v>
      </c>
    </row>
    <row r="485" spans="44:82" x14ac:dyDescent="0.2">
      <c r="AR485" s="18"/>
      <c r="AX485" s="18"/>
      <c r="CB485" s="31" t="str">
        <f t="shared" si="22"/>
        <v xml:space="preserve">  </v>
      </c>
      <c r="CC485" s="25" t="str">
        <f t="shared" si="23"/>
        <v/>
      </c>
      <c r="CD485" s="25" t="str">
        <f>BasicInput!$D$13&amp;$CD$2&amp;B485&amp;"_"&amp;C485&amp;D485&amp;"_"&amp;BasicInput!$D$7&amp;BasicInput!$D$8&amp;"_"&amp;CC485&amp;".xuf"</f>
        <v>C:\PWWORKING\east01\d2591108\Basic\__2019EX_PM_.xuf</v>
      </c>
    </row>
    <row r="486" spans="44:82" x14ac:dyDescent="0.2">
      <c r="AR486" s="18"/>
      <c r="AX486" s="18"/>
      <c r="CB486" s="31" t="str">
        <f t="shared" si="22"/>
        <v xml:space="preserve">  </v>
      </c>
      <c r="CC486" s="25" t="str">
        <f t="shared" si="23"/>
        <v/>
      </c>
      <c r="CD486" s="25" t="str">
        <f>BasicInput!$D$13&amp;$CD$2&amp;B486&amp;"_"&amp;C486&amp;D486&amp;"_"&amp;BasicInput!$D$7&amp;BasicInput!$D$8&amp;"_"&amp;CC486&amp;".xuf"</f>
        <v>C:\PWWORKING\east01\d2591108\Basic\__2019EX_PM_.xuf</v>
      </c>
    </row>
    <row r="487" spans="44:82" x14ac:dyDescent="0.2">
      <c r="AR487" s="18"/>
      <c r="AX487" s="18"/>
      <c r="CB487" s="31" t="str">
        <f t="shared" si="22"/>
        <v xml:space="preserve">  </v>
      </c>
      <c r="CC487" s="25" t="str">
        <f t="shared" si="23"/>
        <v/>
      </c>
      <c r="CD487" s="25" t="str">
        <f>BasicInput!$D$13&amp;$CD$2&amp;B487&amp;"_"&amp;C487&amp;D487&amp;"_"&amp;BasicInput!$D$7&amp;BasicInput!$D$8&amp;"_"&amp;CC487&amp;".xuf"</f>
        <v>C:\PWWORKING\east01\d2591108\Basic\__2019EX_PM_.xuf</v>
      </c>
    </row>
    <row r="488" spans="44:82" x14ac:dyDescent="0.2">
      <c r="AR488" s="18"/>
      <c r="AX488" s="18"/>
      <c r="CB488" s="31" t="str">
        <f t="shared" si="22"/>
        <v xml:space="preserve">  </v>
      </c>
      <c r="CC488" s="25" t="str">
        <f t="shared" si="23"/>
        <v/>
      </c>
      <c r="CD488" s="25" t="str">
        <f>BasicInput!$D$13&amp;$CD$2&amp;B488&amp;"_"&amp;C488&amp;D488&amp;"_"&amp;BasicInput!$D$7&amp;BasicInput!$D$8&amp;"_"&amp;CC488&amp;".xuf"</f>
        <v>C:\PWWORKING\east01\d2591108\Basic\__2019EX_PM_.xuf</v>
      </c>
    </row>
    <row r="489" spans="44:82" x14ac:dyDescent="0.2">
      <c r="AR489" s="18"/>
      <c r="AX489" s="18"/>
      <c r="CB489" s="31" t="str">
        <f t="shared" si="22"/>
        <v xml:space="preserve">  </v>
      </c>
      <c r="CC489" s="25" t="str">
        <f t="shared" si="23"/>
        <v/>
      </c>
      <c r="CD489" s="25" t="str">
        <f>BasicInput!$D$13&amp;$CD$2&amp;B489&amp;"_"&amp;C489&amp;D489&amp;"_"&amp;BasicInput!$D$7&amp;BasicInput!$D$8&amp;"_"&amp;CC489&amp;".xuf"</f>
        <v>C:\PWWORKING\east01\d2591108\Basic\__2019EX_PM_.xuf</v>
      </c>
    </row>
    <row r="490" spans="44:82" x14ac:dyDescent="0.2">
      <c r="AR490" s="18"/>
      <c r="AX490" s="18"/>
      <c r="CB490" s="31" t="str">
        <f t="shared" si="22"/>
        <v xml:space="preserve">  </v>
      </c>
      <c r="CC490" s="25" t="str">
        <f t="shared" si="23"/>
        <v/>
      </c>
      <c r="CD490" s="25" t="str">
        <f>BasicInput!$D$13&amp;$CD$2&amp;B490&amp;"_"&amp;C490&amp;D490&amp;"_"&amp;BasicInput!$D$7&amp;BasicInput!$D$8&amp;"_"&amp;CC490&amp;".xuf"</f>
        <v>C:\PWWORKING\east01\d2591108\Basic\__2019EX_PM_.xuf</v>
      </c>
    </row>
    <row r="491" spans="44:82" x14ac:dyDescent="0.2">
      <c r="AR491" s="18"/>
      <c r="AX491" s="18"/>
      <c r="CB491" s="31" t="str">
        <f t="shared" si="22"/>
        <v xml:space="preserve">  </v>
      </c>
      <c r="CC491" s="25" t="str">
        <f t="shared" si="23"/>
        <v/>
      </c>
      <c r="CD491" s="25" t="str">
        <f>BasicInput!$D$13&amp;$CD$2&amp;B491&amp;"_"&amp;C491&amp;D491&amp;"_"&amp;BasicInput!$D$7&amp;BasicInput!$D$8&amp;"_"&amp;CC491&amp;".xuf"</f>
        <v>C:\PWWORKING\east01\d2591108\Basic\__2019EX_PM_.xuf</v>
      </c>
    </row>
    <row r="492" spans="44:82" x14ac:dyDescent="0.2">
      <c r="AR492" s="18"/>
      <c r="AX492" s="18"/>
      <c r="CB492" s="31" t="str">
        <f t="shared" si="22"/>
        <v xml:space="preserve">  </v>
      </c>
      <c r="CC492" s="25" t="str">
        <f t="shared" si="23"/>
        <v/>
      </c>
      <c r="CD492" s="25" t="str">
        <f>BasicInput!$D$13&amp;$CD$2&amp;B492&amp;"_"&amp;C492&amp;D492&amp;"_"&amp;BasicInput!$D$7&amp;BasicInput!$D$8&amp;"_"&amp;CC492&amp;".xuf"</f>
        <v>C:\PWWORKING\east01\d2591108\Basic\__2019EX_PM_.xuf</v>
      </c>
    </row>
    <row r="493" spans="44:82" x14ac:dyDescent="0.2">
      <c r="AR493" s="18"/>
      <c r="AX493" s="18"/>
      <c r="CB493" s="31" t="str">
        <f t="shared" si="22"/>
        <v xml:space="preserve">  </v>
      </c>
      <c r="CC493" s="25" t="str">
        <f t="shared" si="23"/>
        <v/>
      </c>
      <c r="CD493" s="25" t="str">
        <f>BasicInput!$D$13&amp;$CD$2&amp;B493&amp;"_"&amp;C493&amp;D493&amp;"_"&amp;BasicInput!$D$7&amp;BasicInput!$D$8&amp;"_"&amp;CC493&amp;".xuf"</f>
        <v>C:\PWWORKING\east01\d2591108\Basic\__2019EX_PM_.xuf</v>
      </c>
    </row>
    <row r="494" spans="44:82" x14ac:dyDescent="0.2">
      <c r="AR494" s="18"/>
      <c r="AX494" s="18"/>
      <c r="CB494" s="31" t="str">
        <f t="shared" si="22"/>
        <v xml:space="preserve">  </v>
      </c>
      <c r="CC494" s="25" t="str">
        <f t="shared" si="23"/>
        <v/>
      </c>
      <c r="CD494" s="25" t="str">
        <f>BasicInput!$D$13&amp;$CD$2&amp;B494&amp;"_"&amp;C494&amp;D494&amp;"_"&amp;BasicInput!$D$7&amp;BasicInput!$D$8&amp;"_"&amp;CC494&amp;".xuf"</f>
        <v>C:\PWWORKING\east01\d2591108\Basic\__2019EX_PM_.xuf</v>
      </c>
    </row>
    <row r="495" spans="44:82" x14ac:dyDescent="0.2">
      <c r="AR495" s="18"/>
      <c r="AX495" s="18"/>
      <c r="CB495" s="31" t="str">
        <f t="shared" si="22"/>
        <v xml:space="preserve">  </v>
      </c>
      <c r="CC495" s="25" t="str">
        <f t="shared" si="23"/>
        <v/>
      </c>
      <c r="CD495" s="25" t="str">
        <f>BasicInput!$D$13&amp;$CD$2&amp;B495&amp;"_"&amp;C495&amp;D495&amp;"_"&amp;BasicInput!$D$7&amp;BasicInput!$D$8&amp;"_"&amp;CC495&amp;".xuf"</f>
        <v>C:\PWWORKING\east01\d2591108\Basic\__2019EX_PM_.xuf</v>
      </c>
    </row>
    <row r="496" spans="44:82" x14ac:dyDescent="0.2">
      <c r="AR496" s="18"/>
      <c r="AX496" s="18"/>
      <c r="CB496" s="31" t="str">
        <f t="shared" si="22"/>
        <v xml:space="preserve">  </v>
      </c>
      <c r="CC496" s="25" t="str">
        <f t="shared" si="23"/>
        <v/>
      </c>
      <c r="CD496" s="25" t="str">
        <f>BasicInput!$D$13&amp;$CD$2&amp;B496&amp;"_"&amp;C496&amp;D496&amp;"_"&amp;BasicInput!$D$7&amp;BasicInput!$D$8&amp;"_"&amp;CC496&amp;".xuf"</f>
        <v>C:\PWWORKING\east01\d2591108\Basic\__2019EX_PM_.xuf</v>
      </c>
    </row>
    <row r="497" spans="44:82" x14ac:dyDescent="0.2">
      <c r="AR497" s="18"/>
      <c r="AX497" s="18"/>
      <c r="CB497" s="31" t="str">
        <f t="shared" si="22"/>
        <v xml:space="preserve">  </v>
      </c>
      <c r="CC497" s="25" t="str">
        <f t="shared" si="23"/>
        <v/>
      </c>
      <c r="CD497" s="25" t="str">
        <f>BasicInput!$D$13&amp;$CD$2&amp;B497&amp;"_"&amp;C497&amp;D497&amp;"_"&amp;BasicInput!$D$7&amp;BasicInput!$D$8&amp;"_"&amp;CC497&amp;".xuf"</f>
        <v>C:\PWWORKING\east01\d2591108\Basic\__2019EX_PM_.xuf</v>
      </c>
    </row>
    <row r="498" spans="44:82" x14ac:dyDescent="0.2">
      <c r="AR498" s="18"/>
      <c r="AX498" s="18"/>
      <c r="CB498" s="31" t="str">
        <f t="shared" si="22"/>
        <v xml:space="preserve">  </v>
      </c>
      <c r="CC498" s="25" t="str">
        <f t="shared" si="23"/>
        <v/>
      </c>
      <c r="CD498" s="25" t="str">
        <f>BasicInput!$D$13&amp;$CD$2&amp;B498&amp;"_"&amp;C498&amp;D498&amp;"_"&amp;BasicInput!$D$7&amp;BasicInput!$D$8&amp;"_"&amp;CC498&amp;".xuf"</f>
        <v>C:\PWWORKING\east01\d2591108\Basic\__2019EX_PM_.xuf</v>
      </c>
    </row>
    <row r="499" spans="44:82" x14ac:dyDescent="0.2">
      <c r="AR499" s="18"/>
      <c r="AX499" s="18"/>
      <c r="CB499" s="31" t="str">
        <f t="shared" si="22"/>
        <v xml:space="preserve">  </v>
      </c>
      <c r="CC499" s="25" t="str">
        <f t="shared" si="23"/>
        <v/>
      </c>
      <c r="CD499" s="25" t="str">
        <f>BasicInput!$D$13&amp;$CD$2&amp;B499&amp;"_"&amp;C499&amp;D499&amp;"_"&amp;BasicInput!$D$7&amp;BasicInput!$D$8&amp;"_"&amp;CC499&amp;".xuf"</f>
        <v>C:\PWWORKING\east01\d2591108\Basic\__2019EX_PM_.xuf</v>
      </c>
    </row>
    <row r="500" spans="44:82" x14ac:dyDescent="0.2">
      <c r="AR500" s="18"/>
      <c r="AX500" s="18"/>
      <c r="CB500" s="31" t="str">
        <f t="shared" si="22"/>
        <v xml:space="preserve">  </v>
      </c>
      <c r="CC500" s="25" t="str">
        <f t="shared" si="23"/>
        <v/>
      </c>
      <c r="CD500" s="25" t="str">
        <f>BasicInput!$D$13&amp;$CD$2&amp;B500&amp;"_"&amp;C500&amp;D500&amp;"_"&amp;BasicInput!$D$7&amp;BasicInput!$D$8&amp;"_"&amp;CC500&amp;".xuf"</f>
        <v>C:\PWWORKING\east01\d2591108\Basic\__2019EX_PM_.xuf</v>
      </c>
    </row>
    <row r="501" spans="44:82" x14ac:dyDescent="0.2">
      <c r="AR501" s="18"/>
      <c r="AX501" s="18"/>
      <c r="CB501" s="31" t="str">
        <f t="shared" si="22"/>
        <v xml:space="preserve">  </v>
      </c>
      <c r="CC501" s="25" t="str">
        <f t="shared" si="23"/>
        <v/>
      </c>
      <c r="CD501" s="25" t="str">
        <f>BasicInput!$D$13&amp;$CD$2&amp;B501&amp;"_"&amp;C501&amp;D501&amp;"_"&amp;BasicInput!$D$7&amp;BasicInput!$D$8&amp;"_"&amp;CC501&amp;".xuf"</f>
        <v>C:\PWWORKING\east01\d2591108\Basic\__2019EX_PM_.xuf</v>
      </c>
    </row>
    <row r="502" spans="44:82" x14ac:dyDescent="0.2">
      <c r="AR502" s="18"/>
      <c r="AX502" s="18"/>
      <c r="CB502" s="31" t="str">
        <f t="shared" si="22"/>
        <v xml:space="preserve">  </v>
      </c>
      <c r="CC502" s="25" t="str">
        <f t="shared" si="23"/>
        <v/>
      </c>
      <c r="CD502" s="25" t="str">
        <f>BasicInput!$D$13&amp;$CD$2&amp;B502&amp;"_"&amp;C502&amp;D502&amp;"_"&amp;BasicInput!$D$7&amp;BasicInput!$D$8&amp;"_"&amp;CC502&amp;".xuf"</f>
        <v>C:\PWWORKING\east01\d2591108\Basic\__2019EX_PM_.xuf</v>
      </c>
    </row>
    <row r="503" spans="44:82" x14ac:dyDescent="0.2">
      <c r="AR503" s="18"/>
      <c r="AX503" s="18"/>
      <c r="CB503" s="31" t="str">
        <f t="shared" si="22"/>
        <v xml:space="preserve">  </v>
      </c>
      <c r="CC503" s="25" t="str">
        <f t="shared" si="23"/>
        <v/>
      </c>
      <c r="CD503" s="25" t="str">
        <f>BasicInput!$D$13&amp;$CD$2&amp;B503&amp;"_"&amp;C503&amp;D503&amp;"_"&amp;BasicInput!$D$7&amp;BasicInput!$D$8&amp;"_"&amp;CC503&amp;".xuf"</f>
        <v>C:\PWWORKING\east01\d2591108\Basic\__2019EX_PM_.xuf</v>
      </c>
    </row>
    <row r="504" spans="44:82" x14ac:dyDescent="0.2">
      <c r="AR504" s="18"/>
      <c r="AX504" s="18"/>
      <c r="CB504" s="31" t="str">
        <f t="shared" si="22"/>
        <v xml:space="preserve">  </v>
      </c>
      <c r="CC504" s="25" t="str">
        <f t="shared" si="23"/>
        <v/>
      </c>
      <c r="CD504" s="25" t="str">
        <f>BasicInput!$D$13&amp;$CD$2&amp;B504&amp;"_"&amp;C504&amp;D504&amp;"_"&amp;BasicInput!$D$7&amp;BasicInput!$D$8&amp;"_"&amp;CC504&amp;".xuf"</f>
        <v>C:\PWWORKING\east01\d2591108\Basic\__2019EX_PM_.xuf</v>
      </c>
    </row>
    <row r="505" spans="44:82" x14ac:dyDescent="0.2">
      <c r="AR505" s="18"/>
      <c r="AX505" s="18"/>
      <c r="CB505" s="31" t="str">
        <f t="shared" si="22"/>
        <v xml:space="preserve">  </v>
      </c>
      <c r="CC505" s="25" t="str">
        <f t="shared" si="23"/>
        <v/>
      </c>
      <c r="CD505" s="25" t="str">
        <f>BasicInput!$D$13&amp;$CD$2&amp;B505&amp;"_"&amp;C505&amp;D505&amp;"_"&amp;BasicInput!$D$7&amp;BasicInput!$D$8&amp;"_"&amp;CC505&amp;".xuf"</f>
        <v>C:\PWWORKING\east01\d2591108\Basic\__2019EX_PM_.xuf</v>
      </c>
    </row>
    <row r="506" spans="44:82" x14ac:dyDescent="0.2">
      <c r="AR506" s="18"/>
      <c r="AX506" s="18"/>
      <c r="CB506" s="31" t="str">
        <f t="shared" si="22"/>
        <v xml:space="preserve">  </v>
      </c>
      <c r="CC506" s="25" t="str">
        <f t="shared" si="23"/>
        <v/>
      </c>
      <c r="CD506" s="25" t="str">
        <f>BasicInput!$D$13&amp;$CD$2&amp;B506&amp;"_"&amp;C506&amp;D506&amp;"_"&amp;BasicInput!$D$7&amp;BasicInput!$D$8&amp;"_"&amp;CC506&amp;".xuf"</f>
        <v>C:\PWWORKING\east01\d2591108\Basic\__2019EX_PM_.xuf</v>
      </c>
    </row>
    <row r="507" spans="44:82" x14ac:dyDescent="0.2">
      <c r="AR507" s="18"/>
      <c r="AX507" s="18"/>
      <c r="CB507" s="31" t="str">
        <f t="shared" si="22"/>
        <v xml:space="preserve">  </v>
      </c>
      <c r="CC507" s="25" t="str">
        <f t="shared" si="23"/>
        <v/>
      </c>
      <c r="CD507" s="25" t="str">
        <f>BasicInput!$D$13&amp;$CD$2&amp;B507&amp;"_"&amp;C507&amp;D507&amp;"_"&amp;BasicInput!$D$7&amp;BasicInput!$D$8&amp;"_"&amp;CC507&amp;".xuf"</f>
        <v>C:\PWWORKING\east01\d2591108\Basic\__2019EX_PM_.xuf</v>
      </c>
    </row>
    <row r="508" spans="44:82" x14ac:dyDescent="0.2">
      <c r="AR508" s="18"/>
      <c r="AX508" s="18"/>
      <c r="CB508" s="31" t="str">
        <f t="shared" si="22"/>
        <v xml:space="preserve">  </v>
      </c>
      <c r="CC508" s="25" t="str">
        <f t="shared" si="23"/>
        <v/>
      </c>
      <c r="CD508" s="25" t="str">
        <f>BasicInput!$D$13&amp;$CD$2&amp;B508&amp;"_"&amp;C508&amp;D508&amp;"_"&amp;BasicInput!$D$7&amp;BasicInput!$D$8&amp;"_"&amp;CC508&amp;".xuf"</f>
        <v>C:\PWWORKING\east01\d2591108\Basic\__2019EX_PM_.xuf</v>
      </c>
    </row>
    <row r="509" spans="44:82" x14ac:dyDescent="0.2">
      <c r="AR509" s="18"/>
      <c r="AX509" s="18"/>
      <c r="CB509" s="31" t="str">
        <f t="shared" si="22"/>
        <v xml:space="preserve">  </v>
      </c>
      <c r="CC509" s="25" t="str">
        <f t="shared" si="23"/>
        <v/>
      </c>
      <c r="CD509" s="25" t="str">
        <f>BasicInput!$D$13&amp;$CD$2&amp;B509&amp;"_"&amp;C509&amp;D509&amp;"_"&amp;BasicInput!$D$7&amp;BasicInput!$D$8&amp;"_"&amp;CC509&amp;".xuf"</f>
        <v>C:\PWWORKING\east01\d2591108\Basic\__2019EX_PM_.xuf</v>
      </c>
    </row>
    <row r="510" spans="44:82" x14ac:dyDescent="0.2">
      <c r="AR510" s="18"/>
      <c r="AX510" s="18"/>
      <c r="CB510" s="31" t="str">
        <f t="shared" si="22"/>
        <v xml:space="preserve">  </v>
      </c>
      <c r="CC510" s="25" t="str">
        <f t="shared" si="23"/>
        <v/>
      </c>
      <c r="CD510" s="25" t="str">
        <f>BasicInput!$D$13&amp;$CD$2&amp;B510&amp;"_"&amp;C510&amp;D510&amp;"_"&amp;BasicInput!$D$7&amp;BasicInput!$D$8&amp;"_"&amp;CC510&amp;".xuf"</f>
        <v>C:\PWWORKING\east01\d2591108\Basic\__2019EX_PM_.xuf</v>
      </c>
    </row>
    <row r="511" spans="44:82" x14ac:dyDescent="0.2">
      <c r="AR511" s="18"/>
      <c r="AX511" s="18"/>
      <c r="CB511" s="31" t="str">
        <f t="shared" si="22"/>
        <v xml:space="preserve">  </v>
      </c>
      <c r="CC511" s="25" t="str">
        <f t="shared" si="23"/>
        <v/>
      </c>
      <c r="CD511" s="25" t="str">
        <f>BasicInput!$D$13&amp;$CD$2&amp;B511&amp;"_"&amp;C511&amp;D511&amp;"_"&amp;BasicInput!$D$7&amp;BasicInput!$D$8&amp;"_"&amp;CC511&amp;".xuf"</f>
        <v>C:\PWWORKING\east01\d2591108\Basic\__2019EX_PM_.xuf</v>
      </c>
    </row>
    <row r="512" spans="44:82" x14ac:dyDescent="0.2">
      <c r="AR512" s="18"/>
      <c r="AX512" s="18"/>
      <c r="CB512" s="31" t="str">
        <f t="shared" si="22"/>
        <v xml:space="preserve">  </v>
      </c>
      <c r="CC512" s="25" t="str">
        <f t="shared" si="23"/>
        <v/>
      </c>
      <c r="CD512" s="25" t="str">
        <f>BasicInput!$D$13&amp;$CD$2&amp;B512&amp;"_"&amp;C512&amp;D512&amp;"_"&amp;BasicInput!$D$7&amp;BasicInput!$D$8&amp;"_"&amp;CC512&amp;".xuf"</f>
        <v>C:\PWWORKING\east01\d2591108\Basic\__2019EX_PM_.xuf</v>
      </c>
    </row>
    <row r="513" spans="44:82" x14ac:dyDescent="0.2">
      <c r="AR513" s="18"/>
      <c r="AX513" s="18"/>
      <c r="CB513" s="31" t="str">
        <f t="shared" si="22"/>
        <v xml:space="preserve">  </v>
      </c>
      <c r="CC513" s="25" t="str">
        <f t="shared" si="23"/>
        <v/>
      </c>
      <c r="CD513" s="25" t="str">
        <f>BasicInput!$D$13&amp;$CD$2&amp;B513&amp;"_"&amp;C513&amp;D513&amp;"_"&amp;BasicInput!$D$7&amp;BasicInput!$D$8&amp;"_"&amp;CC513&amp;".xuf"</f>
        <v>C:\PWWORKING\east01\d2591108\Basic\__2019EX_PM_.xuf</v>
      </c>
    </row>
    <row r="514" spans="44:82" x14ac:dyDescent="0.2">
      <c r="AR514" s="18"/>
      <c r="AX514" s="18"/>
      <c r="CB514" s="31" t="str">
        <f t="shared" si="22"/>
        <v xml:space="preserve">  </v>
      </c>
      <c r="CC514" s="25" t="str">
        <f t="shared" si="23"/>
        <v/>
      </c>
      <c r="CD514" s="25" t="str">
        <f>BasicInput!$D$13&amp;$CD$2&amp;B514&amp;"_"&amp;C514&amp;D514&amp;"_"&amp;BasicInput!$D$7&amp;BasicInput!$D$8&amp;"_"&amp;CC514&amp;".xuf"</f>
        <v>C:\PWWORKING\east01\d2591108\Basic\__2019EX_PM_.xuf</v>
      </c>
    </row>
    <row r="515" spans="44:82" x14ac:dyDescent="0.2">
      <c r="AR515" s="18"/>
      <c r="AX515" s="18"/>
      <c r="CB515" s="31" t="str">
        <f t="shared" si="22"/>
        <v xml:space="preserve">  </v>
      </c>
      <c r="CC515" s="25" t="str">
        <f t="shared" si="23"/>
        <v/>
      </c>
      <c r="CD515" s="25" t="str">
        <f>BasicInput!$D$13&amp;$CD$2&amp;B515&amp;"_"&amp;C515&amp;D515&amp;"_"&amp;BasicInput!$D$7&amp;BasicInput!$D$8&amp;"_"&amp;CC515&amp;".xuf"</f>
        <v>C:\PWWORKING\east01\d2591108\Basic\__2019EX_PM_.xuf</v>
      </c>
    </row>
    <row r="516" spans="44:82" x14ac:dyDescent="0.2">
      <c r="AR516" s="18"/>
      <c r="AX516" s="18"/>
      <c r="CB516" s="31" t="str">
        <f t="shared" si="22"/>
        <v xml:space="preserve">  </v>
      </c>
      <c r="CC516" s="25" t="str">
        <f t="shared" si="23"/>
        <v/>
      </c>
      <c r="CD516" s="25" t="str">
        <f>BasicInput!$D$13&amp;$CD$2&amp;B516&amp;"_"&amp;C516&amp;D516&amp;"_"&amp;BasicInput!$D$7&amp;BasicInput!$D$8&amp;"_"&amp;CC516&amp;".xuf"</f>
        <v>C:\PWWORKING\east01\d2591108\Basic\__2019EX_PM_.xuf</v>
      </c>
    </row>
    <row r="517" spans="44:82" x14ac:dyDescent="0.2">
      <c r="AR517" s="18"/>
      <c r="AX517" s="18"/>
      <c r="CB517" s="31" t="str">
        <f t="shared" si="22"/>
        <v xml:space="preserve">  </v>
      </c>
      <c r="CC517" s="25" t="str">
        <f t="shared" si="23"/>
        <v/>
      </c>
      <c r="CD517" s="25" t="str">
        <f>BasicInput!$D$13&amp;$CD$2&amp;B517&amp;"_"&amp;C517&amp;D517&amp;"_"&amp;BasicInput!$D$7&amp;BasicInput!$D$8&amp;"_"&amp;CC517&amp;".xuf"</f>
        <v>C:\PWWORKING\east01\d2591108\Basic\__2019EX_PM_.xuf</v>
      </c>
    </row>
    <row r="518" spans="44:82" x14ac:dyDescent="0.2">
      <c r="AR518" s="18"/>
      <c r="AX518" s="18"/>
      <c r="CB518" s="31" t="str">
        <f t="shared" si="22"/>
        <v xml:space="preserve">  </v>
      </c>
      <c r="CC518" s="25" t="str">
        <f t="shared" si="23"/>
        <v/>
      </c>
      <c r="CD518" s="25" t="str">
        <f>BasicInput!$D$13&amp;$CD$2&amp;B518&amp;"_"&amp;C518&amp;D518&amp;"_"&amp;BasicInput!$D$7&amp;BasicInput!$D$8&amp;"_"&amp;CC518&amp;".xuf"</f>
        <v>C:\PWWORKING\east01\d2591108\Basic\__2019EX_PM_.xuf</v>
      </c>
    </row>
    <row r="519" spans="44:82" x14ac:dyDescent="0.2">
      <c r="AR519" s="18"/>
      <c r="AX519" s="18"/>
      <c r="CB519" s="31" t="str">
        <f t="shared" si="22"/>
        <v xml:space="preserve">  </v>
      </c>
      <c r="CC519" s="25" t="str">
        <f t="shared" si="23"/>
        <v/>
      </c>
      <c r="CD519" s="25" t="str">
        <f>BasicInput!$D$13&amp;$CD$2&amp;B519&amp;"_"&amp;C519&amp;D519&amp;"_"&amp;BasicInput!$D$7&amp;BasicInput!$D$8&amp;"_"&amp;CC519&amp;".xuf"</f>
        <v>C:\PWWORKING\east01\d2591108\Basic\__2019EX_PM_.xuf</v>
      </c>
    </row>
    <row r="520" spans="44:82" x14ac:dyDescent="0.2">
      <c r="AR520" s="18"/>
      <c r="AX520" s="18"/>
      <c r="CB520" s="31" t="str">
        <f t="shared" si="22"/>
        <v xml:space="preserve">  </v>
      </c>
      <c r="CC520" s="25" t="str">
        <f t="shared" si="23"/>
        <v/>
      </c>
      <c r="CD520" s="25" t="str">
        <f>BasicInput!$D$13&amp;$CD$2&amp;B520&amp;"_"&amp;C520&amp;D520&amp;"_"&amp;BasicInput!$D$7&amp;BasicInput!$D$8&amp;"_"&amp;CC520&amp;".xuf"</f>
        <v>C:\PWWORKING\east01\d2591108\Basic\__2019EX_PM_.xuf</v>
      </c>
    </row>
    <row r="521" spans="44:82" x14ac:dyDescent="0.2">
      <c r="AR521" s="18"/>
      <c r="AX521" s="18"/>
      <c r="CB521" s="31" t="str">
        <f t="shared" si="22"/>
        <v xml:space="preserve">  </v>
      </c>
      <c r="CC521" s="25" t="str">
        <f t="shared" si="23"/>
        <v/>
      </c>
      <c r="CD521" s="25" t="str">
        <f>BasicInput!$D$13&amp;$CD$2&amp;B521&amp;"_"&amp;C521&amp;D521&amp;"_"&amp;BasicInput!$D$7&amp;BasicInput!$D$8&amp;"_"&amp;CC521&amp;".xuf"</f>
        <v>C:\PWWORKING\east01\d2591108\Basic\__2019EX_PM_.xuf</v>
      </c>
    </row>
    <row r="522" spans="44:82" x14ac:dyDescent="0.2">
      <c r="AR522" s="18"/>
      <c r="AX522" s="18"/>
      <c r="CB522" s="31" t="str">
        <f t="shared" si="22"/>
        <v xml:space="preserve">  </v>
      </c>
      <c r="CC522" s="25" t="str">
        <f t="shared" si="23"/>
        <v/>
      </c>
      <c r="CD522" s="25" t="str">
        <f>BasicInput!$D$13&amp;$CD$2&amp;B522&amp;"_"&amp;C522&amp;D522&amp;"_"&amp;BasicInput!$D$7&amp;BasicInput!$D$8&amp;"_"&amp;CC522&amp;".xuf"</f>
        <v>C:\PWWORKING\east01\d2591108\Basic\__2019EX_PM_.xuf</v>
      </c>
    </row>
    <row r="523" spans="44:82" x14ac:dyDescent="0.2">
      <c r="AR523" s="18"/>
      <c r="AX523" s="18"/>
      <c r="CB523" s="31" t="str">
        <f t="shared" si="22"/>
        <v xml:space="preserve">  </v>
      </c>
      <c r="CC523" s="25" t="str">
        <f t="shared" si="23"/>
        <v/>
      </c>
      <c r="CD523" s="25" t="str">
        <f>BasicInput!$D$13&amp;$CD$2&amp;B523&amp;"_"&amp;C523&amp;D523&amp;"_"&amp;BasicInput!$D$7&amp;BasicInput!$D$8&amp;"_"&amp;CC523&amp;".xuf"</f>
        <v>C:\PWWORKING\east01\d2591108\Basic\__2019EX_PM_.xuf</v>
      </c>
    </row>
    <row r="524" spans="44:82" x14ac:dyDescent="0.2">
      <c r="AR524" s="18"/>
      <c r="AX524" s="18"/>
      <c r="CB524" s="31" t="str">
        <f t="shared" si="22"/>
        <v xml:space="preserve">  </v>
      </c>
      <c r="CC524" s="25" t="str">
        <f t="shared" si="23"/>
        <v/>
      </c>
      <c r="CD524" s="25" t="str">
        <f>BasicInput!$D$13&amp;$CD$2&amp;B524&amp;"_"&amp;C524&amp;D524&amp;"_"&amp;BasicInput!$D$7&amp;BasicInput!$D$8&amp;"_"&amp;CC524&amp;".xuf"</f>
        <v>C:\PWWORKING\east01\d2591108\Basic\__2019EX_PM_.xuf</v>
      </c>
    </row>
    <row r="525" spans="44:82" x14ac:dyDescent="0.2">
      <c r="AR525" s="18"/>
      <c r="AX525" s="18"/>
      <c r="CB525" s="31" t="str">
        <f t="shared" si="22"/>
        <v xml:space="preserve">  </v>
      </c>
      <c r="CC525" s="25" t="str">
        <f t="shared" si="23"/>
        <v/>
      </c>
      <c r="CD525" s="25" t="str">
        <f>BasicInput!$D$13&amp;$CD$2&amp;B525&amp;"_"&amp;C525&amp;D525&amp;"_"&amp;BasicInput!$D$7&amp;BasicInput!$D$8&amp;"_"&amp;CC525&amp;".xuf"</f>
        <v>C:\PWWORKING\east01\d2591108\Basic\__2019EX_PM_.xuf</v>
      </c>
    </row>
    <row r="526" spans="44:82" x14ac:dyDescent="0.2">
      <c r="AR526" s="18"/>
      <c r="AX526" s="18"/>
      <c r="CB526" s="31" t="str">
        <f t="shared" si="22"/>
        <v xml:space="preserve">  </v>
      </c>
      <c r="CC526" s="25" t="str">
        <f t="shared" si="23"/>
        <v/>
      </c>
      <c r="CD526" s="25" t="str">
        <f>BasicInput!$D$13&amp;$CD$2&amp;B526&amp;"_"&amp;C526&amp;D526&amp;"_"&amp;BasicInput!$D$7&amp;BasicInput!$D$8&amp;"_"&amp;CC526&amp;".xuf"</f>
        <v>C:\PWWORKING\east01\d2591108\Basic\__2019EX_PM_.xuf</v>
      </c>
    </row>
    <row r="527" spans="44:82" x14ac:dyDescent="0.2">
      <c r="AR527" s="18"/>
      <c r="AX527" s="18"/>
      <c r="CB527" s="31" t="str">
        <f t="shared" si="22"/>
        <v xml:space="preserve">  </v>
      </c>
      <c r="CC527" s="25" t="str">
        <f t="shared" si="23"/>
        <v/>
      </c>
      <c r="CD527" s="25" t="str">
        <f>BasicInput!$D$13&amp;$CD$2&amp;B527&amp;"_"&amp;C527&amp;D527&amp;"_"&amp;BasicInput!$D$7&amp;BasicInput!$D$8&amp;"_"&amp;CC527&amp;".xuf"</f>
        <v>C:\PWWORKING\east01\d2591108\Basic\__2019EX_PM_.xuf</v>
      </c>
    </row>
    <row r="528" spans="44:82" x14ac:dyDescent="0.2">
      <c r="AR528" s="18"/>
      <c r="AX528" s="18"/>
      <c r="CB528" s="31" t="str">
        <f t="shared" si="22"/>
        <v xml:space="preserve">  </v>
      </c>
      <c r="CC528" s="25" t="str">
        <f t="shared" si="23"/>
        <v/>
      </c>
      <c r="CD528" s="25" t="str">
        <f>BasicInput!$D$13&amp;$CD$2&amp;B528&amp;"_"&amp;C528&amp;D528&amp;"_"&amp;BasicInput!$D$7&amp;BasicInput!$D$8&amp;"_"&amp;CC528&amp;".xuf"</f>
        <v>C:\PWWORKING\east01\d2591108\Basic\__2019EX_PM_.xuf</v>
      </c>
    </row>
    <row r="529" spans="44:82" x14ac:dyDescent="0.2">
      <c r="AR529" s="18"/>
      <c r="AX529" s="18"/>
      <c r="CB529" s="31" t="str">
        <f t="shared" ref="CB529:CB592" si="24">C529&amp; " "&amp;D529&amp;" " &amp;E529</f>
        <v xml:space="preserve">  </v>
      </c>
      <c r="CC529" s="25" t="str">
        <f t="shared" ref="CC529:CC592" si="25">SUBSTITUTE(E529, "/", "_")</f>
        <v/>
      </c>
      <c r="CD529" s="25" t="str">
        <f>BasicInput!$D$13&amp;$CD$2&amp;B529&amp;"_"&amp;C529&amp;D529&amp;"_"&amp;BasicInput!$D$7&amp;BasicInput!$D$8&amp;"_"&amp;CC529&amp;".xuf"</f>
        <v>C:\PWWORKING\east01\d2591108\Basic\__2019EX_PM_.xuf</v>
      </c>
    </row>
    <row r="530" spans="44:82" x14ac:dyDescent="0.2">
      <c r="AR530" s="18"/>
      <c r="AX530" s="18"/>
      <c r="CB530" s="31" t="str">
        <f t="shared" si="24"/>
        <v xml:space="preserve">  </v>
      </c>
      <c r="CC530" s="25" t="str">
        <f t="shared" si="25"/>
        <v/>
      </c>
      <c r="CD530" s="25" t="str">
        <f>BasicInput!$D$13&amp;$CD$2&amp;B530&amp;"_"&amp;C530&amp;D530&amp;"_"&amp;BasicInput!$D$7&amp;BasicInput!$D$8&amp;"_"&amp;CC530&amp;".xuf"</f>
        <v>C:\PWWORKING\east01\d2591108\Basic\__2019EX_PM_.xuf</v>
      </c>
    </row>
    <row r="531" spans="44:82" x14ac:dyDescent="0.2">
      <c r="AR531" s="18"/>
      <c r="AX531" s="18"/>
      <c r="CB531" s="31" t="str">
        <f t="shared" si="24"/>
        <v xml:space="preserve">  </v>
      </c>
      <c r="CC531" s="25" t="str">
        <f t="shared" si="25"/>
        <v/>
      </c>
      <c r="CD531" s="25" t="str">
        <f>BasicInput!$D$13&amp;$CD$2&amp;B531&amp;"_"&amp;C531&amp;D531&amp;"_"&amp;BasicInput!$D$7&amp;BasicInput!$D$8&amp;"_"&amp;CC531&amp;".xuf"</f>
        <v>C:\PWWORKING\east01\d2591108\Basic\__2019EX_PM_.xuf</v>
      </c>
    </row>
    <row r="532" spans="44:82" x14ac:dyDescent="0.2">
      <c r="AR532" s="18"/>
      <c r="AX532" s="18"/>
      <c r="CB532" s="31" t="str">
        <f t="shared" si="24"/>
        <v xml:space="preserve">  </v>
      </c>
      <c r="CC532" s="25" t="str">
        <f t="shared" si="25"/>
        <v/>
      </c>
      <c r="CD532" s="25" t="str">
        <f>BasicInput!$D$13&amp;$CD$2&amp;B532&amp;"_"&amp;C532&amp;D532&amp;"_"&amp;BasicInput!$D$7&amp;BasicInput!$D$8&amp;"_"&amp;CC532&amp;".xuf"</f>
        <v>C:\PWWORKING\east01\d2591108\Basic\__2019EX_PM_.xuf</v>
      </c>
    </row>
    <row r="533" spans="44:82" x14ac:dyDescent="0.2">
      <c r="AR533" s="18"/>
      <c r="AX533" s="18"/>
      <c r="CB533" s="31" t="str">
        <f t="shared" si="24"/>
        <v xml:space="preserve">  </v>
      </c>
      <c r="CC533" s="25" t="str">
        <f t="shared" si="25"/>
        <v/>
      </c>
      <c r="CD533" s="25" t="str">
        <f>BasicInput!$D$13&amp;$CD$2&amp;B533&amp;"_"&amp;C533&amp;D533&amp;"_"&amp;BasicInput!$D$7&amp;BasicInput!$D$8&amp;"_"&amp;CC533&amp;".xuf"</f>
        <v>C:\PWWORKING\east01\d2591108\Basic\__2019EX_PM_.xuf</v>
      </c>
    </row>
    <row r="534" spans="44:82" x14ac:dyDescent="0.2">
      <c r="AR534" s="18"/>
      <c r="AX534" s="18"/>
      <c r="CB534" s="31" t="str">
        <f t="shared" si="24"/>
        <v xml:space="preserve">  </v>
      </c>
      <c r="CC534" s="25" t="str">
        <f t="shared" si="25"/>
        <v/>
      </c>
      <c r="CD534" s="25" t="str">
        <f>BasicInput!$D$13&amp;$CD$2&amp;B534&amp;"_"&amp;C534&amp;D534&amp;"_"&amp;BasicInput!$D$7&amp;BasicInput!$D$8&amp;"_"&amp;CC534&amp;".xuf"</f>
        <v>C:\PWWORKING\east01\d2591108\Basic\__2019EX_PM_.xuf</v>
      </c>
    </row>
    <row r="535" spans="44:82" x14ac:dyDescent="0.2">
      <c r="AR535" s="18"/>
      <c r="AX535" s="18"/>
      <c r="CB535" s="31" t="str">
        <f t="shared" si="24"/>
        <v xml:space="preserve">  </v>
      </c>
      <c r="CC535" s="25" t="str">
        <f t="shared" si="25"/>
        <v/>
      </c>
      <c r="CD535" s="25" t="str">
        <f>BasicInput!$D$13&amp;$CD$2&amp;B535&amp;"_"&amp;C535&amp;D535&amp;"_"&amp;BasicInput!$D$7&amp;BasicInput!$D$8&amp;"_"&amp;CC535&amp;".xuf"</f>
        <v>C:\PWWORKING\east01\d2591108\Basic\__2019EX_PM_.xuf</v>
      </c>
    </row>
    <row r="536" spans="44:82" x14ac:dyDescent="0.2">
      <c r="AR536" s="18"/>
      <c r="AX536" s="18"/>
      <c r="CB536" s="31" t="str">
        <f t="shared" si="24"/>
        <v xml:space="preserve">  </v>
      </c>
      <c r="CC536" s="25" t="str">
        <f t="shared" si="25"/>
        <v/>
      </c>
      <c r="CD536" s="25" t="str">
        <f>BasicInput!$D$13&amp;$CD$2&amp;B536&amp;"_"&amp;C536&amp;D536&amp;"_"&amp;BasicInput!$D$7&amp;BasicInput!$D$8&amp;"_"&amp;CC536&amp;".xuf"</f>
        <v>C:\PWWORKING\east01\d2591108\Basic\__2019EX_PM_.xuf</v>
      </c>
    </row>
    <row r="537" spans="44:82" x14ac:dyDescent="0.2">
      <c r="AR537" s="18"/>
      <c r="AX537" s="18"/>
      <c r="CB537" s="31" t="str">
        <f t="shared" si="24"/>
        <v xml:space="preserve">  </v>
      </c>
      <c r="CC537" s="25" t="str">
        <f t="shared" si="25"/>
        <v/>
      </c>
      <c r="CD537" s="25" t="str">
        <f>BasicInput!$D$13&amp;$CD$2&amp;B537&amp;"_"&amp;C537&amp;D537&amp;"_"&amp;BasicInput!$D$7&amp;BasicInput!$D$8&amp;"_"&amp;CC537&amp;".xuf"</f>
        <v>C:\PWWORKING\east01\d2591108\Basic\__2019EX_PM_.xuf</v>
      </c>
    </row>
    <row r="538" spans="44:82" x14ac:dyDescent="0.2">
      <c r="AR538" s="18"/>
      <c r="AX538" s="18"/>
      <c r="CB538" s="31" t="str">
        <f t="shared" si="24"/>
        <v xml:space="preserve">  </v>
      </c>
      <c r="CC538" s="25" t="str">
        <f t="shared" si="25"/>
        <v/>
      </c>
      <c r="CD538" s="25" t="str">
        <f>BasicInput!$D$13&amp;$CD$2&amp;B538&amp;"_"&amp;C538&amp;D538&amp;"_"&amp;BasicInput!$D$7&amp;BasicInput!$D$8&amp;"_"&amp;CC538&amp;".xuf"</f>
        <v>C:\PWWORKING\east01\d2591108\Basic\__2019EX_PM_.xuf</v>
      </c>
    </row>
    <row r="539" spans="44:82" x14ac:dyDescent="0.2">
      <c r="AR539" s="18"/>
      <c r="AX539" s="18"/>
      <c r="CB539" s="31" t="str">
        <f t="shared" si="24"/>
        <v xml:space="preserve">  </v>
      </c>
      <c r="CC539" s="25" t="str">
        <f t="shared" si="25"/>
        <v/>
      </c>
      <c r="CD539" s="25" t="str">
        <f>BasicInput!$D$13&amp;$CD$2&amp;B539&amp;"_"&amp;C539&amp;D539&amp;"_"&amp;BasicInput!$D$7&amp;BasicInput!$D$8&amp;"_"&amp;CC539&amp;".xuf"</f>
        <v>C:\PWWORKING\east01\d2591108\Basic\__2019EX_PM_.xuf</v>
      </c>
    </row>
    <row r="540" spans="44:82" x14ac:dyDescent="0.2">
      <c r="AR540" s="18"/>
      <c r="AX540" s="18"/>
      <c r="CB540" s="31" t="str">
        <f t="shared" si="24"/>
        <v xml:space="preserve">  </v>
      </c>
      <c r="CC540" s="25" t="str">
        <f t="shared" si="25"/>
        <v/>
      </c>
      <c r="CD540" s="25" t="str">
        <f>BasicInput!$D$13&amp;$CD$2&amp;B540&amp;"_"&amp;C540&amp;D540&amp;"_"&amp;BasicInput!$D$7&amp;BasicInput!$D$8&amp;"_"&amp;CC540&amp;".xuf"</f>
        <v>C:\PWWORKING\east01\d2591108\Basic\__2019EX_PM_.xuf</v>
      </c>
    </row>
    <row r="541" spans="44:82" x14ac:dyDescent="0.2">
      <c r="AR541" s="18"/>
      <c r="AX541" s="18"/>
      <c r="CB541" s="31" t="str">
        <f t="shared" si="24"/>
        <v xml:space="preserve">  </v>
      </c>
      <c r="CC541" s="25" t="str">
        <f t="shared" si="25"/>
        <v/>
      </c>
      <c r="CD541" s="25" t="str">
        <f>BasicInput!$D$13&amp;$CD$2&amp;B541&amp;"_"&amp;C541&amp;D541&amp;"_"&amp;BasicInput!$D$7&amp;BasicInput!$D$8&amp;"_"&amp;CC541&amp;".xuf"</f>
        <v>C:\PWWORKING\east01\d2591108\Basic\__2019EX_PM_.xuf</v>
      </c>
    </row>
    <row r="542" spans="44:82" x14ac:dyDescent="0.2">
      <c r="AR542" s="18"/>
      <c r="AX542" s="18"/>
      <c r="CB542" s="31" t="str">
        <f t="shared" si="24"/>
        <v xml:space="preserve">  </v>
      </c>
      <c r="CC542" s="25" t="str">
        <f t="shared" si="25"/>
        <v/>
      </c>
      <c r="CD542" s="25" t="str">
        <f>BasicInput!$D$13&amp;$CD$2&amp;B542&amp;"_"&amp;C542&amp;D542&amp;"_"&amp;BasicInput!$D$7&amp;BasicInput!$D$8&amp;"_"&amp;CC542&amp;".xuf"</f>
        <v>C:\PWWORKING\east01\d2591108\Basic\__2019EX_PM_.xuf</v>
      </c>
    </row>
    <row r="543" spans="44:82" x14ac:dyDescent="0.2">
      <c r="AR543" s="18"/>
      <c r="AX543" s="18"/>
      <c r="CB543" s="31" t="str">
        <f t="shared" si="24"/>
        <v xml:space="preserve">  </v>
      </c>
      <c r="CC543" s="25" t="str">
        <f t="shared" si="25"/>
        <v/>
      </c>
      <c r="CD543" s="25" t="str">
        <f>BasicInput!$D$13&amp;$CD$2&amp;B543&amp;"_"&amp;C543&amp;D543&amp;"_"&amp;BasicInput!$D$7&amp;BasicInput!$D$8&amp;"_"&amp;CC543&amp;".xuf"</f>
        <v>C:\PWWORKING\east01\d2591108\Basic\__2019EX_PM_.xuf</v>
      </c>
    </row>
    <row r="544" spans="44:82" x14ac:dyDescent="0.2">
      <c r="AR544" s="18"/>
      <c r="AX544" s="18"/>
      <c r="CB544" s="31" t="str">
        <f t="shared" si="24"/>
        <v xml:space="preserve">  </v>
      </c>
      <c r="CC544" s="25" t="str">
        <f t="shared" si="25"/>
        <v/>
      </c>
      <c r="CD544" s="25" t="str">
        <f>BasicInput!$D$13&amp;$CD$2&amp;B544&amp;"_"&amp;C544&amp;D544&amp;"_"&amp;BasicInput!$D$7&amp;BasicInput!$D$8&amp;"_"&amp;CC544&amp;".xuf"</f>
        <v>C:\PWWORKING\east01\d2591108\Basic\__2019EX_PM_.xuf</v>
      </c>
    </row>
    <row r="545" spans="44:82" x14ac:dyDescent="0.2">
      <c r="AR545" s="18"/>
      <c r="AX545" s="18"/>
      <c r="CB545" s="31" t="str">
        <f t="shared" si="24"/>
        <v xml:space="preserve">  </v>
      </c>
      <c r="CC545" s="25" t="str">
        <f t="shared" si="25"/>
        <v/>
      </c>
      <c r="CD545" s="25" t="str">
        <f>BasicInput!$D$13&amp;$CD$2&amp;B545&amp;"_"&amp;C545&amp;D545&amp;"_"&amp;BasicInput!$D$7&amp;BasicInput!$D$8&amp;"_"&amp;CC545&amp;".xuf"</f>
        <v>C:\PWWORKING\east01\d2591108\Basic\__2019EX_PM_.xuf</v>
      </c>
    </row>
    <row r="546" spans="44:82" x14ac:dyDescent="0.2">
      <c r="AR546" s="18"/>
      <c r="AX546" s="18"/>
      <c r="CB546" s="31" t="str">
        <f t="shared" si="24"/>
        <v xml:space="preserve">  </v>
      </c>
      <c r="CC546" s="25" t="str">
        <f t="shared" si="25"/>
        <v/>
      </c>
      <c r="CD546" s="25" t="str">
        <f>BasicInput!$D$13&amp;$CD$2&amp;B546&amp;"_"&amp;C546&amp;D546&amp;"_"&amp;BasicInput!$D$7&amp;BasicInput!$D$8&amp;"_"&amp;CC546&amp;".xuf"</f>
        <v>C:\PWWORKING\east01\d2591108\Basic\__2019EX_PM_.xuf</v>
      </c>
    </row>
    <row r="547" spans="44:82" x14ac:dyDescent="0.2">
      <c r="AR547" s="18"/>
      <c r="AX547" s="18"/>
      <c r="CB547" s="31" t="str">
        <f t="shared" si="24"/>
        <v xml:space="preserve">  </v>
      </c>
      <c r="CC547" s="25" t="str">
        <f t="shared" si="25"/>
        <v/>
      </c>
      <c r="CD547" s="25" t="str">
        <f>BasicInput!$D$13&amp;$CD$2&amp;B547&amp;"_"&amp;C547&amp;D547&amp;"_"&amp;BasicInput!$D$7&amp;BasicInput!$D$8&amp;"_"&amp;CC547&amp;".xuf"</f>
        <v>C:\PWWORKING\east01\d2591108\Basic\__2019EX_PM_.xuf</v>
      </c>
    </row>
    <row r="548" spans="44:82" x14ac:dyDescent="0.2">
      <c r="AR548" s="18"/>
      <c r="AX548" s="18"/>
      <c r="CB548" s="31" t="str">
        <f t="shared" si="24"/>
        <v xml:space="preserve">  </v>
      </c>
      <c r="CC548" s="25" t="str">
        <f t="shared" si="25"/>
        <v/>
      </c>
      <c r="CD548" s="25" t="str">
        <f>BasicInput!$D$13&amp;$CD$2&amp;B548&amp;"_"&amp;C548&amp;D548&amp;"_"&amp;BasicInput!$D$7&amp;BasicInput!$D$8&amp;"_"&amp;CC548&amp;".xuf"</f>
        <v>C:\PWWORKING\east01\d2591108\Basic\__2019EX_PM_.xuf</v>
      </c>
    </row>
    <row r="549" spans="44:82" x14ac:dyDescent="0.2">
      <c r="AR549" s="18"/>
      <c r="AX549" s="18"/>
      <c r="CB549" s="31" t="str">
        <f t="shared" si="24"/>
        <v xml:space="preserve">  </v>
      </c>
      <c r="CC549" s="25" t="str">
        <f t="shared" si="25"/>
        <v/>
      </c>
      <c r="CD549" s="25" t="str">
        <f>BasicInput!$D$13&amp;$CD$2&amp;B549&amp;"_"&amp;C549&amp;D549&amp;"_"&amp;BasicInput!$D$7&amp;BasicInput!$D$8&amp;"_"&amp;CC549&amp;".xuf"</f>
        <v>C:\PWWORKING\east01\d2591108\Basic\__2019EX_PM_.xuf</v>
      </c>
    </row>
    <row r="550" spans="44:82" x14ac:dyDescent="0.2">
      <c r="AR550" s="18"/>
      <c r="AX550" s="18"/>
      <c r="CB550" s="31" t="str">
        <f t="shared" si="24"/>
        <v xml:space="preserve">  </v>
      </c>
      <c r="CC550" s="25" t="str">
        <f t="shared" si="25"/>
        <v/>
      </c>
      <c r="CD550" s="25" t="str">
        <f>BasicInput!$D$13&amp;$CD$2&amp;B550&amp;"_"&amp;C550&amp;D550&amp;"_"&amp;BasicInput!$D$7&amp;BasicInput!$D$8&amp;"_"&amp;CC550&amp;".xuf"</f>
        <v>C:\PWWORKING\east01\d2591108\Basic\__2019EX_PM_.xuf</v>
      </c>
    </row>
    <row r="551" spans="44:82" x14ac:dyDescent="0.2">
      <c r="AR551" s="18"/>
      <c r="AX551" s="18"/>
      <c r="CB551" s="31" t="str">
        <f t="shared" si="24"/>
        <v xml:space="preserve">  </v>
      </c>
      <c r="CC551" s="25" t="str">
        <f t="shared" si="25"/>
        <v/>
      </c>
      <c r="CD551" s="25" t="str">
        <f>BasicInput!$D$13&amp;$CD$2&amp;B551&amp;"_"&amp;C551&amp;D551&amp;"_"&amp;BasicInput!$D$7&amp;BasicInput!$D$8&amp;"_"&amp;CC551&amp;".xuf"</f>
        <v>C:\PWWORKING\east01\d2591108\Basic\__2019EX_PM_.xuf</v>
      </c>
    </row>
    <row r="552" spans="44:82" x14ac:dyDescent="0.2">
      <c r="AR552" s="18"/>
      <c r="AX552" s="18"/>
      <c r="CB552" s="31" t="str">
        <f t="shared" si="24"/>
        <v xml:space="preserve">  </v>
      </c>
      <c r="CC552" s="25" t="str">
        <f t="shared" si="25"/>
        <v/>
      </c>
      <c r="CD552" s="25" t="str">
        <f>BasicInput!$D$13&amp;$CD$2&amp;B552&amp;"_"&amp;C552&amp;D552&amp;"_"&amp;BasicInput!$D$7&amp;BasicInput!$D$8&amp;"_"&amp;CC552&amp;".xuf"</f>
        <v>C:\PWWORKING\east01\d2591108\Basic\__2019EX_PM_.xuf</v>
      </c>
    </row>
    <row r="553" spans="44:82" x14ac:dyDescent="0.2">
      <c r="AR553" s="18"/>
      <c r="AX553" s="18"/>
      <c r="CB553" s="31" t="str">
        <f t="shared" si="24"/>
        <v xml:space="preserve">  </v>
      </c>
      <c r="CC553" s="25" t="str">
        <f t="shared" si="25"/>
        <v/>
      </c>
      <c r="CD553" s="25" t="str">
        <f>BasicInput!$D$13&amp;$CD$2&amp;B553&amp;"_"&amp;C553&amp;D553&amp;"_"&amp;BasicInput!$D$7&amp;BasicInput!$D$8&amp;"_"&amp;CC553&amp;".xuf"</f>
        <v>C:\PWWORKING\east01\d2591108\Basic\__2019EX_PM_.xuf</v>
      </c>
    </row>
    <row r="554" spans="44:82" x14ac:dyDescent="0.2">
      <c r="AR554" s="18"/>
      <c r="AX554" s="18"/>
      <c r="CB554" s="31" t="str">
        <f t="shared" si="24"/>
        <v xml:space="preserve">  </v>
      </c>
      <c r="CC554" s="25" t="str">
        <f t="shared" si="25"/>
        <v/>
      </c>
      <c r="CD554" s="25" t="str">
        <f>BasicInput!$D$13&amp;$CD$2&amp;B554&amp;"_"&amp;C554&amp;D554&amp;"_"&amp;BasicInput!$D$7&amp;BasicInput!$D$8&amp;"_"&amp;CC554&amp;".xuf"</f>
        <v>C:\PWWORKING\east01\d2591108\Basic\__2019EX_PM_.xuf</v>
      </c>
    </row>
    <row r="555" spans="44:82" x14ac:dyDescent="0.2">
      <c r="AR555" s="18"/>
      <c r="AX555" s="18"/>
      <c r="CB555" s="31" t="str">
        <f t="shared" si="24"/>
        <v xml:space="preserve">  </v>
      </c>
      <c r="CC555" s="25" t="str">
        <f t="shared" si="25"/>
        <v/>
      </c>
      <c r="CD555" s="25" t="str">
        <f>BasicInput!$D$13&amp;$CD$2&amp;B555&amp;"_"&amp;C555&amp;D555&amp;"_"&amp;BasicInput!$D$7&amp;BasicInput!$D$8&amp;"_"&amp;CC555&amp;".xuf"</f>
        <v>C:\PWWORKING\east01\d2591108\Basic\__2019EX_PM_.xuf</v>
      </c>
    </row>
    <row r="556" spans="44:82" x14ac:dyDescent="0.2">
      <c r="AR556" s="18"/>
      <c r="AX556" s="18"/>
      <c r="CB556" s="31" t="str">
        <f t="shared" si="24"/>
        <v xml:space="preserve">  </v>
      </c>
      <c r="CC556" s="25" t="str">
        <f t="shared" si="25"/>
        <v/>
      </c>
      <c r="CD556" s="25" t="str">
        <f>BasicInput!$D$13&amp;$CD$2&amp;B556&amp;"_"&amp;C556&amp;D556&amp;"_"&amp;BasicInput!$D$7&amp;BasicInput!$D$8&amp;"_"&amp;CC556&amp;".xuf"</f>
        <v>C:\PWWORKING\east01\d2591108\Basic\__2019EX_PM_.xuf</v>
      </c>
    </row>
    <row r="557" spans="44:82" x14ac:dyDescent="0.2">
      <c r="AR557" s="18"/>
      <c r="AX557" s="18"/>
      <c r="CB557" s="31" t="str">
        <f t="shared" si="24"/>
        <v xml:space="preserve">  </v>
      </c>
      <c r="CC557" s="25" t="str">
        <f t="shared" si="25"/>
        <v/>
      </c>
      <c r="CD557" s="25" t="str">
        <f>BasicInput!$D$13&amp;$CD$2&amp;B557&amp;"_"&amp;C557&amp;D557&amp;"_"&amp;BasicInput!$D$7&amp;BasicInput!$D$8&amp;"_"&amp;CC557&amp;".xuf"</f>
        <v>C:\PWWORKING\east01\d2591108\Basic\__2019EX_PM_.xuf</v>
      </c>
    </row>
    <row r="558" spans="44:82" x14ac:dyDescent="0.2">
      <c r="AR558" s="18"/>
      <c r="AX558" s="18"/>
      <c r="CB558" s="31" t="str">
        <f t="shared" si="24"/>
        <v xml:space="preserve">  </v>
      </c>
      <c r="CC558" s="25" t="str">
        <f t="shared" si="25"/>
        <v/>
      </c>
      <c r="CD558" s="25" t="str">
        <f>BasicInput!$D$13&amp;$CD$2&amp;B558&amp;"_"&amp;C558&amp;D558&amp;"_"&amp;BasicInput!$D$7&amp;BasicInput!$D$8&amp;"_"&amp;CC558&amp;".xuf"</f>
        <v>C:\PWWORKING\east01\d2591108\Basic\__2019EX_PM_.xuf</v>
      </c>
    </row>
    <row r="559" spans="44:82" x14ac:dyDescent="0.2">
      <c r="AR559" s="18"/>
      <c r="AX559" s="18"/>
      <c r="CB559" s="31" t="str">
        <f t="shared" si="24"/>
        <v xml:space="preserve">  </v>
      </c>
      <c r="CC559" s="25" t="str">
        <f t="shared" si="25"/>
        <v/>
      </c>
      <c r="CD559" s="25" t="str">
        <f>BasicInput!$D$13&amp;$CD$2&amp;B559&amp;"_"&amp;C559&amp;D559&amp;"_"&amp;BasicInput!$D$7&amp;BasicInput!$D$8&amp;"_"&amp;CC559&amp;".xuf"</f>
        <v>C:\PWWORKING\east01\d2591108\Basic\__2019EX_PM_.xuf</v>
      </c>
    </row>
    <row r="560" spans="44:82" x14ac:dyDescent="0.2">
      <c r="AR560" s="18"/>
      <c r="AX560" s="18"/>
      <c r="CB560" s="31" t="str">
        <f t="shared" si="24"/>
        <v xml:space="preserve">  </v>
      </c>
      <c r="CC560" s="25" t="str">
        <f t="shared" si="25"/>
        <v/>
      </c>
      <c r="CD560" s="25" t="str">
        <f>BasicInput!$D$13&amp;$CD$2&amp;B560&amp;"_"&amp;C560&amp;D560&amp;"_"&amp;BasicInput!$D$7&amp;BasicInput!$D$8&amp;"_"&amp;CC560&amp;".xuf"</f>
        <v>C:\PWWORKING\east01\d2591108\Basic\__2019EX_PM_.xuf</v>
      </c>
    </row>
    <row r="561" spans="44:82" x14ac:dyDescent="0.2">
      <c r="AR561" s="18"/>
      <c r="AX561" s="18"/>
      <c r="CB561" s="31" t="str">
        <f t="shared" si="24"/>
        <v xml:space="preserve">  </v>
      </c>
      <c r="CC561" s="25" t="str">
        <f t="shared" si="25"/>
        <v/>
      </c>
      <c r="CD561" s="25" t="str">
        <f>BasicInput!$D$13&amp;$CD$2&amp;B561&amp;"_"&amp;C561&amp;D561&amp;"_"&amp;BasicInput!$D$7&amp;BasicInput!$D$8&amp;"_"&amp;CC561&amp;".xuf"</f>
        <v>C:\PWWORKING\east01\d2591108\Basic\__2019EX_PM_.xuf</v>
      </c>
    </row>
    <row r="562" spans="44:82" x14ac:dyDescent="0.2">
      <c r="AR562" s="18"/>
      <c r="AX562" s="18"/>
      <c r="CB562" s="31" t="str">
        <f t="shared" si="24"/>
        <v xml:space="preserve">  </v>
      </c>
      <c r="CC562" s="25" t="str">
        <f t="shared" si="25"/>
        <v/>
      </c>
      <c r="CD562" s="25" t="str">
        <f>BasicInput!$D$13&amp;$CD$2&amp;B562&amp;"_"&amp;C562&amp;D562&amp;"_"&amp;BasicInput!$D$7&amp;BasicInput!$D$8&amp;"_"&amp;CC562&amp;".xuf"</f>
        <v>C:\PWWORKING\east01\d2591108\Basic\__2019EX_PM_.xuf</v>
      </c>
    </row>
    <row r="563" spans="44:82" x14ac:dyDescent="0.2">
      <c r="AR563" s="18"/>
      <c r="AX563" s="18"/>
      <c r="CB563" s="31" t="str">
        <f t="shared" si="24"/>
        <v xml:space="preserve">  </v>
      </c>
      <c r="CC563" s="25" t="str">
        <f t="shared" si="25"/>
        <v/>
      </c>
      <c r="CD563" s="25" t="str">
        <f>BasicInput!$D$13&amp;$CD$2&amp;B563&amp;"_"&amp;C563&amp;D563&amp;"_"&amp;BasicInput!$D$7&amp;BasicInput!$D$8&amp;"_"&amp;CC563&amp;".xuf"</f>
        <v>C:\PWWORKING\east01\d2591108\Basic\__2019EX_PM_.xuf</v>
      </c>
    </row>
    <row r="564" spans="44:82" x14ac:dyDescent="0.2">
      <c r="AR564" s="18"/>
      <c r="AX564" s="18"/>
      <c r="CB564" s="31" t="str">
        <f t="shared" si="24"/>
        <v xml:space="preserve">  </v>
      </c>
      <c r="CC564" s="25" t="str">
        <f t="shared" si="25"/>
        <v/>
      </c>
      <c r="CD564" s="25" t="str">
        <f>BasicInput!$D$13&amp;$CD$2&amp;B564&amp;"_"&amp;C564&amp;D564&amp;"_"&amp;BasicInput!$D$7&amp;BasicInput!$D$8&amp;"_"&amp;CC564&amp;".xuf"</f>
        <v>C:\PWWORKING\east01\d2591108\Basic\__2019EX_PM_.xuf</v>
      </c>
    </row>
    <row r="565" spans="44:82" x14ac:dyDescent="0.2">
      <c r="AR565" s="18"/>
      <c r="AX565" s="18"/>
      <c r="CB565" s="31" t="str">
        <f t="shared" si="24"/>
        <v xml:space="preserve">  </v>
      </c>
      <c r="CC565" s="25" t="str">
        <f t="shared" si="25"/>
        <v/>
      </c>
      <c r="CD565" s="25" t="str">
        <f>BasicInput!$D$13&amp;$CD$2&amp;B565&amp;"_"&amp;C565&amp;D565&amp;"_"&amp;BasicInput!$D$7&amp;BasicInput!$D$8&amp;"_"&amp;CC565&amp;".xuf"</f>
        <v>C:\PWWORKING\east01\d2591108\Basic\__2019EX_PM_.xuf</v>
      </c>
    </row>
    <row r="566" spans="44:82" x14ac:dyDescent="0.2">
      <c r="AR566" s="18"/>
      <c r="AX566" s="18"/>
      <c r="CB566" s="31" t="str">
        <f t="shared" si="24"/>
        <v xml:space="preserve">  </v>
      </c>
      <c r="CC566" s="25" t="str">
        <f t="shared" si="25"/>
        <v/>
      </c>
      <c r="CD566" s="25" t="str">
        <f>BasicInput!$D$13&amp;$CD$2&amp;B566&amp;"_"&amp;C566&amp;D566&amp;"_"&amp;BasicInput!$D$7&amp;BasicInput!$D$8&amp;"_"&amp;CC566&amp;".xuf"</f>
        <v>C:\PWWORKING\east01\d2591108\Basic\__2019EX_PM_.xuf</v>
      </c>
    </row>
    <row r="567" spans="44:82" x14ac:dyDescent="0.2">
      <c r="AR567" s="18"/>
      <c r="AX567" s="18"/>
      <c r="CB567" s="31" t="str">
        <f t="shared" si="24"/>
        <v xml:space="preserve">  </v>
      </c>
      <c r="CC567" s="25" t="str">
        <f t="shared" si="25"/>
        <v/>
      </c>
      <c r="CD567" s="25" t="str">
        <f>BasicInput!$D$13&amp;$CD$2&amp;B567&amp;"_"&amp;C567&amp;D567&amp;"_"&amp;BasicInput!$D$7&amp;BasicInput!$D$8&amp;"_"&amp;CC567&amp;".xuf"</f>
        <v>C:\PWWORKING\east01\d2591108\Basic\__2019EX_PM_.xuf</v>
      </c>
    </row>
    <row r="568" spans="44:82" x14ac:dyDescent="0.2">
      <c r="AR568" s="18"/>
      <c r="AX568" s="18"/>
      <c r="CB568" s="31" t="str">
        <f t="shared" si="24"/>
        <v xml:space="preserve">  </v>
      </c>
      <c r="CC568" s="25" t="str">
        <f t="shared" si="25"/>
        <v/>
      </c>
      <c r="CD568" s="25" t="str">
        <f>BasicInput!$D$13&amp;$CD$2&amp;B568&amp;"_"&amp;C568&amp;D568&amp;"_"&amp;BasicInput!$D$7&amp;BasicInput!$D$8&amp;"_"&amp;CC568&amp;".xuf"</f>
        <v>C:\PWWORKING\east01\d2591108\Basic\__2019EX_PM_.xuf</v>
      </c>
    </row>
    <row r="569" spans="44:82" x14ac:dyDescent="0.2">
      <c r="AR569" s="18"/>
      <c r="AX569" s="18"/>
      <c r="CB569" s="31" t="str">
        <f t="shared" si="24"/>
        <v xml:space="preserve">  </v>
      </c>
      <c r="CC569" s="25" t="str">
        <f t="shared" si="25"/>
        <v/>
      </c>
      <c r="CD569" s="25" t="str">
        <f>BasicInput!$D$13&amp;$CD$2&amp;B569&amp;"_"&amp;C569&amp;D569&amp;"_"&amp;BasicInput!$D$7&amp;BasicInput!$D$8&amp;"_"&amp;CC569&amp;".xuf"</f>
        <v>C:\PWWORKING\east01\d2591108\Basic\__2019EX_PM_.xuf</v>
      </c>
    </row>
    <row r="570" spans="44:82" x14ac:dyDescent="0.2">
      <c r="AR570" s="18"/>
      <c r="AX570" s="18"/>
      <c r="CB570" s="31" t="str">
        <f t="shared" si="24"/>
        <v xml:space="preserve">  </v>
      </c>
      <c r="CC570" s="25" t="str">
        <f t="shared" si="25"/>
        <v/>
      </c>
      <c r="CD570" s="25" t="str">
        <f>BasicInput!$D$13&amp;$CD$2&amp;B570&amp;"_"&amp;C570&amp;D570&amp;"_"&amp;BasicInput!$D$7&amp;BasicInput!$D$8&amp;"_"&amp;CC570&amp;".xuf"</f>
        <v>C:\PWWORKING\east01\d2591108\Basic\__2019EX_PM_.xuf</v>
      </c>
    </row>
    <row r="571" spans="44:82" x14ac:dyDescent="0.2">
      <c r="AR571" s="18"/>
      <c r="AX571" s="18"/>
      <c r="CB571" s="31" t="str">
        <f t="shared" si="24"/>
        <v xml:space="preserve">  </v>
      </c>
      <c r="CC571" s="25" t="str">
        <f t="shared" si="25"/>
        <v/>
      </c>
      <c r="CD571" s="25" t="str">
        <f>BasicInput!$D$13&amp;$CD$2&amp;B571&amp;"_"&amp;C571&amp;D571&amp;"_"&amp;BasicInput!$D$7&amp;BasicInput!$D$8&amp;"_"&amp;CC571&amp;".xuf"</f>
        <v>C:\PWWORKING\east01\d2591108\Basic\__2019EX_PM_.xuf</v>
      </c>
    </row>
    <row r="572" spans="44:82" x14ac:dyDescent="0.2">
      <c r="AR572" s="18"/>
      <c r="AX572" s="18"/>
      <c r="CB572" s="31" t="str">
        <f t="shared" si="24"/>
        <v xml:space="preserve">  </v>
      </c>
      <c r="CC572" s="25" t="str">
        <f t="shared" si="25"/>
        <v/>
      </c>
      <c r="CD572" s="25" t="str">
        <f>BasicInput!$D$13&amp;$CD$2&amp;B572&amp;"_"&amp;C572&amp;D572&amp;"_"&amp;BasicInput!$D$7&amp;BasicInput!$D$8&amp;"_"&amp;CC572&amp;".xuf"</f>
        <v>C:\PWWORKING\east01\d2591108\Basic\__2019EX_PM_.xuf</v>
      </c>
    </row>
    <row r="573" spans="44:82" x14ac:dyDescent="0.2">
      <c r="AR573" s="18"/>
      <c r="AX573" s="18"/>
      <c r="CB573" s="31" t="str">
        <f t="shared" si="24"/>
        <v xml:space="preserve">  </v>
      </c>
      <c r="CC573" s="25" t="str">
        <f t="shared" si="25"/>
        <v/>
      </c>
      <c r="CD573" s="25" t="str">
        <f>BasicInput!$D$13&amp;$CD$2&amp;B573&amp;"_"&amp;C573&amp;D573&amp;"_"&amp;BasicInput!$D$7&amp;BasicInput!$D$8&amp;"_"&amp;CC573&amp;".xuf"</f>
        <v>C:\PWWORKING\east01\d2591108\Basic\__2019EX_PM_.xuf</v>
      </c>
    </row>
    <row r="574" spans="44:82" x14ac:dyDescent="0.2">
      <c r="AR574" s="18"/>
      <c r="AX574" s="18"/>
      <c r="CB574" s="31" t="str">
        <f t="shared" si="24"/>
        <v xml:space="preserve">  </v>
      </c>
      <c r="CC574" s="25" t="str">
        <f t="shared" si="25"/>
        <v/>
      </c>
      <c r="CD574" s="25" t="str">
        <f>BasicInput!$D$13&amp;$CD$2&amp;B574&amp;"_"&amp;C574&amp;D574&amp;"_"&amp;BasicInput!$D$7&amp;BasicInput!$D$8&amp;"_"&amp;CC574&amp;".xuf"</f>
        <v>C:\PWWORKING\east01\d2591108\Basic\__2019EX_PM_.xuf</v>
      </c>
    </row>
    <row r="575" spans="44:82" x14ac:dyDescent="0.2">
      <c r="AR575" s="18"/>
      <c r="AX575" s="18"/>
      <c r="CB575" s="31" t="str">
        <f t="shared" si="24"/>
        <v xml:space="preserve">  </v>
      </c>
      <c r="CC575" s="25" t="str">
        <f t="shared" si="25"/>
        <v/>
      </c>
      <c r="CD575" s="25" t="str">
        <f>BasicInput!$D$13&amp;$CD$2&amp;B575&amp;"_"&amp;C575&amp;D575&amp;"_"&amp;BasicInput!$D$7&amp;BasicInput!$D$8&amp;"_"&amp;CC575&amp;".xuf"</f>
        <v>C:\PWWORKING\east01\d2591108\Basic\__2019EX_PM_.xuf</v>
      </c>
    </row>
    <row r="576" spans="44:82" x14ac:dyDescent="0.2">
      <c r="AR576" s="18"/>
      <c r="AX576" s="18"/>
      <c r="CB576" s="31" t="str">
        <f t="shared" si="24"/>
        <v xml:space="preserve">  </v>
      </c>
      <c r="CC576" s="25" t="str">
        <f t="shared" si="25"/>
        <v/>
      </c>
      <c r="CD576" s="25" t="str">
        <f>BasicInput!$D$13&amp;$CD$2&amp;B576&amp;"_"&amp;C576&amp;D576&amp;"_"&amp;BasicInput!$D$7&amp;BasicInput!$D$8&amp;"_"&amp;CC576&amp;".xuf"</f>
        <v>C:\PWWORKING\east01\d2591108\Basic\__2019EX_PM_.xuf</v>
      </c>
    </row>
    <row r="577" spans="44:82" x14ac:dyDescent="0.2">
      <c r="AR577" s="18"/>
      <c r="AX577" s="18"/>
      <c r="CB577" s="31" t="str">
        <f t="shared" si="24"/>
        <v xml:space="preserve">  </v>
      </c>
      <c r="CC577" s="25" t="str">
        <f t="shared" si="25"/>
        <v/>
      </c>
      <c r="CD577" s="25" t="str">
        <f>BasicInput!$D$13&amp;$CD$2&amp;B577&amp;"_"&amp;C577&amp;D577&amp;"_"&amp;BasicInput!$D$7&amp;BasicInput!$D$8&amp;"_"&amp;CC577&amp;".xuf"</f>
        <v>C:\PWWORKING\east01\d2591108\Basic\__2019EX_PM_.xuf</v>
      </c>
    </row>
    <row r="578" spans="44:82" x14ac:dyDescent="0.2">
      <c r="AR578" s="18"/>
      <c r="AX578" s="18"/>
      <c r="CB578" s="31" t="str">
        <f t="shared" si="24"/>
        <v xml:space="preserve">  </v>
      </c>
      <c r="CC578" s="25" t="str">
        <f t="shared" si="25"/>
        <v/>
      </c>
      <c r="CD578" s="25" t="str">
        <f>BasicInput!$D$13&amp;$CD$2&amp;B578&amp;"_"&amp;C578&amp;D578&amp;"_"&amp;BasicInput!$D$7&amp;BasicInput!$D$8&amp;"_"&amp;CC578&amp;".xuf"</f>
        <v>C:\PWWORKING\east01\d2591108\Basic\__2019EX_PM_.xuf</v>
      </c>
    </row>
    <row r="579" spans="44:82" x14ac:dyDescent="0.2">
      <c r="AR579" s="18"/>
      <c r="AX579" s="18"/>
      <c r="CB579" s="31" t="str">
        <f t="shared" si="24"/>
        <v xml:space="preserve">  </v>
      </c>
      <c r="CC579" s="25" t="str">
        <f t="shared" si="25"/>
        <v/>
      </c>
      <c r="CD579" s="25" t="str">
        <f>BasicInput!$D$13&amp;$CD$2&amp;B579&amp;"_"&amp;C579&amp;D579&amp;"_"&amp;BasicInput!$D$7&amp;BasicInput!$D$8&amp;"_"&amp;CC579&amp;".xuf"</f>
        <v>C:\PWWORKING\east01\d2591108\Basic\__2019EX_PM_.xuf</v>
      </c>
    </row>
    <row r="580" spans="44:82" x14ac:dyDescent="0.2">
      <c r="AR580" s="18"/>
      <c r="AX580" s="18"/>
      <c r="CB580" s="31" t="str">
        <f t="shared" si="24"/>
        <v xml:space="preserve">  </v>
      </c>
      <c r="CC580" s="25" t="str">
        <f t="shared" si="25"/>
        <v/>
      </c>
      <c r="CD580" s="25" t="str">
        <f>BasicInput!$D$13&amp;$CD$2&amp;B580&amp;"_"&amp;C580&amp;D580&amp;"_"&amp;BasicInput!$D$7&amp;BasicInput!$D$8&amp;"_"&amp;CC580&amp;".xuf"</f>
        <v>C:\PWWORKING\east01\d2591108\Basic\__2019EX_PM_.xuf</v>
      </c>
    </row>
    <row r="581" spans="44:82" x14ac:dyDescent="0.2">
      <c r="AR581" s="18"/>
      <c r="AX581" s="18"/>
      <c r="CB581" s="31" t="str">
        <f t="shared" si="24"/>
        <v xml:space="preserve">  </v>
      </c>
      <c r="CC581" s="25" t="str">
        <f t="shared" si="25"/>
        <v/>
      </c>
      <c r="CD581" s="25" t="str">
        <f>BasicInput!$D$13&amp;$CD$2&amp;B581&amp;"_"&amp;C581&amp;D581&amp;"_"&amp;BasicInput!$D$7&amp;BasicInput!$D$8&amp;"_"&amp;CC581&amp;".xuf"</f>
        <v>C:\PWWORKING\east01\d2591108\Basic\__2019EX_PM_.xuf</v>
      </c>
    </row>
    <row r="582" spans="44:82" x14ac:dyDescent="0.2">
      <c r="AR582" s="18"/>
      <c r="AX582" s="18"/>
      <c r="CB582" s="31" t="str">
        <f t="shared" si="24"/>
        <v xml:space="preserve">  </v>
      </c>
      <c r="CC582" s="25" t="str">
        <f t="shared" si="25"/>
        <v/>
      </c>
      <c r="CD582" s="25" t="str">
        <f>BasicInput!$D$13&amp;$CD$2&amp;B582&amp;"_"&amp;C582&amp;D582&amp;"_"&amp;BasicInput!$D$7&amp;BasicInput!$D$8&amp;"_"&amp;CC582&amp;".xuf"</f>
        <v>C:\PWWORKING\east01\d2591108\Basic\__2019EX_PM_.xuf</v>
      </c>
    </row>
    <row r="583" spans="44:82" x14ac:dyDescent="0.2">
      <c r="AR583" s="18"/>
      <c r="AX583" s="18"/>
      <c r="CB583" s="31" t="str">
        <f t="shared" si="24"/>
        <v xml:space="preserve">  </v>
      </c>
      <c r="CC583" s="25" t="str">
        <f t="shared" si="25"/>
        <v/>
      </c>
      <c r="CD583" s="25" t="str">
        <f>BasicInput!$D$13&amp;$CD$2&amp;B583&amp;"_"&amp;C583&amp;D583&amp;"_"&amp;BasicInput!$D$7&amp;BasicInput!$D$8&amp;"_"&amp;CC583&amp;".xuf"</f>
        <v>C:\PWWORKING\east01\d2591108\Basic\__2019EX_PM_.xuf</v>
      </c>
    </row>
    <row r="584" spans="44:82" x14ac:dyDescent="0.2">
      <c r="AR584" s="18"/>
      <c r="AX584" s="18"/>
      <c r="CB584" s="31" t="str">
        <f t="shared" si="24"/>
        <v xml:space="preserve">  </v>
      </c>
      <c r="CC584" s="25" t="str">
        <f t="shared" si="25"/>
        <v/>
      </c>
      <c r="CD584" s="25" t="str">
        <f>BasicInput!$D$13&amp;$CD$2&amp;B584&amp;"_"&amp;C584&amp;D584&amp;"_"&amp;BasicInput!$D$7&amp;BasicInput!$D$8&amp;"_"&amp;CC584&amp;".xuf"</f>
        <v>C:\PWWORKING\east01\d2591108\Basic\__2019EX_PM_.xuf</v>
      </c>
    </row>
    <row r="585" spans="44:82" x14ac:dyDescent="0.2">
      <c r="AR585" s="18"/>
      <c r="AX585" s="18"/>
      <c r="CB585" s="31" t="str">
        <f t="shared" si="24"/>
        <v xml:space="preserve">  </v>
      </c>
      <c r="CC585" s="25" t="str">
        <f t="shared" si="25"/>
        <v/>
      </c>
      <c r="CD585" s="25" t="str">
        <f>BasicInput!$D$13&amp;$CD$2&amp;B585&amp;"_"&amp;C585&amp;D585&amp;"_"&amp;BasicInput!$D$7&amp;BasicInput!$D$8&amp;"_"&amp;CC585&amp;".xuf"</f>
        <v>C:\PWWORKING\east01\d2591108\Basic\__2019EX_PM_.xuf</v>
      </c>
    </row>
    <row r="586" spans="44:82" x14ac:dyDescent="0.2">
      <c r="AR586" s="18"/>
      <c r="AX586" s="18"/>
      <c r="CB586" s="31" t="str">
        <f t="shared" si="24"/>
        <v xml:space="preserve">  </v>
      </c>
      <c r="CC586" s="25" t="str">
        <f t="shared" si="25"/>
        <v/>
      </c>
      <c r="CD586" s="25" t="str">
        <f>BasicInput!$D$13&amp;$CD$2&amp;B586&amp;"_"&amp;C586&amp;D586&amp;"_"&amp;BasicInput!$D$7&amp;BasicInput!$D$8&amp;"_"&amp;CC586&amp;".xuf"</f>
        <v>C:\PWWORKING\east01\d2591108\Basic\__2019EX_PM_.xuf</v>
      </c>
    </row>
    <row r="587" spans="44:82" x14ac:dyDescent="0.2">
      <c r="AR587" s="18"/>
      <c r="AX587" s="18"/>
      <c r="CB587" s="31" t="str">
        <f t="shared" si="24"/>
        <v xml:space="preserve">  </v>
      </c>
      <c r="CC587" s="25" t="str">
        <f t="shared" si="25"/>
        <v/>
      </c>
      <c r="CD587" s="25" t="str">
        <f>BasicInput!$D$13&amp;$CD$2&amp;B587&amp;"_"&amp;C587&amp;D587&amp;"_"&amp;BasicInput!$D$7&amp;BasicInput!$D$8&amp;"_"&amp;CC587&amp;".xuf"</f>
        <v>C:\PWWORKING\east01\d2591108\Basic\__2019EX_PM_.xuf</v>
      </c>
    </row>
    <row r="588" spans="44:82" x14ac:dyDescent="0.2">
      <c r="AR588" s="18"/>
      <c r="AX588" s="18"/>
      <c r="CB588" s="31" t="str">
        <f t="shared" si="24"/>
        <v xml:space="preserve">  </v>
      </c>
      <c r="CC588" s="25" t="str">
        <f t="shared" si="25"/>
        <v/>
      </c>
      <c r="CD588" s="25" t="str">
        <f>BasicInput!$D$13&amp;$CD$2&amp;B588&amp;"_"&amp;C588&amp;D588&amp;"_"&amp;BasicInput!$D$7&amp;BasicInput!$D$8&amp;"_"&amp;CC588&amp;".xuf"</f>
        <v>C:\PWWORKING\east01\d2591108\Basic\__2019EX_PM_.xuf</v>
      </c>
    </row>
    <row r="589" spans="44:82" x14ac:dyDescent="0.2">
      <c r="AR589" s="18"/>
      <c r="AX589" s="18"/>
      <c r="CB589" s="31" t="str">
        <f t="shared" si="24"/>
        <v xml:space="preserve">  </v>
      </c>
      <c r="CC589" s="25" t="str">
        <f t="shared" si="25"/>
        <v/>
      </c>
      <c r="CD589" s="25" t="str">
        <f>BasicInput!$D$13&amp;$CD$2&amp;B589&amp;"_"&amp;C589&amp;D589&amp;"_"&amp;BasicInput!$D$7&amp;BasicInput!$D$8&amp;"_"&amp;CC589&amp;".xuf"</f>
        <v>C:\PWWORKING\east01\d2591108\Basic\__2019EX_PM_.xuf</v>
      </c>
    </row>
    <row r="590" spans="44:82" x14ac:dyDescent="0.2">
      <c r="AR590" s="18"/>
      <c r="AX590" s="18"/>
      <c r="CB590" s="31" t="str">
        <f t="shared" si="24"/>
        <v xml:space="preserve">  </v>
      </c>
      <c r="CC590" s="25" t="str">
        <f t="shared" si="25"/>
        <v/>
      </c>
      <c r="CD590" s="25" t="str">
        <f>BasicInput!$D$13&amp;$CD$2&amp;B590&amp;"_"&amp;C590&amp;D590&amp;"_"&amp;BasicInput!$D$7&amp;BasicInput!$D$8&amp;"_"&amp;CC590&amp;".xuf"</f>
        <v>C:\PWWORKING\east01\d2591108\Basic\__2019EX_PM_.xuf</v>
      </c>
    </row>
    <row r="591" spans="44:82" x14ac:dyDescent="0.2">
      <c r="AR591" s="18"/>
      <c r="AX591" s="18"/>
      <c r="CB591" s="31" t="str">
        <f t="shared" si="24"/>
        <v xml:space="preserve">  </v>
      </c>
      <c r="CC591" s="25" t="str">
        <f t="shared" si="25"/>
        <v/>
      </c>
      <c r="CD591" s="25" t="str">
        <f>BasicInput!$D$13&amp;$CD$2&amp;B591&amp;"_"&amp;C591&amp;D591&amp;"_"&amp;BasicInput!$D$7&amp;BasicInput!$D$8&amp;"_"&amp;CC591&amp;".xuf"</f>
        <v>C:\PWWORKING\east01\d2591108\Basic\__2019EX_PM_.xuf</v>
      </c>
    </row>
    <row r="592" spans="44:82" x14ac:dyDescent="0.2">
      <c r="AR592" s="18"/>
      <c r="AX592" s="18"/>
      <c r="CB592" s="31" t="str">
        <f t="shared" si="24"/>
        <v xml:space="preserve">  </v>
      </c>
      <c r="CC592" s="25" t="str">
        <f t="shared" si="25"/>
        <v/>
      </c>
      <c r="CD592" s="25" t="str">
        <f>BasicInput!$D$13&amp;$CD$2&amp;B592&amp;"_"&amp;C592&amp;D592&amp;"_"&amp;BasicInput!$D$7&amp;BasicInput!$D$8&amp;"_"&amp;CC592&amp;".xuf"</f>
        <v>C:\PWWORKING\east01\d2591108\Basic\__2019EX_PM_.xuf</v>
      </c>
    </row>
    <row r="593" spans="44:82" x14ac:dyDescent="0.2">
      <c r="AR593" s="18"/>
      <c r="AX593" s="18"/>
      <c r="CB593" s="31" t="str">
        <f t="shared" ref="CB593:CB656" si="26">C593&amp; " "&amp;D593&amp;" " &amp;E593</f>
        <v xml:space="preserve">  </v>
      </c>
      <c r="CC593" s="25" t="str">
        <f t="shared" ref="CC593:CC656" si="27">SUBSTITUTE(E593, "/", "_")</f>
        <v/>
      </c>
      <c r="CD593" s="25" t="str">
        <f>BasicInput!$D$13&amp;$CD$2&amp;B593&amp;"_"&amp;C593&amp;D593&amp;"_"&amp;BasicInput!$D$7&amp;BasicInput!$D$8&amp;"_"&amp;CC593&amp;".xuf"</f>
        <v>C:\PWWORKING\east01\d2591108\Basic\__2019EX_PM_.xuf</v>
      </c>
    </row>
    <row r="594" spans="44:82" x14ac:dyDescent="0.2">
      <c r="AR594" s="18"/>
      <c r="AX594" s="18"/>
      <c r="CB594" s="31" t="str">
        <f t="shared" si="26"/>
        <v xml:space="preserve">  </v>
      </c>
      <c r="CC594" s="25" t="str">
        <f t="shared" si="27"/>
        <v/>
      </c>
      <c r="CD594" s="25" t="str">
        <f>BasicInput!$D$13&amp;$CD$2&amp;B594&amp;"_"&amp;C594&amp;D594&amp;"_"&amp;BasicInput!$D$7&amp;BasicInput!$D$8&amp;"_"&amp;CC594&amp;".xuf"</f>
        <v>C:\PWWORKING\east01\d2591108\Basic\__2019EX_PM_.xuf</v>
      </c>
    </row>
    <row r="595" spans="44:82" x14ac:dyDescent="0.2">
      <c r="AR595" s="18"/>
      <c r="AX595" s="18"/>
      <c r="CB595" s="31" t="str">
        <f t="shared" si="26"/>
        <v xml:space="preserve">  </v>
      </c>
      <c r="CC595" s="25" t="str">
        <f t="shared" si="27"/>
        <v/>
      </c>
      <c r="CD595" s="25" t="str">
        <f>BasicInput!$D$13&amp;$CD$2&amp;B595&amp;"_"&amp;C595&amp;D595&amp;"_"&amp;BasicInput!$D$7&amp;BasicInput!$D$8&amp;"_"&amp;CC595&amp;".xuf"</f>
        <v>C:\PWWORKING\east01\d2591108\Basic\__2019EX_PM_.xuf</v>
      </c>
    </row>
    <row r="596" spans="44:82" x14ac:dyDescent="0.2">
      <c r="AR596" s="18"/>
      <c r="AX596" s="18"/>
      <c r="CB596" s="31" t="str">
        <f t="shared" si="26"/>
        <v xml:space="preserve">  </v>
      </c>
      <c r="CC596" s="25" t="str">
        <f t="shared" si="27"/>
        <v/>
      </c>
      <c r="CD596" s="25" t="str">
        <f>BasicInput!$D$13&amp;$CD$2&amp;B596&amp;"_"&amp;C596&amp;D596&amp;"_"&amp;BasicInput!$D$7&amp;BasicInput!$D$8&amp;"_"&amp;CC596&amp;".xuf"</f>
        <v>C:\PWWORKING\east01\d2591108\Basic\__2019EX_PM_.xuf</v>
      </c>
    </row>
    <row r="597" spans="44:82" x14ac:dyDescent="0.2">
      <c r="AR597" s="18"/>
      <c r="AX597" s="18"/>
      <c r="CB597" s="31" t="str">
        <f t="shared" si="26"/>
        <v xml:space="preserve">  </v>
      </c>
      <c r="CC597" s="25" t="str">
        <f t="shared" si="27"/>
        <v/>
      </c>
      <c r="CD597" s="25" t="str">
        <f>BasicInput!$D$13&amp;$CD$2&amp;B597&amp;"_"&amp;C597&amp;D597&amp;"_"&amp;BasicInput!$D$7&amp;BasicInput!$D$8&amp;"_"&amp;CC597&amp;".xuf"</f>
        <v>C:\PWWORKING\east01\d2591108\Basic\__2019EX_PM_.xuf</v>
      </c>
    </row>
    <row r="598" spans="44:82" x14ac:dyDescent="0.2">
      <c r="AR598" s="18"/>
      <c r="AX598" s="18"/>
      <c r="CB598" s="31" t="str">
        <f t="shared" si="26"/>
        <v xml:space="preserve">  </v>
      </c>
      <c r="CC598" s="25" t="str">
        <f t="shared" si="27"/>
        <v/>
      </c>
      <c r="CD598" s="25" t="str">
        <f>BasicInput!$D$13&amp;$CD$2&amp;B598&amp;"_"&amp;C598&amp;D598&amp;"_"&amp;BasicInput!$D$7&amp;BasicInput!$D$8&amp;"_"&amp;CC598&amp;".xuf"</f>
        <v>C:\PWWORKING\east01\d2591108\Basic\__2019EX_PM_.xuf</v>
      </c>
    </row>
    <row r="599" spans="44:82" x14ac:dyDescent="0.2">
      <c r="AR599" s="18"/>
      <c r="AX599" s="18"/>
      <c r="CB599" s="31" t="str">
        <f t="shared" si="26"/>
        <v xml:space="preserve">  </v>
      </c>
      <c r="CC599" s="25" t="str">
        <f t="shared" si="27"/>
        <v/>
      </c>
      <c r="CD599" s="25" t="str">
        <f>BasicInput!$D$13&amp;$CD$2&amp;B599&amp;"_"&amp;C599&amp;D599&amp;"_"&amp;BasicInput!$D$7&amp;BasicInput!$D$8&amp;"_"&amp;CC599&amp;".xuf"</f>
        <v>C:\PWWORKING\east01\d2591108\Basic\__2019EX_PM_.xuf</v>
      </c>
    </row>
    <row r="600" spans="44:82" x14ac:dyDescent="0.2">
      <c r="AR600" s="18"/>
      <c r="AX600" s="18"/>
      <c r="CB600" s="31" t="str">
        <f t="shared" si="26"/>
        <v xml:space="preserve">  </v>
      </c>
      <c r="CC600" s="25" t="str">
        <f t="shared" si="27"/>
        <v/>
      </c>
      <c r="CD600" s="25" t="str">
        <f>BasicInput!$D$13&amp;$CD$2&amp;B600&amp;"_"&amp;C600&amp;D600&amp;"_"&amp;BasicInput!$D$7&amp;BasicInput!$D$8&amp;"_"&amp;CC600&amp;".xuf"</f>
        <v>C:\PWWORKING\east01\d2591108\Basic\__2019EX_PM_.xuf</v>
      </c>
    </row>
    <row r="601" spans="44:82" x14ac:dyDescent="0.2">
      <c r="AR601" s="18"/>
      <c r="AX601" s="18"/>
      <c r="CB601" s="31" t="str">
        <f t="shared" si="26"/>
        <v xml:space="preserve">  </v>
      </c>
      <c r="CC601" s="25" t="str">
        <f t="shared" si="27"/>
        <v/>
      </c>
      <c r="CD601" s="25" t="str">
        <f>BasicInput!$D$13&amp;$CD$2&amp;B601&amp;"_"&amp;C601&amp;D601&amp;"_"&amp;BasicInput!$D$7&amp;BasicInput!$D$8&amp;"_"&amp;CC601&amp;".xuf"</f>
        <v>C:\PWWORKING\east01\d2591108\Basic\__2019EX_PM_.xuf</v>
      </c>
    </row>
    <row r="602" spans="44:82" x14ac:dyDescent="0.2">
      <c r="AR602" s="18"/>
      <c r="AX602" s="18"/>
      <c r="CB602" s="31" t="str">
        <f t="shared" si="26"/>
        <v xml:space="preserve">  </v>
      </c>
      <c r="CC602" s="25" t="str">
        <f t="shared" si="27"/>
        <v/>
      </c>
      <c r="CD602" s="25" t="str">
        <f>BasicInput!$D$13&amp;$CD$2&amp;B602&amp;"_"&amp;C602&amp;D602&amp;"_"&amp;BasicInput!$D$7&amp;BasicInput!$D$8&amp;"_"&amp;CC602&amp;".xuf"</f>
        <v>C:\PWWORKING\east01\d2591108\Basic\__2019EX_PM_.xuf</v>
      </c>
    </row>
    <row r="603" spans="44:82" x14ac:dyDescent="0.2">
      <c r="AR603" s="18"/>
      <c r="AX603" s="18"/>
      <c r="CB603" s="31" t="str">
        <f t="shared" si="26"/>
        <v xml:space="preserve">  </v>
      </c>
      <c r="CC603" s="25" t="str">
        <f t="shared" si="27"/>
        <v/>
      </c>
      <c r="CD603" s="25" t="str">
        <f>BasicInput!$D$13&amp;$CD$2&amp;B603&amp;"_"&amp;C603&amp;D603&amp;"_"&amp;BasicInput!$D$7&amp;BasicInput!$D$8&amp;"_"&amp;CC603&amp;".xuf"</f>
        <v>C:\PWWORKING\east01\d2591108\Basic\__2019EX_PM_.xuf</v>
      </c>
    </row>
    <row r="604" spans="44:82" x14ac:dyDescent="0.2">
      <c r="AR604" s="18"/>
      <c r="AX604" s="18"/>
      <c r="CB604" s="31" t="str">
        <f t="shared" si="26"/>
        <v xml:space="preserve">  </v>
      </c>
      <c r="CC604" s="25" t="str">
        <f t="shared" si="27"/>
        <v/>
      </c>
      <c r="CD604" s="25" t="str">
        <f>BasicInput!$D$13&amp;$CD$2&amp;B604&amp;"_"&amp;C604&amp;D604&amp;"_"&amp;BasicInput!$D$7&amp;BasicInput!$D$8&amp;"_"&amp;CC604&amp;".xuf"</f>
        <v>C:\PWWORKING\east01\d2591108\Basic\__2019EX_PM_.xuf</v>
      </c>
    </row>
    <row r="605" spans="44:82" x14ac:dyDescent="0.2">
      <c r="AR605" s="18"/>
      <c r="AX605" s="18"/>
      <c r="CB605" s="31" t="str">
        <f t="shared" si="26"/>
        <v xml:space="preserve">  </v>
      </c>
      <c r="CC605" s="25" t="str">
        <f t="shared" si="27"/>
        <v/>
      </c>
      <c r="CD605" s="25" t="str">
        <f>BasicInput!$D$13&amp;$CD$2&amp;B605&amp;"_"&amp;C605&amp;D605&amp;"_"&amp;BasicInput!$D$7&amp;BasicInput!$D$8&amp;"_"&amp;CC605&amp;".xuf"</f>
        <v>C:\PWWORKING\east01\d2591108\Basic\__2019EX_PM_.xuf</v>
      </c>
    </row>
    <row r="606" spans="44:82" x14ac:dyDescent="0.2">
      <c r="AR606" s="18"/>
      <c r="AX606" s="18"/>
      <c r="CB606" s="31" t="str">
        <f t="shared" si="26"/>
        <v xml:space="preserve">  </v>
      </c>
      <c r="CC606" s="25" t="str">
        <f t="shared" si="27"/>
        <v/>
      </c>
      <c r="CD606" s="25" t="str">
        <f>BasicInput!$D$13&amp;$CD$2&amp;B606&amp;"_"&amp;C606&amp;D606&amp;"_"&amp;BasicInput!$D$7&amp;BasicInput!$D$8&amp;"_"&amp;CC606&amp;".xuf"</f>
        <v>C:\PWWORKING\east01\d2591108\Basic\__2019EX_PM_.xuf</v>
      </c>
    </row>
    <row r="607" spans="44:82" x14ac:dyDescent="0.2">
      <c r="AR607" s="18"/>
      <c r="AX607" s="18"/>
      <c r="CB607" s="31" t="str">
        <f t="shared" si="26"/>
        <v xml:space="preserve">  </v>
      </c>
      <c r="CC607" s="25" t="str">
        <f t="shared" si="27"/>
        <v/>
      </c>
      <c r="CD607" s="25" t="str">
        <f>BasicInput!$D$13&amp;$CD$2&amp;B607&amp;"_"&amp;C607&amp;D607&amp;"_"&amp;BasicInput!$D$7&amp;BasicInput!$D$8&amp;"_"&amp;CC607&amp;".xuf"</f>
        <v>C:\PWWORKING\east01\d2591108\Basic\__2019EX_PM_.xuf</v>
      </c>
    </row>
    <row r="608" spans="44:82" x14ac:dyDescent="0.2">
      <c r="AR608" s="18"/>
      <c r="AX608" s="18"/>
      <c r="CB608" s="31" t="str">
        <f t="shared" si="26"/>
        <v xml:space="preserve">  </v>
      </c>
      <c r="CC608" s="25" t="str">
        <f t="shared" si="27"/>
        <v/>
      </c>
      <c r="CD608" s="25" t="str">
        <f>BasicInput!$D$13&amp;$CD$2&amp;B608&amp;"_"&amp;C608&amp;D608&amp;"_"&amp;BasicInput!$D$7&amp;BasicInput!$D$8&amp;"_"&amp;CC608&amp;".xuf"</f>
        <v>C:\PWWORKING\east01\d2591108\Basic\__2019EX_PM_.xuf</v>
      </c>
    </row>
    <row r="609" spans="44:82" x14ac:dyDescent="0.2">
      <c r="AR609" s="18"/>
      <c r="AX609" s="18"/>
      <c r="CB609" s="31" t="str">
        <f t="shared" si="26"/>
        <v xml:space="preserve">  </v>
      </c>
      <c r="CC609" s="25" t="str">
        <f t="shared" si="27"/>
        <v/>
      </c>
      <c r="CD609" s="25" t="str">
        <f>BasicInput!$D$13&amp;$CD$2&amp;B609&amp;"_"&amp;C609&amp;D609&amp;"_"&amp;BasicInput!$D$7&amp;BasicInput!$D$8&amp;"_"&amp;CC609&amp;".xuf"</f>
        <v>C:\PWWORKING\east01\d2591108\Basic\__2019EX_PM_.xuf</v>
      </c>
    </row>
    <row r="610" spans="44:82" x14ac:dyDescent="0.2">
      <c r="AR610" s="18"/>
      <c r="AX610" s="18"/>
      <c r="CB610" s="31" t="str">
        <f t="shared" si="26"/>
        <v xml:space="preserve">  </v>
      </c>
      <c r="CC610" s="25" t="str">
        <f t="shared" si="27"/>
        <v/>
      </c>
      <c r="CD610" s="25" t="str">
        <f>BasicInput!$D$13&amp;$CD$2&amp;B610&amp;"_"&amp;C610&amp;D610&amp;"_"&amp;BasicInput!$D$7&amp;BasicInput!$D$8&amp;"_"&amp;CC610&amp;".xuf"</f>
        <v>C:\PWWORKING\east01\d2591108\Basic\__2019EX_PM_.xuf</v>
      </c>
    </row>
    <row r="611" spans="44:82" x14ac:dyDescent="0.2">
      <c r="AR611" s="18"/>
      <c r="AX611" s="18"/>
      <c r="CB611" s="31" t="str">
        <f t="shared" si="26"/>
        <v xml:space="preserve">  </v>
      </c>
      <c r="CC611" s="25" t="str">
        <f t="shared" si="27"/>
        <v/>
      </c>
      <c r="CD611" s="25" t="str">
        <f>BasicInput!$D$13&amp;$CD$2&amp;B611&amp;"_"&amp;C611&amp;D611&amp;"_"&amp;BasicInput!$D$7&amp;BasicInput!$D$8&amp;"_"&amp;CC611&amp;".xuf"</f>
        <v>C:\PWWORKING\east01\d2591108\Basic\__2019EX_PM_.xuf</v>
      </c>
    </row>
    <row r="612" spans="44:82" x14ac:dyDescent="0.2">
      <c r="AR612" s="18"/>
      <c r="AX612" s="18"/>
      <c r="CB612" s="31" t="str">
        <f t="shared" si="26"/>
        <v xml:space="preserve">  </v>
      </c>
      <c r="CC612" s="25" t="str">
        <f t="shared" si="27"/>
        <v/>
      </c>
      <c r="CD612" s="25" t="str">
        <f>BasicInput!$D$13&amp;$CD$2&amp;B612&amp;"_"&amp;C612&amp;D612&amp;"_"&amp;BasicInput!$D$7&amp;BasicInput!$D$8&amp;"_"&amp;CC612&amp;".xuf"</f>
        <v>C:\PWWORKING\east01\d2591108\Basic\__2019EX_PM_.xuf</v>
      </c>
    </row>
    <row r="613" spans="44:82" x14ac:dyDescent="0.2">
      <c r="AR613" s="18"/>
      <c r="AX613" s="18"/>
      <c r="CB613" s="31" t="str">
        <f t="shared" si="26"/>
        <v xml:space="preserve">  </v>
      </c>
      <c r="CC613" s="25" t="str">
        <f t="shared" si="27"/>
        <v/>
      </c>
      <c r="CD613" s="25" t="str">
        <f>BasicInput!$D$13&amp;$CD$2&amp;B613&amp;"_"&amp;C613&amp;D613&amp;"_"&amp;BasicInput!$D$7&amp;BasicInput!$D$8&amp;"_"&amp;CC613&amp;".xuf"</f>
        <v>C:\PWWORKING\east01\d2591108\Basic\__2019EX_PM_.xuf</v>
      </c>
    </row>
    <row r="614" spans="44:82" x14ac:dyDescent="0.2">
      <c r="AR614" s="18"/>
      <c r="AX614" s="18"/>
      <c r="CB614" s="31" t="str">
        <f t="shared" si="26"/>
        <v xml:space="preserve">  </v>
      </c>
      <c r="CC614" s="25" t="str">
        <f t="shared" si="27"/>
        <v/>
      </c>
      <c r="CD614" s="25" t="str">
        <f>BasicInput!$D$13&amp;$CD$2&amp;B614&amp;"_"&amp;C614&amp;D614&amp;"_"&amp;BasicInput!$D$7&amp;BasicInput!$D$8&amp;"_"&amp;CC614&amp;".xuf"</f>
        <v>C:\PWWORKING\east01\d2591108\Basic\__2019EX_PM_.xuf</v>
      </c>
    </row>
    <row r="615" spans="44:82" x14ac:dyDescent="0.2">
      <c r="AR615" s="18"/>
      <c r="AX615" s="18"/>
      <c r="CB615" s="31" t="str">
        <f t="shared" si="26"/>
        <v xml:space="preserve">  </v>
      </c>
      <c r="CC615" s="25" t="str">
        <f t="shared" si="27"/>
        <v/>
      </c>
      <c r="CD615" s="25" t="str">
        <f>BasicInput!$D$13&amp;$CD$2&amp;B615&amp;"_"&amp;C615&amp;D615&amp;"_"&amp;BasicInput!$D$7&amp;BasicInput!$D$8&amp;"_"&amp;CC615&amp;".xuf"</f>
        <v>C:\PWWORKING\east01\d2591108\Basic\__2019EX_PM_.xuf</v>
      </c>
    </row>
    <row r="616" spans="44:82" x14ac:dyDescent="0.2">
      <c r="AR616" s="18"/>
      <c r="AX616" s="18"/>
      <c r="CB616" s="31" t="str">
        <f t="shared" si="26"/>
        <v xml:space="preserve">  </v>
      </c>
      <c r="CC616" s="25" t="str">
        <f t="shared" si="27"/>
        <v/>
      </c>
      <c r="CD616" s="25" t="str">
        <f>BasicInput!$D$13&amp;$CD$2&amp;B616&amp;"_"&amp;C616&amp;D616&amp;"_"&amp;BasicInput!$D$7&amp;BasicInput!$D$8&amp;"_"&amp;CC616&amp;".xuf"</f>
        <v>C:\PWWORKING\east01\d2591108\Basic\__2019EX_PM_.xuf</v>
      </c>
    </row>
    <row r="617" spans="44:82" x14ac:dyDescent="0.2">
      <c r="AR617" s="18"/>
      <c r="AX617" s="18"/>
      <c r="CB617" s="31" t="str">
        <f t="shared" si="26"/>
        <v xml:space="preserve">  </v>
      </c>
      <c r="CC617" s="25" t="str">
        <f t="shared" si="27"/>
        <v/>
      </c>
      <c r="CD617" s="25" t="str">
        <f>BasicInput!$D$13&amp;$CD$2&amp;B617&amp;"_"&amp;C617&amp;D617&amp;"_"&amp;BasicInput!$D$7&amp;BasicInput!$D$8&amp;"_"&amp;CC617&amp;".xuf"</f>
        <v>C:\PWWORKING\east01\d2591108\Basic\__2019EX_PM_.xuf</v>
      </c>
    </row>
    <row r="618" spans="44:82" x14ac:dyDescent="0.2">
      <c r="AR618" s="18"/>
      <c r="AX618" s="18"/>
      <c r="CB618" s="31" t="str">
        <f t="shared" si="26"/>
        <v xml:space="preserve">  </v>
      </c>
      <c r="CC618" s="25" t="str">
        <f t="shared" si="27"/>
        <v/>
      </c>
      <c r="CD618" s="25" t="str">
        <f>BasicInput!$D$13&amp;$CD$2&amp;B618&amp;"_"&amp;C618&amp;D618&amp;"_"&amp;BasicInput!$D$7&amp;BasicInput!$D$8&amp;"_"&amp;CC618&amp;".xuf"</f>
        <v>C:\PWWORKING\east01\d2591108\Basic\__2019EX_PM_.xuf</v>
      </c>
    </row>
    <row r="619" spans="44:82" x14ac:dyDescent="0.2">
      <c r="AR619" s="18"/>
      <c r="AX619" s="18"/>
      <c r="CB619" s="31" t="str">
        <f t="shared" si="26"/>
        <v xml:space="preserve">  </v>
      </c>
      <c r="CC619" s="25" t="str">
        <f t="shared" si="27"/>
        <v/>
      </c>
      <c r="CD619" s="25" t="str">
        <f>BasicInput!$D$13&amp;$CD$2&amp;B619&amp;"_"&amp;C619&amp;D619&amp;"_"&amp;BasicInput!$D$7&amp;BasicInput!$D$8&amp;"_"&amp;CC619&amp;".xuf"</f>
        <v>C:\PWWORKING\east01\d2591108\Basic\__2019EX_PM_.xuf</v>
      </c>
    </row>
    <row r="620" spans="44:82" x14ac:dyDescent="0.2">
      <c r="AR620" s="18"/>
      <c r="AX620" s="18"/>
      <c r="CB620" s="31" t="str">
        <f t="shared" si="26"/>
        <v xml:space="preserve">  </v>
      </c>
      <c r="CC620" s="25" t="str">
        <f t="shared" si="27"/>
        <v/>
      </c>
      <c r="CD620" s="25" t="str">
        <f>BasicInput!$D$13&amp;$CD$2&amp;B620&amp;"_"&amp;C620&amp;D620&amp;"_"&amp;BasicInput!$D$7&amp;BasicInput!$D$8&amp;"_"&amp;CC620&amp;".xuf"</f>
        <v>C:\PWWORKING\east01\d2591108\Basic\__2019EX_PM_.xuf</v>
      </c>
    </row>
    <row r="621" spans="44:82" x14ac:dyDescent="0.2">
      <c r="AR621" s="18"/>
      <c r="AX621" s="18"/>
      <c r="CB621" s="31" t="str">
        <f t="shared" si="26"/>
        <v xml:space="preserve">  </v>
      </c>
      <c r="CC621" s="25" t="str">
        <f t="shared" si="27"/>
        <v/>
      </c>
      <c r="CD621" s="25" t="str">
        <f>BasicInput!$D$13&amp;$CD$2&amp;B621&amp;"_"&amp;C621&amp;D621&amp;"_"&amp;BasicInput!$D$7&amp;BasicInput!$D$8&amp;"_"&amp;CC621&amp;".xuf"</f>
        <v>C:\PWWORKING\east01\d2591108\Basic\__2019EX_PM_.xuf</v>
      </c>
    </row>
    <row r="622" spans="44:82" x14ac:dyDescent="0.2">
      <c r="AR622" s="18"/>
      <c r="AX622" s="18"/>
      <c r="CB622" s="31" t="str">
        <f t="shared" si="26"/>
        <v xml:space="preserve">  </v>
      </c>
      <c r="CC622" s="25" t="str">
        <f t="shared" si="27"/>
        <v/>
      </c>
      <c r="CD622" s="25" t="str">
        <f>BasicInput!$D$13&amp;$CD$2&amp;B622&amp;"_"&amp;C622&amp;D622&amp;"_"&amp;BasicInput!$D$7&amp;BasicInput!$D$8&amp;"_"&amp;CC622&amp;".xuf"</f>
        <v>C:\PWWORKING\east01\d2591108\Basic\__2019EX_PM_.xuf</v>
      </c>
    </row>
    <row r="623" spans="44:82" x14ac:dyDescent="0.2">
      <c r="AR623" s="18"/>
      <c r="AX623" s="18"/>
      <c r="CB623" s="31" t="str">
        <f t="shared" si="26"/>
        <v xml:space="preserve">  </v>
      </c>
      <c r="CC623" s="25" t="str">
        <f t="shared" si="27"/>
        <v/>
      </c>
      <c r="CD623" s="25" t="str">
        <f>BasicInput!$D$13&amp;$CD$2&amp;B623&amp;"_"&amp;C623&amp;D623&amp;"_"&amp;BasicInput!$D$7&amp;BasicInput!$D$8&amp;"_"&amp;CC623&amp;".xuf"</f>
        <v>C:\PWWORKING\east01\d2591108\Basic\__2019EX_PM_.xuf</v>
      </c>
    </row>
    <row r="624" spans="44:82" x14ac:dyDescent="0.2">
      <c r="AR624" s="18"/>
      <c r="AX624" s="18"/>
      <c r="CB624" s="31" t="str">
        <f t="shared" si="26"/>
        <v xml:space="preserve">  </v>
      </c>
      <c r="CC624" s="25" t="str">
        <f t="shared" si="27"/>
        <v/>
      </c>
      <c r="CD624" s="25" t="str">
        <f>BasicInput!$D$13&amp;$CD$2&amp;B624&amp;"_"&amp;C624&amp;D624&amp;"_"&amp;BasicInput!$D$7&amp;BasicInput!$D$8&amp;"_"&amp;CC624&amp;".xuf"</f>
        <v>C:\PWWORKING\east01\d2591108\Basic\__2019EX_PM_.xuf</v>
      </c>
    </row>
    <row r="625" spans="44:82" x14ac:dyDescent="0.2">
      <c r="AR625" s="18"/>
      <c r="AX625" s="18"/>
      <c r="CB625" s="31" t="str">
        <f t="shared" si="26"/>
        <v xml:space="preserve">  </v>
      </c>
      <c r="CC625" s="25" t="str">
        <f t="shared" si="27"/>
        <v/>
      </c>
      <c r="CD625" s="25" t="str">
        <f>BasicInput!$D$13&amp;$CD$2&amp;B625&amp;"_"&amp;C625&amp;D625&amp;"_"&amp;BasicInput!$D$7&amp;BasicInput!$D$8&amp;"_"&amp;CC625&amp;".xuf"</f>
        <v>C:\PWWORKING\east01\d2591108\Basic\__2019EX_PM_.xuf</v>
      </c>
    </row>
    <row r="626" spans="44:82" x14ac:dyDescent="0.2">
      <c r="AR626" s="18"/>
      <c r="AX626" s="18"/>
      <c r="CB626" s="31" t="str">
        <f t="shared" si="26"/>
        <v xml:space="preserve">  </v>
      </c>
      <c r="CC626" s="25" t="str">
        <f t="shared" si="27"/>
        <v/>
      </c>
      <c r="CD626" s="25" t="str">
        <f>BasicInput!$D$13&amp;$CD$2&amp;B626&amp;"_"&amp;C626&amp;D626&amp;"_"&amp;BasicInput!$D$7&amp;BasicInput!$D$8&amp;"_"&amp;CC626&amp;".xuf"</f>
        <v>C:\PWWORKING\east01\d2591108\Basic\__2019EX_PM_.xuf</v>
      </c>
    </row>
    <row r="627" spans="44:82" x14ac:dyDescent="0.2">
      <c r="AR627" s="18"/>
      <c r="AX627" s="18"/>
      <c r="CB627" s="31" t="str">
        <f t="shared" si="26"/>
        <v xml:space="preserve">  </v>
      </c>
      <c r="CC627" s="25" t="str">
        <f t="shared" si="27"/>
        <v/>
      </c>
      <c r="CD627" s="25" t="str">
        <f>BasicInput!$D$13&amp;$CD$2&amp;B627&amp;"_"&amp;C627&amp;D627&amp;"_"&amp;BasicInput!$D$7&amp;BasicInput!$D$8&amp;"_"&amp;CC627&amp;".xuf"</f>
        <v>C:\PWWORKING\east01\d2591108\Basic\__2019EX_PM_.xuf</v>
      </c>
    </row>
    <row r="628" spans="44:82" x14ac:dyDescent="0.2">
      <c r="AR628" s="18"/>
      <c r="AX628" s="18"/>
      <c r="CB628" s="31" t="str">
        <f t="shared" si="26"/>
        <v xml:space="preserve">  </v>
      </c>
      <c r="CC628" s="25" t="str">
        <f t="shared" si="27"/>
        <v/>
      </c>
      <c r="CD628" s="25" t="str">
        <f>BasicInput!$D$13&amp;$CD$2&amp;B628&amp;"_"&amp;C628&amp;D628&amp;"_"&amp;BasicInput!$D$7&amp;BasicInput!$D$8&amp;"_"&amp;CC628&amp;".xuf"</f>
        <v>C:\PWWORKING\east01\d2591108\Basic\__2019EX_PM_.xuf</v>
      </c>
    </row>
    <row r="629" spans="44:82" x14ac:dyDescent="0.2">
      <c r="AR629" s="18"/>
      <c r="AX629" s="18"/>
      <c r="CB629" s="31" t="str">
        <f t="shared" si="26"/>
        <v xml:space="preserve">  </v>
      </c>
      <c r="CC629" s="25" t="str">
        <f t="shared" si="27"/>
        <v/>
      </c>
      <c r="CD629" s="25" t="str">
        <f>BasicInput!$D$13&amp;$CD$2&amp;B629&amp;"_"&amp;C629&amp;D629&amp;"_"&amp;BasicInput!$D$7&amp;BasicInput!$D$8&amp;"_"&amp;CC629&amp;".xuf"</f>
        <v>C:\PWWORKING\east01\d2591108\Basic\__2019EX_PM_.xuf</v>
      </c>
    </row>
    <row r="630" spans="44:82" x14ac:dyDescent="0.2">
      <c r="AR630" s="18"/>
      <c r="AX630" s="18"/>
      <c r="CB630" s="31" t="str">
        <f t="shared" si="26"/>
        <v xml:space="preserve">  </v>
      </c>
      <c r="CC630" s="25" t="str">
        <f t="shared" si="27"/>
        <v/>
      </c>
      <c r="CD630" s="25" t="str">
        <f>BasicInput!$D$13&amp;$CD$2&amp;B630&amp;"_"&amp;C630&amp;D630&amp;"_"&amp;BasicInput!$D$7&amp;BasicInput!$D$8&amp;"_"&amp;CC630&amp;".xuf"</f>
        <v>C:\PWWORKING\east01\d2591108\Basic\__2019EX_PM_.xuf</v>
      </c>
    </row>
    <row r="631" spans="44:82" x14ac:dyDescent="0.2">
      <c r="AR631" s="18"/>
      <c r="AX631" s="18"/>
      <c r="CB631" s="31" t="str">
        <f t="shared" si="26"/>
        <v xml:space="preserve">  </v>
      </c>
      <c r="CC631" s="25" t="str">
        <f t="shared" si="27"/>
        <v/>
      </c>
      <c r="CD631" s="25" t="str">
        <f>BasicInput!$D$13&amp;$CD$2&amp;B631&amp;"_"&amp;C631&amp;D631&amp;"_"&amp;BasicInput!$D$7&amp;BasicInput!$D$8&amp;"_"&amp;CC631&amp;".xuf"</f>
        <v>C:\PWWORKING\east01\d2591108\Basic\__2019EX_PM_.xuf</v>
      </c>
    </row>
    <row r="632" spans="44:82" x14ac:dyDescent="0.2">
      <c r="AR632" s="18"/>
      <c r="AX632" s="18"/>
      <c r="CB632" s="31" t="str">
        <f t="shared" si="26"/>
        <v xml:space="preserve">  </v>
      </c>
      <c r="CC632" s="25" t="str">
        <f t="shared" si="27"/>
        <v/>
      </c>
      <c r="CD632" s="25" t="str">
        <f>BasicInput!$D$13&amp;$CD$2&amp;B632&amp;"_"&amp;C632&amp;D632&amp;"_"&amp;BasicInput!$D$7&amp;BasicInput!$D$8&amp;"_"&amp;CC632&amp;".xuf"</f>
        <v>C:\PWWORKING\east01\d2591108\Basic\__2019EX_PM_.xuf</v>
      </c>
    </row>
    <row r="633" spans="44:82" x14ac:dyDescent="0.2">
      <c r="AR633" s="18"/>
      <c r="AX633" s="18"/>
      <c r="CB633" s="31" t="str">
        <f t="shared" si="26"/>
        <v xml:space="preserve">  </v>
      </c>
      <c r="CC633" s="25" t="str">
        <f t="shared" si="27"/>
        <v/>
      </c>
      <c r="CD633" s="25" t="str">
        <f>BasicInput!$D$13&amp;$CD$2&amp;B633&amp;"_"&amp;C633&amp;D633&amp;"_"&amp;BasicInput!$D$7&amp;BasicInput!$D$8&amp;"_"&amp;CC633&amp;".xuf"</f>
        <v>C:\PWWORKING\east01\d2591108\Basic\__2019EX_PM_.xuf</v>
      </c>
    </row>
    <row r="634" spans="44:82" x14ac:dyDescent="0.2">
      <c r="AR634" s="18"/>
      <c r="AX634" s="18"/>
      <c r="CB634" s="31" t="str">
        <f t="shared" si="26"/>
        <v xml:space="preserve">  </v>
      </c>
      <c r="CC634" s="25" t="str">
        <f t="shared" si="27"/>
        <v/>
      </c>
      <c r="CD634" s="25" t="str">
        <f>BasicInput!$D$13&amp;$CD$2&amp;B634&amp;"_"&amp;C634&amp;D634&amp;"_"&amp;BasicInput!$D$7&amp;BasicInput!$D$8&amp;"_"&amp;CC634&amp;".xuf"</f>
        <v>C:\PWWORKING\east01\d2591108\Basic\__2019EX_PM_.xuf</v>
      </c>
    </row>
    <row r="635" spans="44:82" x14ac:dyDescent="0.2">
      <c r="AR635" s="18"/>
      <c r="AX635" s="18"/>
      <c r="CB635" s="31" t="str">
        <f t="shared" si="26"/>
        <v xml:space="preserve">  </v>
      </c>
      <c r="CC635" s="25" t="str">
        <f t="shared" si="27"/>
        <v/>
      </c>
      <c r="CD635" s="25" t="str">
        <f>BasicInput!$D$13&amp;$CD$2&amp;B635&amp;"_"&amp;C635&amp;D635&amp;"_"&amp;BasicInput!$D$7&amp;BasicInput!$D$8&amp;"_"&amp;CC635&amp;".xuf"</f>
        <v>C:\PWWORKING\east01\d2591108\Basic\__2019EX_PM_.xuf</v>
      </c>
    </row>
    <row r="636" spans="44:82" x14ac:dyDescent="0.2">
      <c r="AR636" s="18"/>
      <c r="AX636" s="18"/>
      <c r="CB636" s="31" t="str">
        <f t="shared" si="26"/>
        <v xml:space="preserve">  </v>
      </c>
      <c r="CC636" s="25" t="str">
        <f t="shared" si="27"/>
        <v/>
      </c>
      <c r="CD636" s="25" t="str">
        <f>BasicInput!$D$13&amp;$CD$2&amp;B636&amp;"_"&amp;C636&amp;D636&amp;"_"&amp;BasicInput!$D$7&amp;BasicInput!$D$8&amp;"_"&amp;CC636&amp;".xuf"</f>
        <v>C:\PWWORKING\east01\d2591108\Basic\__2019EX_PM_.xuf</v>
      </c>
    </row>
    <row r="637" spans="44:82" x14ac:dyDescent="0.2">
      <c r="AR637" s="18"/>
      <c r="AX637" s="18"/>
      <c r="CB637" s="31" t="str">
        <f t="shared" si="26"/>
        <v xml:space="preserve">  </v>
      </c>
      <c r="CC637" s="25" t="str">
        <f t="shared" si="27"/>
        <v/>
      </c>
      <c r="CD637" s="25" t="str">
        <f>BasicInput!$D$13&amp;$CD$2&amp;B637&amp;"_"&amp;C637&amp;D637&amp;"_"&amp;BasicInput!$D$7&amp;BasicInput!$D$8&amp;"_"&amp;CC637&amp;".xuf"</f>
        <v>C:\PWWORKING\east01\d2591108\Basic\__2019EX_PM_.xuf</v>
      </c>
    </row>
    <row r="638" spans="44:82" x14ac:dyDescent="0.2">
      <c r="AR638" s="18"/>
      <c r="AX638" s="18"/>
      <c r="CB638" s="31" t="str">
        <f t="shared" si="26"/>
        <v xml:space="preserve">  </v>
      </c>
      <c r="CC638" s="25" t="str">
        <f t="shared" si="27"/>
        <v/>
      </c>
      <c r="CD638" s="25" t="str">
        <f>BasicInput!$D$13&amp;$CD$2&amp;B638&amp;"_"&amp;C638&amp;D638&amp;"_"&amp;BasicInput!$D$7&amp;BasicInput!$D$8&amp;"_"&amp;CC638&amp;".xuf"</f>
        <v>C:\PWWORKING\east01\d2591108\Basic\__2019EX_PM_.xuf</v>
      </c>
    </row>
    <row r="639" spans="44:82" x14ac:dyDescent="0.2">
      <c r="AR639" s="18"/>
      <c r="AX639" s="18"/>
      <c r="CB639" s="31" t="str">
        <f t="shared" si="26"/>
        <v xml:space="preserve">  </v>
      </c>
      <c r="CC639" s="25" t="str">
        <f t="shared" si="27"/>
        <v/>
      </c>
      <c r="CD639" s="25" t="str">
        <f>BasicInput!$D$13&amp;$CD$2&amp;B639&amp;"_"&amp;C639&amp;D639&amp;"_"&amp;BasicInput!$D$7&amp;BasicInput!$D$8&amp;"_"&amp;CC639&amp;".xuf"</f>
        <v>C:\PWWORKING\east01\d2591108\Basic\__2019EX_PM_.xuf</v>
      </c>
    </row>
    <row r="640" spans="44:82" x14ac:dyDescent="0.2">
      <c r="AR640" s="18"/>
      <c r="AX640" s="18"/>
      <c r="CB640" s="31" t="str">
        <f t="shared" si="26"/>
        <v xml:space="preserve">  </v>
      </c>
      <c r="CC640" s="25" t="str">
        <f t="shared" si="27"/>
        <v/>
      </c>
      <c r="CD640" s="25" t="str">
        <f>BasicInput!$D$13&amp;$CD$2&amp;B640&amp;"_"&amp;C640&amp;D640&amp;"_"&amp;BasicInput!$D$7&amp;BasicInput!$D$8&amp;"_"&amp;CC640&amp;".xuf"</f>
        <v>C:\PWWORKING\east01\d2591108\Basic\__2019EX_PM_.xuf</v>
      </c>
    </row>
    <row r="641" spans="44:82" x14ac:dyDescent="0.2">
      <c r="AR641" s="18"/>
      <c r="AX641" s="18"/>
      <c r="CB641" s="31" t="str">
        <f t="shared" si="26"/>
        <v xml:space="preserve">  </v>
      </c>
      <c r="CC641" s="25" t="str">
        <f t="shared" si="27"/>
        <v/>
      </c>
      <c r="CD641" s="25" t="str">
        <f>BasicInput!$D$13&amp;$CD$2&amp;B641&amp;"_"&amp;C641&amp;D641&amp;"_"&amp;BasicInput!$D$7&amp;BasicInput!$D$8&amp;"_"&amp;CC641&amp;".xuf"</f>
        <v>C:\PWWORKING\east01\d2591108\Basic\__2019EX_PM_.xuf</v>
      </c>
    </row>
    <row r="642" spans="44:82" x14ac:dyDescent="0.2">
      <c r="AR642" s="18"/>
      <c r="AX642" s="18"/>
      <c r="CB642" s="31" t="str">
        <f t="shared" si="26"/>
        <v xml:space="preserve">  </v>
      </c>
      <c r="CC642" s="25" t="str">
        <f t="shared" si="27"/>
        <v/>
      </c>
      <c r="CD642" s="25" t="str">
        <f>BasicInput!$D$13&amp;$CD$2&amp;B642&amp;"_"&amp;C642&amp;D642&amp;"_"&amp;BasicInput!$D$7&amp;BasicInput!$D$8&amp;"_"&amp;CC642&amp;".xuf"</f>
        <v>C:\PWWORKING\east01\d2591108\Basic\__2019EX_PM_.xuf</v>
      </c>
    </row>
    <row r="643" spans="44:82" x14ac:dyDescent="0.2">
      <c r="AR643" s="18"/>
      <c r="AX643" s="18"/>
      <c r="CB643" s="31" t="str">
        <f t="shared" si="26"/>
        <v xml:space="preserve">  </v>
      </c>
      <c r="CC643" s="25" t="str">
        <f t="shared" si="27"/>
        <v/>
      </c>
      <c r="CD643" s="25" t="str">
        <f>BasicInput!$D$13&amp;$CD$2&amp;B643&amp;"_"&amp;C643&amp;D643&amp;"_"&amp;BasicInput!$D$7&amp;BasicInput!$D$8&amp;"_"&amp;CC643&amp;".xuf"</f>
        <v>C:\PWWORKING\east01\d2591108\Basic\__2019EX_PM_.xuf</v>
      </c>
    </row>
    <row r="644" spans="44:82" x14ac:dyDescent="0.2">
      <c r="AR644" s="18"/>
      <c r="AX644" s="18"/>
      <c r="CB644" s="31" t="str">
        <f t="shared" si="26"/>
        <v xml:space="preserve">  </v>
      </c>
      <c r="CC644" s="25" t="str">
        <f t="shared" si="27"/>
        <v/>
      </c>
      <c r="CD644" s="25" t="str">
        <f>BasicInput!$D$13&amp;$CD$2&amp;B644&amp;"_"&amp;C644&amp;D644&amp;"_"&amp;BasicInput!$D$7&amp;BasicInput!$D$8&amp;"_"&amp;CC644&amp;".xuf"</f>
        <v>C:\PWWORKING\east01\d2591108\Basic\__2019EX_PM_.xuf</v>
      </c>
    </row>
    <row r="645" spans="44:82" x14ac:dyDescent="0.2">
      <c r="AR645" s="18"/>
      <c r="AX645" s="18"/>
      <c r="CB645" s="31" t="str">
        <f t="shared" si="26"/>
        <v xml:space="preserve">  </v>
      </c>
      <c r="CC645" s="25" t="str">
        <f t="shared" si="27"/>
        <v/>
      </c>
      <c r="CD645" s="25" t="str">
        <f>BasicInput!$D$13&amp;$CD$2&amp;B645&amp;"_"&amp;C645&amp;D645&amp;"_"&amp;BasicInput!$D$7&amp;BasicInput!$D$8&amp;"_"&amp;CC645&amp;".xuf"</f>
        <v>C:\PWWORKING\east01\d2591108\Basic\__2019EX_PM_.xuf</v>
      </c>
    </row>
    <row r="646" spans="44:82" x14ac:dyDescent="0.2">
      <c r="AR646" s="18"/>
      <c r="AX646" s="18"/>
      <c r="CB646" s="31" t="str">
        <f t="shared" si="26"/>
        <v xml:space="preserve">  </v>
      </c>
      <c r="CC646" s="25" t="str">
        <f t="shared" si="27"/>
        <v/>
      </c>
      <c r="CD646" s="25" t="str">
        <f>BasicInput!$D$13&amp;$CD$2&amp;B646&amp;"_"&amp;C646&amp;D646&amp;"_"&amp;BasicInput!$D$7&amp;BasicInput!$D$8&amp;"_"&amp;CC646&amp;".xuf"</f>
        <v>C:\PWWORKING\east01\d2591108\Basic\__2019EX_PM_.xuf</v>
      </c>
    </row>
    <row r="647" spans="44:82" x14ac:dyDescent="0.2">
      <c r="AR647" s="18"/>
      <c r="AX647" s="18"/>
      <c r="CB647" s="31" t="str">
        <f t="shared" si="26"/>
        <v xml:space="preserve">  </v>
      </c>
      <c r="CC647" s="25" t="str">
        <f t="shared" si="27"/>
        <v/>
      </c>
      <c r="CD647" s="25" t="str">
        <f>BasicInput!$D$13&amp;$CD$2&amp;B647&amp;"_"&amp;C647&amp;D647&amp;"_"&amp;BasicInput!$D$7&amp;BasicInput!$D$8&amp;"_"&amp;CC647&amp;".xuf"</f>
        <v>C:\PWWORKING\east01\d2591108\Basic\__2019EX_PM_.xuf</v>
      </c>
    </row>
    <row r="648" spans="44:82" x14ac:dyDescent="0.2">
      <c r="AR648" s="18"/>
      <c r="AX648" s="18"/>
      <c r="CB648" s="31" t="str">
        <f t="shared" si="26"/>
        <v xml:space="preserve">  </v>
      </c>
      <c r="CC648" s="25" t="str">
        <f t="shared" si="27"/>
        <v/>
      </c>
      <c r="CD648" s="25" t="str">
        <f>BasicInput!$D$13&amp;$CD$2&amp;B648&amp;"_"&amp;C648&amp;D648&amp;"_"&amp;BasicInput!$D$7&amp;BasicInput!$D$8&amp;"_"&amp;CC648&amp;".xuf"</f>
        <v>C:\PWWORKING\east01\d2591108\Basic\__2019EX_PM_.xuf</v>
      </c>
    </row>
    <row r="649" spans="44:82" x14ac:dyDescent="0.2">
      <c r="AR649" s="18"/>
      <c r="AX649" s="18"/>
      <c r="CB649" s="31" t="str">
        <f t="shared" si="26"/>
        <v xml:space="preserve">  </v>
      </c>
      <c r="CC649" s="25" t="str">
        <f t="shared" si="27"/>
        <v/>
      </c>
      <c r="CD649" s="25" t="str">
        <f>BasicInput!$D$13&amp;$CD$2&amp;B649&amp;"_"&amp;C649&amp;D649&amp;"_"&amp;BasicInput!$D$7&amp;BasicInput!$D$8&amp;"_"&amp;CC649&amp;".xuf"</f>
        <v>C:\PWWORKING\east01\d2591108\Basic\__2019EX_PM_.xuf</v>
      </c>
    </row>
    <row r="650" spans="44:82" x14ac:dyDescent="0.2">
      <c r="AR650" s="18"/>
      <c r="AX650" s="18"/>
      <c r="CB650" s="31" t="str">
        <f t="shared" si="26"/>
        <v xml:space="preserve">  </v>
      </c>
      <c r="CC650" s="25" t="str">
        <f t="shared" si="27"/>
        <v/>
      </c>
      <c r="CD650" s="25" t="str">
        <f>BasicInput!$D$13&amp;$CD$2&amp;B650&amp;"_"&amp;C650&amp;D650&amp;"_"&amp;BasicInput!$D$7&amp;BasicInput!$D$8&amp;"_"&amp;CC650&amp;".xuf"</f>
        <v>C:\PWWORKING\east01\d2591108\Basic\__2019EX_PM_.xuf</v>
      </c>
    </row>
    <row r="651" spans="44:82" x14ac:dyDescent="0.2">
      <c r="AR651" s="18"/>
      <c r="AX651" s="18"/>
      <c r="CB651" s="31" t="str">
        <f t="shared" si="26"/>
        <v xml:space="preserve">  </v>
      </c>
      <c r="CC651" s="25" t="str">
        <f t="shared" si="27"/>
        <v/>
      </c>
      <c r="CD651" s="25" t="str">
        <f>BasicInput!$D$13&amp;$CD$2&amp;B651&amp;"_"&amp;C651&amp;D651&amp;"_"&amp;BasicInput!$D$7&amp;BasicInput!$D$8&amp;"_"&amp;CC651&amp;".xuf"</f>
        <v>C:\PWWORKING\east01\d2591108\Basic\__2019EX_PM_.xuf</v>
      </c>
    </row>
    <row r="652" spans="44:82" x14ac:dyDescent="0.2">
      <c r="AR652" s="18"/>
      <c r="AX652" s="18"/>
      <c r="CB652" s="31" t="str">
        <f t="shared" si="26"/>
        <v xml:space="preserve">  </v>
      </c>
      <c r="CC652" s="25" t="str">
        <f t="shared" si="27"/>
        <v/>
      </c>
      <c r="CD652" s="25" t="str">
        <f>BasicInput!$D$13&amp;$CD$2&amp;B652&amp;"_"&amp;C652&amp;D652&amp;"_"&amp;BasicInput!$D$7&amp;BasicInput!$D$8&amp;"_"&amp;CC652&amp;".xuf"</f>
        <v>C:\PWWORKING\east01\d2591108\Basic\__2019EX_PM_.xuf</v>
      </c>
    </row>
    <row r="653" spans="44:82" x14ac:dyDescent="0.2">
      <c r="AR653" s="18"/>
      <c r="AX653" s="18"/>
      <c r="CB653" s="31" t="str">
        <f t="shared" si="26"/>
        <v xml:space="preserve">  </v>
      </c>
      <c r="CC653" s="25" t="str">
        <f t="shared" si="27"/>
        <v/>
      </c>
      <c r="CD653" s="25" t="str">
        <f>BasicInput!$D$13&amp;$CD$2&amp;B653&amp;"_"&amp;C653&amp;D653&amp;"_"&amp;BasicInput!$D$7&amp;BasicInput!$D$8&amp;"_"&amp;CC653&amp;".xuf"</f>
        <v>C:\PWWORKING\east01\d2591108\Basic\__2019EX_PM_.xuf</v>
      </c>
    </row>
    <row r="654" spans="44:82" x14ac:dyDescent="0.2">
      <c r="AR654" s="18"/>
      <c r="AX654" s="18"/>
      <c r="CB654" s="31" t="str">
        <f t="shared" si="26"/>
        <v xml:space="preserve">  </v>
      </c>
      <c r="CC654" s="25" t="str">
        <f t="shared" si="27"/>
        <v/>
      </c>
      <c r="CD654" s="25" t="str">
        <f>BasicInput!$D$13&amp;$CD$2&amp;B654&amp;"_"&amp;C654&amp;D654&amp;"_"&amp;BasicInput!$D$7&amp;BasicInput!$D$8&amp;"_"&amp;CC654&amp;".xuf"</f>
        <v>C:\PWWORKING\east01\d2591108\Basic\__2019EX_PM_.xuf</v>
      </c>
    </row>
    <row r="655" spans="44:82" x14ac:dyDescent="0.2">
      <c r="AR655" s="18"/>
      <c r="AX655" s="18"/>
      <c r="CB655" s="31" t="str">
        <f t="shared" si="26"/>
        <v xml:space="preserve">  </v>
      </c>
      <c r="CC655" s="25" t="str">
        <f t="shared" si="27"/>
        <v/>
      </c>
      <c r="CD655" s="25" t="str">
        <f>BasicInput!$D$13&amp;$CD$2&amp;B655&amp;"_"&amp;C655&amp;D655&amp;"_"&amp;BasicInput!$D$7&amp;BasicInput!$D$8&amp;"_"&amp;CC655&amp;".xuf"</f>
        <v>C:\PWWORKING\east01\d2591108\Basic\__2019EX_PM_.xuf</v>
      </c>
    </row>
    <row r="656" spans="44:82" x14ac:dyDescent="0.2">
      <c r="AR656" s="18"/>
      <c r="AX656" s="18"/>
      <c r="CB656" s="31" t="str">
        <f t="shared" si="26"/>
        <v xml:space="preserve">  </v>
      </c>
      <c r="CC656" s="25" t="str">
        <f t="shared" si="27"/>
        <v/>
      </c>
      <c r="CD656" s="25" t="str">
        <f>BasicInput!$D$13&amp;$CD$2&amp;B656&amp;"_"&amp;C656&amp;D656&amp;"_"&amp;BasicInput!$D$7&amp;BasicInput!$D$8&amp;"_"&amp;CC656&amp;".xuf"</f>
        <v>C:\PWWORKING\east01\d2591108\Basic\__2019EX_PM_.xuf</v>
      </c>
    </row>
    <row r="657" spans="44:82" x14ac:dyDescent="0.2">
      <c r="AR657" s="18"/>
      <c r="AX657" s="18"/>
      <c r="CB657" s="31" t="str">
        <f t="shared" ref="CB657:CB720" si="28">C657&amp; " "&amp;D657&amp;" " &amp;E657</f>
        <v xml:space="preserve">  </v>
      </c>
      <c r="CC657" s="25" t="str">
        <f t="shared" ref="CC657:CC720" si="29">SUBSTITUTE(E657, "/", "_")</f>
        <v/>
      </c>
      <c r="CD657" s="25" t="str">
        <f>BasicInput!$D$13&amp;$CD$2&amp;B657&amp;"_"&amp;C657&amp;D657&amp;"_"&amp;BasicInput!$D$7&amp;BasicInput!$D$8&amp;"_"&amp;CC657&amp;".xuf"</f>
        <v>C:\PWWORKING\east01\d2591108\Basic\__2019EX_PM_.xuf</v>
      </c>
    </row>
    <row r="658" spans="44:82" x14ac:dyDescent="0.2">
      <c r="AR658" s="18"/>
      <c r="AX658" s="18"/>
      <c r="CB658" s="31" t="str">
        <f t="shared" si="28"/>
        <v xml:space="preserve">  </v>
      </c>
      <c r="CC658" s="25" t="str">
        <f t="shared" si="29"/>
        <v/>
      </c>
      <c r="CD658" s="25" t="str">
        <f>BasicInput!$D$13&amp;$CD$2&amp;B658&amp;"_"&amp;C658&amp;D658&amp;"_"&amp;BasicInput!$D$7&amp;BasicInput!$D$8&amp;"_"&amp;CC658&amp;".xuf"</f>
        <v>C:\PWWORKING\east01\d2591108\Basic\__2019EX_PM_.xuf</v>
      </c>
    </row>
    <row r="659" spans="44:82" x14ac:dyDescent="0.2">
      <c r="AR659" s="18"/>
      <c r="AX659" s="18"/>
      <c r="CB659" s="31" t="str">
        <f t="shared" si="28"/>
        <v xml:space="preserve">  </v>
      </c>
      <c r="CC659" s="25" t="str">
        <f t="shared" si="29"/>
        <v/>
      </c>
      <c r="CD659" s="25" t="str">
        <f>BasicInput!$D$13&amp;$CD$2&amp;B659&amp;"_"&amp;C659&amp;D659&amp;"_"&amp;BasicInput!$D$7&amp;BasicInput!$D$8&amp;"_"&amp;CC659&amp;".xuf"</f>
        <v>C:\PWWORKING\east01\d2591108\Basic\__2019EX_PM_.xuf</v>
      </c>
    </row>
    <row r="660" spans="44:82" x14ac:dyDescent="0.2">
      <c r="AR660" s="18"/>
      <c r="AX660" s="18"/>
      <c r="CB660" s="31" t="str">
        <f t="shared" si="28"/>
        <v xml:space="preserve">  </v>
      </c>
      <c r="CC660" s="25" t="str">
        <f t="shared" si="29"/>
        <v/>
      </c>
      <c r="CD660" s="25" t="str">
        <f>BasicInput!$D$13&amp;$CD$2&amp;B660&amp;"_"&amp;C660&amp;D660&amp;"_"&amp;BasicInput!$D$7&amp;BasicInput!$D$8&amp;"_"&amp;CC660&amp;".xuf"</f>
        <v>C:\PWWORKING\east01\d2591108\Basic\__2019EX_PM_.xuf</v>
      </c>
    </row>
    <row r="661" spans="44:82" x14ac:dyDescent="0.2">
      <c r="AR661" s="18"/>
      <c r="AX661" s="18"/>
      <c r="CB661" s="31" t="str">
        <f t="shared" si="28"/>
        <v xml:space="preserve">  </v>
      </c>
      <c r="CC661" s="25" t="str">
        <f t="shared" si="29"/>
        <v/>
      </c>
      <c r="CD661" s="25" t="str">
        <f>BasicInput!$D$13&amp;$CD$2&amp;B661&amp;"_"&amp;C661&amp;D661&amp;"_"&amp;BasicInput!$D$7&amp;BasicInput!$D$8&amp;"_"&amp;CC661&amp;".xuf"</f>
        <v>C:\PWWORKING\east01\d2591108\Basic\__2019EX_PM_.xuf</v>
      </c>
    </row>
    <row r="662" spans="44:82" x14ac:dyDescent="0.2">
      <c r="AR662" s="18"/>
      <c r="AX662" s="18"/>
      <c r="CB662" s="31" t="str">
        <f t="shared" si="28"/>
        <v xml:space="preserve">  </v>
      </c>
      <c r="CC662" s="25" t="str">
        <f t="shared" si="29"/>
        <v/>
      </c>
      <c r="CD662" s="25" t="str">
        <f>BasicInput!$D$13&amp;$CD$2&amp;B662&amp;"_"&amp;C662&amp;D662&amp;"_"&amp;BasicInput!$D$7&amp;BasicInput!$D$8&amp;"_"&amp;CC662&amp;".xuf"</f>
        <v>C:\PWWORKING\east01\d2591108\Basic\__2019EX_PM_.xuf</v>
      </c>
    </row>
    <row r="663" spans="44:82" x14ac:dyDescent="0.2">
      <c r="AR663" s="18"/>
      <c r="AX663" s="18"/>
      <c r="CB663" s="31" t="str">
        <f t="shared" si="28"/>
        <v xml:space="preserve">  </v>
      </c>
      <c r="CC663" s="25" t="str">
        <f t="shared" si="29"/>
        <v/>
      </c>
      <c r="CD663" s="25" t="str">
        <f>BasicInput!$D$13&amp;$CD$2&amp;B663&amp;"_"&amp;C663&amp;D663&amp;"_"&amp;BasicInput!$D$7&amp;BasicInput!$D$8&amp;"_"&amp;CC663&amp;".xuf"</f>
        <v>C:\PWWORKING\east01\d2591108\Basic\__2019EX_PM_.xuf</v>
      </c>
    </row>
    <row r="664" spans="44:82" x14ac:dyDescent="0.2">
      <c r="AR664" s="18"/>
      <c r="AX664" s="18"/>
      <c r="CB664" s="31" t="str">
        <f t="shared" si="28"/>
        <v xml:space="preserve">  </v>
      </c>
      <c r="CC664" s="25" t="str">
        <f t="shared" si="29"/>
        <v/>
      </c>
      <c r="CD664" s="25" t="str">
        <f>BasicInput!$D$13&amp;$CD$2&amp;B664&amp;"_"&amp;C664&amp;D664&amp;"_"&amp;BasicInput!$D$7&amp;BasicInput!$D$8&amp;"_"&amp;CC664&amp;".xuf"</f>
        <v>C:\PWWORKING\east01\d2591108\Basic\__2019EX_PM_.xuf</v>
      </c>
    </row>
    <row r="665" spans="44:82" x14ac:dyDescent="0.2">
      <c r="AR665" s="18"/>
      <c r="AX665" s="18"/>
      <c r="CB665" s="31" t="str">
        <f t="shared" si="28"/>
        <v xml:space="preserve">  </v>
      </c>
      <c r="CC665" s="25" t="str">
        <f t="shared" si="29"/>
        <v/>
      </c>
      <c r="CD665" s="25" t="str">
        <f>BasicInput!$D$13&amp;$CD$2&amp;B665&amp;"_"&amp;C665&amp;D665&amp;"_"&amp;BasicInput!$D$7&amp;BasicInput!$D$8&amp;"_"&amp;CC665&amp;".xuf"</f>
        <v>C:\PWWORKING\east01\d2591108\Basic\__2019EX_PM_.xuf</v>
      </c>
    </row>
    <row r="666" spans="44:82" x14ac:dyDescent="0.2">
      <c r="AR666" s="18"/>
      <c r="AX666" s="18"/>
      <c r="CB666" s="31" t="str">
        <f t="shared" si="28"/>
        <v xml:space="preserve">  </v>
      </c>
      <c r="CC666" s="25" t="str">
        <f t="shared" si="29"/>
        <v/>
      </c>
      <c r="CD666" s="25" t="str">
        <f>BasicInput!$D$13&amp;$CD$2&amp;B666&amp;"_"&amp;C666&amp;D666&amp;"_"&amp;BasicInput!$D$7&amp;BasicInput!$D$8&amp;"_"&amp;CC666&amp;".xuf"</f>
        <v>C:\PWWORKING\east01\d2591108\Basic\__2019EX_PM_.xuf</v>
      </c>
    </row>
    <row r="667" spans="44:82" x14ac:dyDescent="0.2">
      <c r="AR667" s="18"/>
      <c r="AX667" s="18"/>
      <c r="CB667" s="31" t="str">
        <f t="shared" si="28"/>
        <v xml:space="preserve">  </v>
      </c>
      <c r="CC667" s="25" t="str">
        <f t="shared" si="29"/>
        <v/>
      </c>
      <c r="CD667" s="25" t="str">
        <f>BasicInput!$D$13&amp;$CD$2&amp;B667&amp;"_"&amp;C667&amp;D667&amp;"_"&amp;BasicInput!$D$7&amp;BasicInput!$D$8&amp;"_"&amp;CC667&amp;".xuf"</f>
        <v>C:\PWWORKING\east01\d2591108\Basic\__2019EX_PM_.xuf</v>
      </c>
    </row>
    <row r="668" spans="44:82" x14ac:dyDescent="0.2">
      <c r="AR668" s="18"/>
      <c r="AX668" s="18"/>
      <c r="CB668" s="31" t="str">
        <f t="shared" si="28"/>
        <v xml:space="preserve">  </v>
      </c>
      <c r="CC668" s="25" t="str">
        <f t="shared" si="29"/>
        <v/>
      </c>
      <c r="CD668" s="25" t="str">
        <f>BasicInput!$D$13&amp;$CD$2&amp;B668&amp;"_"&amp;C668&amp;D668&amp;"_"&amp;BasicInput!$D$7&amp;BasicInput!$D$8&amp;"_"&amp;CC668&amp;".xuf"</f>
        <v>C:\PWWORKING\east01\d2591108\Basic\__2019EX_PM_.xuf</v>
      </c>
    </row>
    <row r="669" spans="44:82" x14ac:dyDescent="0.2">
      <c r="AR669" s="18"/>
      <c r="AX669" s="18"/>
      <c r="CB669" s="31" t="str">
        <f t="shared" si="28"/>
        <v xml:space="preserve">  </v>
      </c>
      <c r="CC669" s="25" t="str">
        <f t="shared" si="29"/>
        <v/>
      </c>
      <c r="CD669" s="25" t="str">
        <f>BasicInput!$D$13&amp;$CD$2&amp;B669&amp;"_"&amp;C669&amp;D669&amp;"_"&amp;BasicInput!$D$7&amp;BasicInput!$D$8&amp;"_"&amp;CC669&amp;".xuf"</f>
        <v>C:\PWWORKING\east01\d2591108\Basic\__2019EX_PM_.xuf</v>
      </c>
    </row>
    <row r="670" spans="44:82" x14ac:dyDescent="0.2">
      <c r="AR670" s="18"/>
      <c r="AX670" s="18"/>
      <c r="CB670" s="31" t="str">
        <f t="shared" si="28"/>
        <v xml:space="preserve">  </v>
      </c>
      <c r="CC670" s="25" t="str">
        <f t="shared" si="29"/>
        <v/>
      </c>
      <c r="CD670" s="25" t="str">
        <f>BasicInput!$D$13&amp;$CD$2&amp;B670&amp;"_"&amp;C670&amp;D670&amp;"_"&amp;BasicInput!$D$7&amp;BasicInput!$D$8&amp;"_"&amp;CC670&amp;".xuf"</f>
        <v>C:\PWWORKING\east01\d2591108\Basic\__2019EX_PM_.xuf</v>
      </c>
    </row>
    <row r="671" spans="44:82" x14ac:dyDescent="0.2">
      <c r="AR671" s="18"/>
      <c r="AX671" s="18"/>
      <c r="CB671" s="31" t="str">
        <f t="shared" si="28"/>
        <v xml:space="preserve">  </v>
      </c>
      <c r="CC671" s="25" t="str">
        <f t="shared" si="29"/>
        <v/>
      </c>
      <c r="CD671" s="25" t="str">
        <f>BasicInput!$D$13&amp;$CD$2&amp;B671&amp;"_"&amp;C671&amp;D671&amp;"_"&amp;BasicInput!$D$7&amp;BasicInput!$D$8&amp;"_"&amp;CC671&amp;".xuf"</f>
        <v>C:\PWWORKING\east01\d2591108\Basic\__2019EX_PM_.xuf</v>
      </c>
    </row>
    <row r="672" spans="44:82" x14ac:dyDescent="0.2">
      <c r="AR672" s="18"/>
      <c r="AX672" s="18"/>
      <c r="CB672" s="31" t="str">
        <f t="shared" si="28"/>
        <v xml:space="preserve">  </v>
      </c>
      <c r="CC672" s="25" t="str">
        <f t="shared" si="29"/>
        <v/>
      </c>
      <c r="CD672" s="25" t="str">
        <f>BasicInput!$D$13&amp;$CD$2&amp;B672&amp;"_"&amp;C672&amp;D672&amp;"_"&amp;BasicInput!$D$7&amp;BasicInput!$D$8&amp;"_"&amp;CC672&amp;".xuf"</f>
        <v>C:\PWWORKING\east01\d2591108\Basic\__2019EX_PM_.xuf</v>
      </c>
    </row>
    <row r="673" spans="44:82" x14ac:dyDescent="0.2">
      <c r="AR673" s="18"/>
      <c r="AX673" s="18"/>
      <c r="CB673" s="31" t="str">
        <f t="shared" si="28"/>
        <v xml:space="preserve">  </v>
      </c>
      <c r="CC673" s="25" t="str">
        <f t="shared" si="29"/>
        <v/>
      </c>
      <c r="CD673" s="25" t="str">
        <f>BasicInput!$D$13&amp;$CD$2&amp;B673&amp;"_"&amp;C673&amp;D673&amp;"_"&amp;BasicInput!$D$7&amp;BasicInput!$D$8&amp;"_"&amp;CC673&amp;".xuf"</f>
        <v>C:\PWWORKING\east01\d2591108\Basic\__2019EX_PM_.xuf</v>
      </c>
    </row>
    <row r="674" spans="44:82" x14ac:dyDescent="0.2">
      <c r="AR674" s="18"/>
      <c r="AX674" s="18"/>
      <c r="CB674" s="31" t="str">
        <f t="shared" si="28"/>
        <v xml:space="preserve">  </v>
      </c>
      <c r="CC674" s="25" t="str">
        <f t="shared" si="29"/>
        <v/>
      </c>
      <c r="CD674" s="25" t="str">
        <f>BasicInput!$D$13&amp;$CD$2&amp;B674&amp;"_"&amp;C674&amp;D674&amp;"_"&amp;BasicInput!$D$7&amp;BasicInput!$D$8&amp;"_"&amp;CC674&amp;".xuf"</f>
        <v>C:\PWWORKING\east01\d2591108\Basic\__2019EX_PM_.xuf</v>
      </c>
    </row>
    <row r="675" spans="44:82" x14ac:dyDescent="0.2">
      <c r="AR675" s="18"/>
      <c r="AX675" s="18"/>
      <c r="CB675" s="31" t="str">
        <f t="shared" si="28"/>
        <v xml:space="preserve">  </v>
      </c>
      <c r="CC675" s="25" t="str">
        <f t="shared" si="29"/>
        <v/>
      </c>
      <c r="CD675" s="25" t="str">
        <f>BasicInput!$D$13&amp;$CD$2&amp;B675&amp;"_"&amp;C675&amp;D675&amp;"_"&amp;BasicInput!$D$7&amp;BasicInput!$D$8&amp;"_"&amp;CC675&amp;".xuf"</f>
        <v>C:\PWWORKING\east01\d2591108\Basic\__2019EX_PM_.xuf</v>
      </c>
    </row>
    <row r="676" spans="44:82" x14ac:dyDescent="0.2">
      <c r="AR676" s="18"/>
      <c r="AX676" s="18"/>
      <c r="CB676" s="31" t="str">
        <f t="shared" si="28"/>
        <v xml:space="preserve">  </v>
      </c>
      <c r="CC676" s="25" t="str">
        <f t="shared" si="29"/>
        <v/>
      </c>
      <c r="CD676" s="25" t="str">
        <f>BasicInput!$D$13&amp;$CD$2&amp;B676&amp;"_"&amp;C676&amp;D676&amp;"_"&amp;BasicInput!$D$7&amp;BasicInput!$D$8&amp;"_"&amp;CC676&amp;".xuf"</f>
        <v>C:\PWWORKING\east01\d2591108\Basic\__2019EX_PM_.xuf</v>
      </c>
    </row>
    <row r="677" spans="44:82" x14ac:dyDescent="0.2">
      <c r="AR677" s="18"/>
      <c r="AX677" s="18"/>
      <c r="CB677" s="31" t="str">
        <f t="shared" si="28"/>
        <v xml:space="preserve">  </v>
      </c>
      <c r="CC677" s="25" t="str">
        <f t="shared" si="29"/>
        <v/>
      </c>
      <c r="CD677" s="25" t="str">
        <f>BasicInput!$D$13&amp;$CD$2&amp;B677&amp;"_"&amp;C677&amp;D677&amp;"_"&amp;BasicInput!$D$7&amp;BasicInput!$D$8&amp;"_"&amp;CC677&amp;".xuf"</f>
        <v>C:\PWWORKING\east01\d2591108\Basic\__2019EX_PM_.xuf</v>
      </c>
    </row>
    <row r="678" spans="44:82" x14ac:dyDescent="0.2">
      <c r="AR678" s="18"/>
      <c r="AX678" s="18"/>
      <c r="CB678" s="31" t="str">
        <f t="shared" si="28"/>
        <v xml:space="preserve">  </v>
      </c>
      <c r="CC678" s="25" t="str">
        <f t="shared" si="29"/>
        <v/>
      </c>
      <c r="CD678" s="25" t="str">
        <f>BasicInput!$D$13&amp;$CD$2&amp;B678&amp;"_"&amp;C678&amp;D678&amp;"_"&amp;BasicInput!$D$7&amp;BasicInput!$D$8&amp;"_"&amp;CC678&amp;".xuf"</f>
        <v>C:\PWWORKING\east01\d2591108\Basic\__2019EX_PM_.xuf</v>
      </c>
    </row>
    <row r="679" spans="44:82" x14ac:dyDescent="0.2">
      <c r="AR679" s="18"/>
      <c r="AX679" s="18"/>
      <c r="CB679" s="31" t="str">
        <f t="shared" si="28"/>
        <v xml:space="preserve">  </v>
      </c>
      <c r="CC679" s="25" t="str">
        <f t="shared" si="29"/>
        <v/>
      </c>
      <c r="CD679" s="25" t="str">
        <f>BasicInput!$D$13&amp;$CD$2&amp;B679&amp;"_"&amp;C679&amp;D679&amp;"_"&amp;BasicInput!$D$7&amp;BasicInput!$D$8&amp;"_"&amp;CC679&amp;".xuf"</f>
        <v>C:\PWWORKING\east01\d2591108\Basic\__2019EX_PM_.xuf</v>
      </c>
    </row>
    <row r="680" spans="44:82" x14ac:dyDescent="0.2">
      <c r="AR680" s="18"/>
      <c r="AX680" s="18"/>
      <c r="CB680" s="31" t="str">
        <f t="shared" si="28"/>
        <v xml:space="preserve">  </v>
      </c>
      <c r="CC680" s="25" t="str">
        <f t="shared" si="29"/>
        <v/>
      </c>
      <c r="CD680" s="25" t="str">
        <f>BasicInput!$D$13&amp;$CD$2&amp;B680&amp;"_"&amp;C680&amp;D680&amp;"_"&amp;BasicInput!$D$7&amp;BasicInput!$D$8&amp;"_"&amp;CC680&amp;".xuf"</f>
        <v>C:\PWWORKING\east01\d2591108\Basic\__2019EX_PM_.xuf</v>
      </c>
    </row>
    <row r="681" spans="44:82" x14ac:dyDescent="0.2">
      <c r="AR681" s="18"/>
      <c r="AX681" s="18"/>
      <c r="CB681" s="31" t="str">
        <f t="shared" si="28"/>
        <v xml:space="preserve">  </v>
      </c>
      <c r="CC681" s="25" t="str">
        <f t="shared" si="29"/>
        <v/>
      </c>
      <c r="CD681" s="25" t="str">
        <f>BasicInput!$D$13&amp;$CD$2&amp;B681&amp;"_"&amp;C681&amp;D681&amp;"_"&amp;BasicInput!$D$7&amp;BasicInput!$D$8&amp;"_"&amp;CC681&amp;".xuf"</f>
        <v>C:\PWWORKING\east01\d2591108\Basic\__2019EX_PM_.xuf</v>
      </c>
    </row>
    <row r="682" spans="44:82" x14ac:dyDescent="0.2">
      <c r="AR682" s="18"/>
      <c r="AX682" s="18"/>
      <c r="CB682" s="31" t="str">
        <f t="shared" si="28"/>
        <v xml:space="preserve">  </v>
      </c>
      <c r="CC682" s="25" t="str">
        <f t="shared" si="29"/>
        <v/>
      </c>
      <c r="CD682" s="25" t="str">
        <f>BasicInput!$D$13&amp;$CD$2&amp;B682&amp;"_"&amp;C682&amp;D682&amp;"_"&amp;BasicInput!$D$7&amp;BasicInput!$D$8&amp;"_"&amp;CC682&amp;".xuf"</f>
        <v>C:\PWWORKING\east01\d2591108\Basic\__2019EX_PM_.xuf</v>
      </c>
    </row>
    <row r="683" spans="44:82" x14ac:dyDescent="0.2">
      <c r="AR683" s="18"/>
      <c r="AX683" s="18"/>
      <c r="CB683" s="31" t="str">
        <f t="shared" si="28"/>
        <v xml:space="preserve">  </v>
      </c>
      <c r="CC683" s="25" t="str">
        <f t="shared" si="29"/>
        <v/>
      </c>
      <c r="CD683" s="25" t="str">
        <f>BasicInput!$D$13&amp;$CD$2&amp;B683&amp;"_"&amp;C683&amp;D683&amp;"_"&amp;BasicInput!$D$7&amp;BasicInput!$D$8&amp;"_"&amp;CC683&amp;".xuf"</f>
        <v>C:\PWWORKING\east01\d2591108\Basic\__2019EX_PM_.xuf</v>
      </c>
    </row>
    <row r="684" spans="44:82" x14ac:dyDescent="0.2">
      <c r="AR684" s="18"/>
      <c r="AX684" s="18"/>
      <c r="CB684" s="31" t="str">
        <f t="shared" si="28"/>
        <v xml:space="preserve">  </v>
      </c>
      <c r="CC684" s="25" t="str">
        <f t="shared" si="29"/>
        <v/>
      </c>
      <c r="CD684" s="25" t="str">
        <f>BasicInput!$D$13&amp;$CD$2&amp;B684&amp;"_"&amp;C684&amp;D684&amp;"_"&amp;BasicInput!$D$7&amp;BasicInput!$D$8&amp;"_"&amp;CC684&amp;".xuf"</f>
        <v>C:\PWWORKING\east01\d2591108\Basic\__2019EX_PM_.xuf</v>
      </c>
    </row>
    <row r="685" spans="44:82" x14ac:dyDescent="0.2">
      <c r="AR685" s="18"/>
      <c r="AX685" s="18"/>
      <c r="CB685" s="31" t="str">
        <f t="shared" si="28"/>
        <v xml:space="preserve">  </v>
      </c>
      <c r="CC685" s="25" t="str">
        <f t="shared" si="29"/>
        <v/>
      </c>
      <c r="CD685" s="25" t="str">
        <f>BasicInput!$D$13&amp;$CD$2&amp;B685&amp;"_"&amp;C685&amp;D685&amp;"_"&amp;BasicInput!$D$7&amp;BasicInput!$D$8&amp;"_"&amp;CC685&amp;".xuf"</f>
        <v>C:\PWWORKING\east01\d2591108\Basic\__2019EX_PM_.xuf</v>
      </c>
    </row>
    <row r="686" spans="44:82" x14ac:dyDescent="0.2">
      <c r="AR686" s="18"/>
      <c r="AX686" s="18"/>
      <c r="CB686" s="31" t="str">
        <f t="shared" si="28"/>
        <v xml:space="preserve">  </v>
      </c>
      <c r="CC686" s="25" t="str">
        <f t="shared" si="29"/>
        <v/>
      </c>
      <c r="CD686" s="25" t="str">
        <f>BasicInput!$D$13&amp;$CD$2&amp;B686&amp;"_"&amp;C686&amp;D686&amp;"_"&amp;BasicInput!$D$7&amp;BasicInput!$D$8&amp;"_"&amp;CC686&amp;".xuf"</f>
        <v>C:\PWWORKING\east01\d2591108\Basic\__2019EX_PM_.xuf</v>
      </c>
    </row>
    <row r="687" spans="44:82" x14ac:dyDescent="0.2">
      <c r="AR687" s="18"/>
      <c r="AX687" s="18"/>
      <c r="CB687" s="31" t="str">
        <f t="shared" si="28"/>
        <v xml:space="preserve">  </v>
      </c>
      <c r="CC687" s="25" t="str">
        <f t="shared" si="29"/>
        <v/>
      </c>
      <c r="CD687" s="25" t="str">
        <f>BasicInput!$D$13&amp;$CD$2&amp;B687&amp;"_"&amp;C687&amp;D687&amp;"_"&amp;BasicInput!$D$7&amp;BasicInput!$D$8&amp;"_"&amp;CC687&amp;".xuf"</f>
        <v>C:\PWWORKING\east01\d2591108\Basic\__2019EX_PM_.xuf</v>
      </c>
    </row>
    <row r="688" spans="44:82" x14ac:dyDescent="0.2">
      <c r="AR688" s="18"/>
      <c r="AX688" s="18"/>
      <c r="CB688" s="31" t="str">
        <f t="shared" si="28"/>
        <v xml:space="preserve">  </v>
      </c>
      <c r="CC688" s="25" t="str">
        <f t="shared" si="29"/>
        <v/>
      </c>
      <c r="CD688" s="25" t="str">
        <f>BasicInput!$D$13&amp;$CD$2&amp;B688&amp;"_"&amp;C688&amp;D688&amp;"_"&amp;BasicInput!$D$7&amp;BasicInput!$D$8&amp;"_"&amp;CC688&amp;".xuf"</f>
        <v>C:\PWWORKING\east01\d2591108\Basic\__2019EX_PM_.xuf</v>
      </c>
    </row>
    <row r="689" spans="44:82" x14ac:dyDescent="0.2">
      <c r="AR689" s="18"/>
      <c r="AX689" s="18"/>
      <c r="CB689" s="31" t="str">
        <f t="shared" si="28"/>
        <v xml:space="preserve">  </v>
      </c>
      <c r="CC689" s="25" t="str">
        <f t="shared" si="29"/>
        <v/>
      </c>
      <c r="CD689" s="25" t="str">
        <f>BasicInput!$D$13&amp;$CD$2&amp;B689&amp;"_"&amp;C689&amp;D689&amp;"_"&amp;BasicInput!$D$7&amp;BasicInput!$D$8&amp;"_"&amp;CC689&amp;".xuf"</f>
        <v>C:\PWWORKING\east01\d2591108\Basic\__2019EX_PM_.xuf</v>
      </c>
    </row>
    <row r="690" spans="44:82" x14ac:dyDescent="0.2">
      <c r="AR690" s="18"/>
      <c r="AX690" s="18"/>
      <c r="CB690" s="31" t="str">
        <f t="shared" si="28"/>
        <v xml:space="preserve">  </v>
      </c>
      <c r="CC690" s="25" t="str">
        <f t="shared" si="29"/>
        <v/>
      </c>
      <c r="CD690" s="25" t="str">
        <f>BasicInput!$D$13&amp;$CD$2&amp;B690&amp;"_"&amp;C690&amp;D690&amp;"_"&amp;BasicInput!$D$7&amp;BasicInput!$D$8&amp;"_"&amp;CC690&amp;".xuf"</f>
        <v>C:\PWWORKING\east01\d2591108\Basic\__2019EX_PM_.xuf</v>
      </c>
    </row>
    <row r="691" spans="44:82" x14ac:dyDescent="0.2">
      <c r="AR691" s="18"/>
      <c r="AX691" s="18"/>
      <c r="CB691" s="31" t="str">
        <f t="shared" si="28"/>
        <v xml:space="preserve">  </v>
      </c>
      <c r="CC691" s="25" t="str">
        <f t="shared" si="29"/>
        <v/>
      </c>
      <c r="CD691" s="25" t="str">
        <f>BasicInput!$D$13&amp;$CD$2&amp;B691&amp;"_"&amp;C691&amp;D691&amp;"_"&amp;BasicInput!$D$7&amp;BasicInput!$D$8&amp;"_"&amp;CC691&amp;".xuf"</f>
        <v>C:\PWWORKING\east01\d2591108\Basic\__2019EX_PM_.xuf</v>
      </c>
    </row>
    <row r="692" spans="44:82" x14ac:dyDescent="0.2">
      <c r="AR692" s="18"/>
      <c r="AX692" s="18"/>
      <c r="CB692" s="31" t="str">
        <f t="shared" si="28"/>
        <v xml:space="preserve">  </v>
      </c>
      <c r="CC692" s="25" t="str">
        <f t="shared" si="29"/>
        <v/>
      </c>
      <c r="CD692" s="25" t="str">
        <f>BasicInput!$D$13&amp;$CD$2&amp;B692&amp;"_"&amp;C692&amp;D692&amp;"_"&amp;BasicInput!$D$7&amp;BasicInput!$D$8&amp;"_"&amp;CC692&amp;".xuf"</f>
        <v>C:\PWWORKING\east01\d2591108\Basic\__2019EX_PM_.xuf</v>
      </c>
    </row>
    <row r="693" spans="44:82" x14ac:dyDescent="0.2">
      <c r="AR693" s="18"/>
      <c r="AX693" s="18"/>
      <c r="CB693" s="31" t="str">
        <f t="shared" si="28"/>
        <v xml:space="preserve">  </v>
      </c>
      <c r="CC693" s="25" t="str">
        <f t="shared" si="29"/>
        <v/>
      </c>
      <c r="CD693" s="25" t="str">
        <f>BasicInput!$D$13&amp;$CD$2&amp;B693&amp;"_"&amp;C693&amp;D693&amp;"_"&amp;BasicInput!$D$7&amp;BasicInput!$D$8&amp;"_"&amp;CC693&amp;".xuf"</f>
        <v>C:\PWWORKING\east01\d2591108\Basic\__2019EX_PM_.xuf</v>
      </c>
    </row>
    <row r="694" spans="44:82" x14ac:dyDescent="0.2">
      <c r="AR694" s="18"/>
      <c r="AX694" s="18"/>
      <c r="CB694" s="31" t="str">
        <f t="shared" si="28"/>
        <v xml:space="preserve">  </v>
      </c>
      <c r="CC694" s="25" t="str">
        <f t="shared" si="29"/>
        <v/>
      </c>
      <c r="CD694" s="25" t="str">
        <f>BasicInput!$D$13&amp;$CD$2&amp;B694&amp;"_"&amp;C694&amp;D694&amp;"_"&amp;BasicInput!$D$7&amp;BasicInput!$D$8&amp;"_"&amp;CC694&amp;".xuf"</f>
        <v>C:\PWWORKING\east01\d2591108\Basic\__2019EX_PM_.xuf</v>
      </c>
    </row>
    <row r="695" spans="44:82" x14ac:dyDescent="0.2">
      <c r="AR695" s="18"/>
      <c r="AX695" s="18"/>
      <c r="CB695" s="31" t="str">
        <f t="shared" si="28"/>
        <v xml:space="preserve">  </v>
      </c>
      <c r="CC695" s="25" t="str">
        <f t="shared" si="29"/>
        <v/>
      </c>
      <c r="CD695" s="25" t="str">
        <f>BasicInput!$D$13&amp;$CD$2&amp;B695&amp;"_"&amp;C695&amp;D695&amp;"_"&amp;BasicInput!$D$7&amp;BasicInput!$D$8&amp;"_"&amp;CC695&amp;".xuf"</f>
        <v>C:\PWWORKING\east01\d2591108\Basic\__2019EX_PM_.xuf</v>
      </c>
    </row>
    <row r="696" spans="44:82" x14ac:dyDescent="0.2">
      <c r="AR696" s="18"/>
      <c r="AX696" s="18"/>
      <c r="CB696" s="31" t="str">
        <f t="shared" si="28"/>
        <v xml:space="preserve">  </v>
      </c>
      <c r="CC696" s="25" t="str">
        <f t="shared" si="29"/>
        <v/>
      </c>
      <c r="CD696" s="25" t="str">
        <f>BasicInput!$D$13&amp;$CD$2&amp;B696&amp;"_"&amp;C696&amp;D696&amp;"_"&amp;BasicInput!$D$7&amp;BasicInput!$D$8&amp;"_"&amp;CC696&amp;".xuf"</f>
        <v>C:\PWWORKING\east01\d2591108\Basic\__2019EX_PM_.xuf</v>
      </c>
    </row>
    <row r="697" spans="44:82" x14ac:dyDescent="0.2">
      <c r="AR697" s="18"/>
      <c r="AX697" s="18"/>
      <c r="CB697" s="31" t="str">
        <f t="shared" si="28"/>
        <v xml:space="preserve">  </v>
      </c>
      <c r="CC697" s="25" t="str">
        <f t="shared" si="29"/>
        <v/>
      </c>
      <c r="CD697" s="25" t="str">
        <f>BasicInput!$D$13&amp;$CD$2&amp;B697&amp;"_"&amp;C697&amp;D697&amp;"_"&amp;BasicInput!$D$7&amp;BasicInput!$D$8&amp;"_"&amp;CC697&amp;".xuf"</f>
        <v>C:\PWWORKING\east01\d2591108\Basic\__2019EX_PM_.xuf</v>
      </c>
    </row>
    <row r="698" spans="44:82" x14ac:dyDescent="0.2">
      <c r="AR698" s="18"/>
      <c r="AX698" s="18"/>
      <c r="CB698" s="31" t="str">
        <f t="shared" si="28"/>
        <v xml:space="preserve">  </v>
      </c>
      <c r="CC698" s="25" t="str">
        <f t="shared" si="29"/>
        <v/>
      </c>
      <c r="CD698" s="25" t="str">
        <f>BasicInput!$D$13&amp;$CD$2&amp;B698&amp;"_"&amp;C698&amp;D698&amp;"_"&amp;BasicInput!$D$7&amp;BasicInput!$D$8&amp;"_"&amp;CC698&amp;".xuf"</f>
        <v>C:\PWWORKING\east01\d2591108\Basic\__2019EX_PM_.xuf</v>
      </c>
    </row>
    <row r="699" spans="44:82" x14ac:dyDescent="0.2">
      <c r="AR699" s="18"/>
      <c r="AX699" s="18"/>
      <c r="CB699" s="31" t="str">
        <f t="shared" si="28"/>
        <v xml:space="preserve">  </v>
      </c>
      <c r="CC699" s="25" t="str">
        <f t="shared" si="29"/>
        <v/>
      </c>
      <c r="CD699" s="25" t="str">
        <f>BasicInput!$D$13&amp;$CD$2&amp;B699&amp;"_"&amp;C699&amp;D699&amp;"_"&amp;BasicInput!$D$7&amp;BasicInput!$D$8&amp;"_"&amp;CC699&amp;".xuf"</f>
        <v>C:\PWWORKING\east01\d2591108\Basic\__2019EX_PM_.xuf</v>
      </c>
    </row>
    <row r="700" spans="44:82" x14ac:dyDescent="0.2">
      <c r="AR700" s="18"/>
      <c r="AX700" s="18"/>
      <c r="CB700" s="31" t="str">
        <f t="shared" si="28"/>
        <v xml:space="preserve">  </v>
      </c>
      <c r="CC700" s="25" t="str">
        <f t="shared" si="29"/>
        <v/>
      </c>
      <c r="CD700" s="25" t="str">
        <f>BasicInput!$D$13&amp;$CD$2&amp;B700&amp;"_"&amp;C700&amp;D700&amp;"_"&amp;BasicInput!$D$7&amp;BasicInput!$D$8&amp;"_"&amp;CC700&amp;".xuf"</f>
        <v>C:\PWWORKING\east01\d2591108\Basic\__2019EX_PM_.xuf</v>
      </c>
    </row>
    <row r="701" spans="44:82" x14ac:dyDescent="0.2">
      <c r="AR701" s="18"/>
      <c r="AX701" s="18"/>
      <c r="CB701" s="31" t="str">
        <f t="shared" si="28"/>
        <v xml:space="preserve">  </v>
      </c>
      <c r="CC701" s="25" t="str">
        <f t="shared" si="29"/>
        <v/>
      </c>
      <c r="CD701" s="25" t="str">
        <f>BasicInput!$D$13&amp;$CD$2&amp;B701&amp;"_"&amp;C701&amp;D701&amp;"_"&amp;BasicInput!$D$7&amp;BasicInput!$D$8&amp;"_"&amp;CC701&amp;".xuf"</f>
        <v>C:\PWWORKING\east01\d2591108\Basic\__2019EX_PM_.xuf</v>
      </c>
    </row>
    <row r="702" spans="44:82" x14ac:dyDescent="0.2">
      <c r="AR702" s="18"/>
      <c r="AX702" s="18"/>
      <c r="CB702" s="31" t="str">
        <f t="shared" si="28"/>
        <v xml:space="preserve">  </v>
      </c>
      <c r="CC702" s="25" t="str">
        <f t="shared" si="29"/>
        <v/>
      </c>
      <c r="CD702" s="25" t="str">
        <f>BasicInput!$D$13&amp;$CD$2&amp;B702&amp;"_"&amp;C702&amp;D702&amp;"_"&amp;BasicInput!$D$7&amp;BasicInput!$D$8&amp;"_"&amp;CC702&amp;".xuf"</f>
        <v>C:\PWWORKING\east01\d2591108\Basic\__2019EX_PM_.xuf</v>
      </c>
    </row>
    <row r="703" spans="44:82" x14ac:dyDescent="0.2">
      <c r="AR703" s="18"/>
      <c r="AX703" s="18"/>
      <c r="CB703" s="31" t="str">
        <f t="shared" si="28"/>
        <v xml:space="preserve">  </v>
      </c>
      <c r="CC703" s="25" t="str">
        <f t="shared" si="29"/>
        <v/>
      </c>
      <c r="CD703" s="25" t="str">
        <f>BasicInput!$D$13&amp;$CD$2&amp;B703&amp;"_"&amp;C703&amp;D703&amp;"_"&amp;BasicInput!$D$7&amp;BasicInput!$D$8&amp;"_"&amp;CC703&amp;".xuf"</f>
        <v>C:\PWWORKING\east01\d2591108\Basic\__2019EX_PM_.xuf</v>
      </c>
    </row>
    <row r="704" spans="44:82" x14ac:dyDescent="0.2">
      <c r="AR704" s="18"/>
      <c r="AX704" s="18"/>
      <c r="CB704" s="31" t="str">
        <f t="shared" si="28"/>
        <v xml:space="preserve">  </v>
      </c>
      <c r="CC704" s="25" t="str">
        <f t="shared" si="29"/>
        <v/>
      </c>
      <c r="CD704" s="25" t="str">
        <f>BasicInput!$D$13&amp;$CD$2&amp;B704&amp;"_"&amp;C704&amp;D704&amp;"_"&amp;BasicInput!$D$7&amp;BasicInput!$D$8&amp;"_"&amp;CC704&amp;".xuf"</f>
        <v>C:\PWWORKING\east01\d2591108\Basic\__2019EX_PM_.xuf</v>
      </c>
    </row>
    <row r="705" spans="44:82" x14ac:dyDescent="0.2">
      <c r="AR705" s="18"/>
      <c r="AX705" s="18"/>
      <c r="CB705" s="31" t="str">
        <f t="shared" si="28"/>
        <v xml:space="preserve">  </v>
      </c>
      <c r="CC705" s="25" t="str">
        <f t="shared" si="29"/>
        <v/>
      </c>
      <c r="CD705" s="25" t="str">
        <f>BasicInput!$D$13&amp;$CD$2&amp;B705&amp;"_"&amp;C705&amp;D705&amp;"_"&amp;BasicInput!$D$7&amp;BasicInput!$D$8&amp;"_"&amp;CC705&amp;".xuf"</f>
        <v>C:\PWWORKING\east01\d2591108\Basic\__2019EX_PM_.xuf</v>
      </c>
    </row>
    <row r="706" spans="44:82" x14ac:dyDescent="0.2">
      <c r="AR706" s="18"/>
      <c r="AX706" s="18"/>
      <c r="CB706" s="31" t="str">
        <f t="shared" si="28"/>
        <v xml:space="preserve">  </v>
      </c>
      <c r="CC706" s="25" t="str">
        <f t="shared" si="29"/>
        <v/>
      </c>
      <c r="CD706" s="25" t="str">
        <f>BasicInput!$D$13&amp;$CD$2&amp;B706&amp;"_"&amp;C706&amp;D706&amp;"_"&amp;BasicInput!$D$7&amp;BasicInput!$D$8&amp;"_"&amp;CC706&amp;".xuf"</f>
        <v>C:\PWWORKING\east01\d2591108\Basic\__2019EX_PM_.xuf</v>
      </c>
    </row>
    <row r="707" spans="44:82" x14ac:dyDescent="0.2">
      <c r="AR707" s="18"/>
      <c r="AX707" s="18"/>
      <c r="CB707" s="31" t="str">
        <f t="shared" si="28"/>
        <v xml:space="preserve">  </v>
      </c>
      <c r="CC707" s="25" t="str">
        <f t="shared" si="29"/>
        <v/>
      </c>
      <c r="CD707" s="25" t="str">
        <f>BasicInput!$D$13&amp;$CD$2&amp;B707&amp;"_"&amp;C707&amp;D707&amp;"_"&amp;BasicInput!$D$7&amp;BasicInput!$D$8&amp;"_"&amp;CC707&amp;".xuf"</f>
        <v>C:\PWWORKING\east01\d2591108\Basic\__2019EX_PM_.xuf</v>
      </c>
    </row>
    <row r="708" spans="44:82" x14ac:dyDescent="0.2">
      <c r="AR708" s="18"/>
      <c r="AX708" s="18"/>
      <c r="CB708" s="31" t="str">
        <f t="shared" si="28"/>
        <v xml:space="preserve">  </v>
      </c>
      <c r="CC708" s="25" t="str">
        <f t="shared" si="29"/>
        <v/>
      </c>
      <c r="CD708" s="25" t="str">
        <f>BasicInput!$D$13&amp;$CD$2&amp;B708&amp;"_"&amp;C708&amp;D708&amp;"_"&amp;BasicInput!$D$7&amp;BasicInput!$D$8&amp;"_"&amp;CC708&amp;".xuf"</f>
        <v>C:\PWWORKING\east01\d2591108\Basic\__2019EX_PM_.xuf</v>
      </c>
    </row>
    <row r="709" spans="44:82" x14ac:dyDescent="0.2">
      <c r="AR709" s="18"/>
      <c r="AX709" s="18"/>
      <c r="CB709" s="31" t="str">
        <f t="shared" si="28"/>
        <v xml:space="preserve">  </v>
      </c>
      <c r="CC709" s="25" t="str">
        <f t="shared" si="29"/>
        <v/>
      </c>
      <c r="CD709" s="25" t="str">
        <f>BasicInput!$D$13&amp;$CD$2&amp;B709&amp;"_"&amp;C709&amp;D709&amp;"_"&amp;BasicInput!$D$7&amp;BasicInput!$D$8&amp;"_"&amp;CC709&amp;".xuf"</f>
        <v>C:\PWWORKING\east01\d2591108\Basic\__2019EX_PM_.xuf</v>
      </c>
    </row>
    <row r="710" spans="44:82" x14ac:dyDescent="0.2">
      <c r="AR710" s="18"/>
      <c r="AX710" s="18"/>
      <c r="CB710" s="31" t="str">
        <f t="shared" si="28"/>
        <v xml:space="preserve">  </v>
      </c>
      <c r="CC710" s="25" t="str">
        <f t="shared" si="29"/>
        <v/>
      </c>
      <c r="CD710" s="25" t="str">
        <f>BasicInput!$D$13&amp;$CD$2&amp;B710&amp;"_"&amp;C710&amp;D710&amp;"_"&amp;BasicInput!$D$7&amp;BasicInput!$D$8&amp;"_"&amp;CC710&amp;".xuf"</f>
        <v>C:\PWWORKING\east01\d2591108\Basic\__2019EX_PM_.xuf</v>
      </c>
    </row>
    <row r="711" spans="44:82" x14ac:dyDescent="0.2">
      <c r="AR711" s="18"/>
      <c r="AX711" s="18"/>
      <c r="CB711" s="31" t="str">
        <f t="shared" si="28"/>
        <v xml:space="preserve">  </v>
      </c>
      <c r="CC711" s="25" t="str">
        <f t="shared" si="29"/>
        <v/>
      </c>
      <c r="CD711" s="25" t="str">
        <f>BasicInput!$D$13&amp;$CD$2&amp;B711&amp;"_"&amp;C711&amp;D711&amp;"_"&amp;BasicInput!$D$7&amp;BasicInput!$D$8&amp;"_"&amp;CC711&amp;".xuf"</f>
        <v>C:\PWWORKING\east01\d2591108\Basic\__2019EX_PM_.xuf</v>
      </c>
    </row>
    <row r="712" spans="44:82" x14ac:dyDescent="0.2">
      <c r="AR712" s="18"/>
      <c r="AX712" s="18"/>
      <c r="CB712" s="31" t="str">
        <f t="shared" si="28"/>
        <v xml:space="preserve">  </v>
      </c>
      <c r="CC712" s="25" t="str">
        <f t="shared" si="29"/>
        <v/>
      </c>
      <c r="CD712" s="25" t="str">
        <f>BasicInput!$D$13&amp;$CD$2&amp;B712&amp;"_"&amp;C712&amp;D712&amp;"_"&amp;BasicInput!$D$7&amp;BasicInput!$D$8&amp;"_"&amp;CC712&amp;".xuf"</f>
        <v>C:\PWWORKING\east01\d2591108\Basic\__2019EX_PM_.xuf</v>
      </c>
    </row>
    <row r="713" spans="44:82" x14ac:dyDescent="0.2">
      <c r="AR713" s="18"/>
      <c r="AX713" s="18"/>
      <c r="CB713" s="31" t="str">
        <f t="shared" si="28"/>
        <v xml:space="preserve">  </v>
      </c>
      <c r="CC713" s="25" t="str">
        <f t="shared" si="29"/>
        <v/>
      </c>
      <c r="CD713" s="25" t="str">
        <f>BasicInput!$D$13&amp;$CD$2&amp;B713&amp;"_"&amp;C713&amp;D713&amp;"_"&amp;BasicInput!$D$7&amp;BasicInput!$D$8&amp;"_"&amp;CC713&amp;".xuf"</f>
        <v>C:\PWWORKING\east01\d2591108\Basic\__2019EX_PM_.xuf</v>
      </c>
    </row>
    <row r="714" spans="44:82" x14ac:dyDescent="0.2">
      <c r="AR714" s="18"/>
      <c r="AX714" s="18"/>
      <c r="CB714" s="31" t="str">
        <f t="shared" si="28"/>
        <v xml:space="preserve">  </v>
      </c>
      <c r="CC714" s="25" t="str">
        <f t="shared" si="29"/>
        <v/>
      </c>
      <c r="CD714" s="25" t="str">
        <f>BasicInput!$D$13&amp;$CD$2&amp;B714&amp;"_"&amp;C714&amp;D714&amp;"_"&amp;BasicInput!$D$7&amp;BasicInput!$D$8&amp;"_"&amp;CC714&amp;".xuf"</f>
        <v>C:\PWWORKING\east01\d2591108\Basic\__2019EX_PM_.xuf</v>
      </c>
    </row>
    <row r="715" spans="44:82" x14ac:dyDescent="0.2">
      <c r="AR715" s="18"/>
      <c r="AX715" s="18"/>
      <c r="CB715" s="31" t="str">
        <f t="shared" si="28"/>
        <v xml:space="preserve">  </v>
      </c>
      <c r="CC715" s="25" t="str">
        <f t="shared" si="29"/>
        <v/>
      </c>
      <c r="CD715" s="25" t="str">
        <f>BasicInput!$D$13&amp;$CD$2&amp;B715&amp;"_"&amp;C715&amp;D715&amp;"_"&amp;BasicInput!$D$7&amp;BasicInput!$D$8&amp;"_"&amp;CC715&amp;".xuf"</f>
        <v>C:\PWWORKING\east01\d2591108\Basic\__2019EX_PM_.xuf</v>
      </c>
    </row>
    <row r="716" spans="44:82" x14ac:dyDescent="0.2">
      <c r="AR716" s="18"/>
      <c r="AX716" s="18"/>
      <c r="CB716" s="31" t="str">
        <f t="shared" si="28"/>
        <v xml:space="preserve">  </v>
      </c>
      <c r="CC716" s="25" t="str">
        <f t="shared" si="29"/>
        <v/>
      </c>
      <c r="CD716" s="25" t="str">
        <f>BasicInput!$D$13&amp;$CD$2&amp;B716&amp;"_"&amp;C716&amp;D716&amp;"_"&amp;BasicInput!$D$7&amp;BasicInput!$D$8&amp;"_"&amp;CC716&amp;".xuf"</f>
        <v>C:\PWWORKING\east01\d2591108\Basic\__2019EX_PM_.xuf</v>
      </c>
    </row>
    <row r="717" spans="44:82" x14ac:dyDescent="0.2">
      <c r="AR717" s="18"/>
      <c r="AX717" s="18"/>
      <c r="CB717" s="31" t="str">
        <f t="shared" si="28"/>
        <v xml:space="preserve">  </v>
      </c>
      <c r="CC717" s="25" t="str">
        <f t="shared" si="29"/>
        <v/>
      </c>
      <c r="CD717" s="25" t="str">
        <f>BasicInput!$D$13&amp;$CD$2&amp;B717&amp;"_"&amp;C717&amp;D717&amp;"_"&amp;BasicInput!$D$7&amp;BasicInput!$D$8&amp;"_"&amp;CC717&amp;".xuf"</f>
        <v>C:\PWWORKING\east01\d2591108\Basic\__2019EX_PM_.xuf</v>
      </c>
    </row>
    <row r="718" spans="44:82" x14ac:dyDescent="0.2">
      <c r="AR718" s="18"/>
      <c r="AX718" s="18"/>
      <c r="CB718" s="31" t="str">
        <f t="shared" si="28"/>
        <v xml:space="preserve">  </v>
      </c>
      <c r="CC718" s="25" t="str">
        <f t="shared" si="29"/>
        <v/>
      </c>
      <c r="CD718" s="25" t="str">
        <f>BasicInput!$D$13&amp;$CD$2&amp;B718&amp;"_"&amp;C718&amp;D718&amp;"_"&amp;BasicInput!$D$7&amp;BasicInput!$D$8&amp;"_"&amp;CC718&amp;".xuf"</f>
        <v>C:\PWWORKING\east01\d2591108\Basic\__2019EX_PM_.xuf</v>
      </c>
    </row>
    <row r="719" spans="44:82" x14ac:dyDescent="0.2">
      <c r="AR719" s="18"/>
      <c r="AX719" s="18"/>
      <c r="CB719" s="31" t="str">
        <f t="shared" si="28"/>
        <v xml:space="preserve">  </v>
      </c>
      <c r="CC719" s="25" t="str">
        <f t="shared" si="29"/>
        <v/>
      </c>
      <c r="CD719" s="25" t="str">
        <f>BasicInput!$D$13&amp;$CD$2&amp;B719&amp;"_"&amp;C719&amp;D719&amp;"_"&amp;BasicInput!$D$7&amp;BasicInput!$D$8&amp;"_"&amp;CC719&amp;".xuf"</f>
        <v>C:\PWWORKING\east01\d2591108\Basic\__2019EX_PM_.xuf</v>
      </c>
    </row>
    <row r="720" spans="44:82" x14ac:dyDescent="0.2">
      <c r="AR720" s="18"/>
      <c r="AX720" s="18"/>
      <c r="CB720" s="31" t="str">
        <f t="shared" si="28"/>
        <v xml:space="preserve">  </v>
      </c>
      <c r="CC720" s="25" t="str">
        <f t="shared" si="29"/>
        <v/>
      </c>
      <c r="CD720" s="25" t="str">
        <f>BasicInput!$D$13&amp;$CD$2&amp;B720&amp;"_"&amp;C720&amp;D720&amp;"_"&amp;BasicInput!$D$7&amp;BasicInput!$D$8&amp;"_"&amp;CC720&amp;".xuf"</f>
        <v>C:\PWWORKING\east01\d2591108\Basic\__2019EX_PM_.xuf</v>
      </c>
    </row>
    <row r="721" spans="44:82" x14ac:dyDescent="0.2">
      <c r="AR721" s="18"/>
      <c r="AX721" s="18"/>
      <c r="CB721" s="31" t="str">
        <f t="shared" ref="CB721:CB784" si="30">C721&amp; " "&amp;D721&amp;" " &amp;E721</f>
        <v xml:space="preserve">  </v>
      </c>
      <c r="CC721" s="25" t="str">
        <f t="shared" ref="CC721:CC784" si="31">SUBSTITUTE(E721, "/", "_")</f>
        <v/>
      </c>
      <c r="CD721" s="25" t="str">
        <f>BasicInput!$D$13&amp;$CD$2&amp;B721&amp;"_"&amp;C721&amp;D721&amp;"_"&amp;BasicInput!$D$7&amp;BasicInput!$D$8&amp;"_"&amp;CC721&amp;".xuf"</f>
        <v>C:\PWWORKING\east01\d2591108\Basic\__2019EX_PM_.xuf</v>
      </c>
    </row>
    <row r="722" spans="44:82" x14ac:dyDescent="0.2">
      <c r="AR722" s="18"/>
      <c r="AX722" s="18"/>
      <c r="CB722" s="31" t="str">
        <f t="shared" si="30"/>
        <v xml:space="preserve">  </v>
      </c>
      <c r="CC722" s="25" t="str">
        <f t="shared" si="31"/>
        <v/>
      </c>
      <c r="CD722" s="25" t="str">
        <f>BasicInput!$D$13&amp;$CD$2&amp;B722&amp;"_"&amp;C722&amp;D722&amp;"_"&amp;BasicInput!$D$7&amp;BasicInput!$D$8&amp;"_"&amp;CC722&amp;".xuf"</f>
        <v>C:\PWWORKING\east01\d2591108\Basic\__2019EX_PM_.xuf</v>
      </c>
    </row>
    <row r="723" spans="44:82" x14ac:dyDescent="0.2">
      <c r="AR723" s="18"/>
      <c r="AX723" s="18"/>
      <c r="CB723" s="31" t="str">
        <f t="shared" si="30"/>
        <v xml:space="preserve">  </v>
      </c>
      <c r="CC723" s="25" t="str">
        <f t="shared" si="31"/>
        <v/>
      </c>
      <c r="CD723" s="25" t="str">
        <f>BasicInput!$D$13&amp;$CD$2&amp;B723&amp;"_"&amp;C723&amp;D723&amp;"_"&amp;BasicInput!$D$7&amp;BasicInput!$D$8&amp;"_"&amp;CC723&amp;".xuf"</f>
        <v>C:\PWWORKING\east01\d2591108\Basic\__2019EX_PM_.xuf</v>
      </c>
    </row>
    <row r="724" spans="44:82" x14ac:dyDescent="0.2">
      <c r="AR724" s="18"/>
      <c r="AX724" s="18"/>
      <c r="CB724" s="31" t="str">
        <f t="shared" si="30"/>
        <v xml:space="preserve">  </v>
      </c>
      <c r="CC724" s="25" t="str">
        <f t="shared" si="31"/>
        <v/>
      </c>
      <c r="CD724" s="25" t="str">
        <f>BasicInput!$D$13&amp;$CD$2&amp;B724&amp;"_"&amp;C724&amp;D724&amp;"_"&amp;BasicInput!$D$7&amp;BasicInput!$D$8&amp;"_"&amp;CC724&amp;".xuf"</f>
        <v>C:\PWWORKING\east01\d2591108\Basic\__2019EX_PM_.xuf</v>
      </c>
    </row>
    <row r="725" spans="44:82" x14ac:dyDescent="0.2">
      <c r="AR725" s="18"/>
      <c r="AX725" s="18"/>
      <c r="CB725" s="31" t="str">
        <f t="shared" si="30"/>
        <v xml:space="preserve">  </v>
      </c>
      <c r="CC725" s="25" t="str">
        <f t="shared" si="31"/>
        <v/>
      </c>
      <c r="CD725" s="25" t="str">
        <f>BasicInput!$D$13&amp;$CD$2&amp;B725&amp;"_"&amp;C725&amp;D725&amp;"_"&amp;BasicInput!$D$7&amp;BasicInput!$D$8&amp;"_"&amp;CC725&amp;".xuf"</f>
        <v>C:\PWWORKING\east01\d2591108\Basic\__2019EX_PM_.xuf</v>
      </c>
    </row>
    <row r="726" spans="44:82" x14ac:dyDescent="0.2">
      <c r="AR726" s="18"/>
      <c r="AX726" s="18"/>
      <c r="CB726" s="31" t="str">
        <f t="shared" si="30"/>
        <v xml:space="preserve">  </v>
      </c>
      <c r="CC726" s="25" t="str">
        <f t="shared" si="31"/>
        <v/>
      </c>
      <c r="CD726" s="25" t="str">
        <f>BasicInput!$D$13&amp;$CD$2&amp;B726&amp;"_"&amp;C726&amp;D726&amp;"_"&amp;BasicInput!$D$7&amp;BasicInput!$D$8&amp;"_"&amp;CC726&amp;".xuf"</f>
        <v>C:\PWWORKING\east01\d2591108\Basic\__2019EX_PM_.xuf</v>
      </c>
    </row>
    <row r="727" spans="44:82" x14ac:dyDescent="0.2">
      <c r="AR727" s="18"/>
      <c r="AX727" s="18"/>
      <c r="CB727" s="31" t="str">
        <f t="shared" si="30"/>
        <v xml:space="preserve">  </v>
      </c>
      <c r="CC727" s="25" t="str">
        <f t="shared" si="31"/>
        <v/>
      </c>
      <c r="CD727" s="25" t="str">
        <f>BasicInput!$D$13&amp;$CD$2&amp;B727&amp;"_"&amp;C727&amp;D727&amp;"_"&amp;BasicInput!$D$7&amp;BasicInput!$D$8&amp;"_"&amp;CC727&amp;".xuf"</f>
        <v>C:\PWWORKING\east01\d2591108\Basic\__2019EX_PM_.xuf</v>
      </c>
    </row>
    <row r="728" spans="44:82" x14ac:dyDescent="0.2">
      <c r="AR728" s="18"/>
      <c r="AX728" s="18"/>
      <c r="CB728" s="31" t="str">
        <f t="shared" si="30"/>
        <v xml:space="preserve">  </v>
      </c>
      <c r="CC728" s="25" t="str">
        <f t="shared" si="31"/>
        <v/>
      </c>
      <c r="CD728" s="25" t="str">
        <f>BasicInput!$D$13&amp;$CD$2&amp;B728&amp;"_"&amp;C728&amp;D728&amp;"_"&amp;BasicInput!$D$7&amp;BasicInput!$D$8&amp;"_"&amp;CC728&amp;".xuf"</f>
        <v>C:\PWWORKING\east01\d2591108\Basic\__2019EX_PM_.xuf</v>
      </c>
    </row>
    <row r="729" spans="44:82" x14ac:dyDescent="0.2">
      <c r="AR729" s="18"/>
      <c r="AX729" s="18"/>
      <c r="CB729" s="31" t="str">
        <f t="shared" si="30"/>
        <v xml:space="preserve">  </v>
      </c>
      <c r="CC729" s="25" t="str">
        <f t="shared" si="31"/>
        <v/>
      </c>
      <c r="CD729" s="25" t="str">
        <f>BasicInput!$D$13&amp;$CD$2&amp;B729&amp;"_"&amp;C729&amp;D729&amp;"_"&amp;BasicInput!$D$7&amp;BasicInput!$D$8&amp;"_"&amp;CC729&amp;".xuf"</f>
        <v>C:\PWWORKING\east01\d2591108\Basic\__2019EX_PM_.xuf</v>
      </c>
    </row>
    <row r="730" spans="44:82" x14ac:dyDescent="0.2">
      <c r="AR730" s="18"/>
      <c r="AX730" s="18"/>
      <c r="CB730" s="31" t="str">
        <f t="shared" si="30"/>
        <v xml:space="preserve">  </v>
      </c>
      <c r="CC730" s="25" t="str">
        <f t="shared" si="31"/>
        <v/>
      </c>
      <c r="CD730" s="25" t="str">
        <f>BasicInput!$D$13&amp;$CD$2&amp;B730&amp;"_"&amp;C730&amp;D730&amp;"_"&amp;BasicInput!$D$7&amp;BasicInput!$D$8&amp;"_"&amp;CC730&amp;".xuf"</f>
        <v>C:\PWWORKING\east01\d2591108\Basic\__2019EX_PM_.xuf</v>
      </c>
    </row>
    <row r="731" spans="44:82" x14ac:dyDescent="0.2">
      <c r="AR731" s="18"/>
      <c r="AX731" s="18"/>
      <c r="CB731" s="31" t="str">
        <f t="shared" si="30"/>
        <v xml:space="preserve">  </v>
      </c>
      <c r="CC731" s="25" t="str">
        <f t="shared" si="31"/>
        <v/>
      </c>
      <c r="CD731" s="25" t="str">
        <f>BasicInput!$D$13&amp;$CD$2&amp;B731&amp;"_"&amp;C731&amp;D731&amp;"_"&amp;BasicInput!$D$7&amp;BasicInput!$D$8&amp;"_"&amp;CC731&amp;".xuf"</f>
        <v>C:\PWWORKING\east01\d2591108\Basic\__2019EX_PM_.xuf</v>
      </c>
    </row>
    <row r="732" spans="44:82" x14ac:dyDescent="0.2">
      <c r="AR732" s="18"/>
      <c r="AX732" s="18"/>
      <c r="CB732" s="31" t="str">
        <f t="shared" si="30"/>
        <v xml:space="preserve">  </v>
      </c>
      <c r="CC732" s="25" t="str">
        <f t="shared" si="31"/>
        <v/>
      </c>
      <c r="CD732" s="25" t="str">
        <f>BasicInput!$D$13&amp;$CD$2&amp;B732&amp;"_"&amp;C732&amp;D732&amp;"_"&amp;BasicInput!$D$7&amp;BasicInput!$D$8&amp;"_"&amp;CC732&amp;".xuf"</f>
        <v>C:\PWWORKING\east01\d2591108\Basic\__2019EX_PM_.xuf</v>
      </c>
    </row>
    <row r="733" spans="44:82" x14ac:dyDescent="0.2">
      <c r="AR733" s="18"/>
      <c r="AX733" s="18"/>
      <c r="CB733" s="31" t="str">
        <f t="shared" si="30"/>
        <v xml:space="preserve">  </v>
      </c>
      <c r="CC733" s="25" t="str">
        <f t="shared" si="31"/>
        <v/>
      </c>
      <c r="CD733" s="25" t="str">
        <f>BasicInput!$D$13&amp;$CD$2&amp;B733&amp;"_"&amp;C733&amp;D733&amp;"_"&amp;BasicInput!$D$7&amp;BasicInput!$D$8&amp;"_"&amp;CC733&amp;".xuf"</f>
        <v>C:\PWWORKING\east01\d2591108\Basic\__2019EX_PM_.xuf</v>
      </c>
    </row>
    <row r="734" spans="44:82" x14ac:dyDescent="0.2">
      <c r="AR734" s="18"/>
      <c r="AX734" s="18"/>
      <c r="CB734" s="31" t="str">
        <f t="shared" si="30"/>
        <v xml:space="preserve">  </v>
      </c>
      <c r="CC734" s="25" t="str">
        <f t="shared" si="31"/>
        <v/>
      </c>
      <c r="CD734" s="25" t="str">
        <f>BasicInput!$D$13&amp;$CD$2&amp;B734&amp;"_"&amp;C734&amp;D734&amp;"_"&amp;BasicInput!$D$7&amp;BasicInput!$D$8&amp;"_"&amp;CC734&amp;".xuf"</f>
        <v>C:\PWWORKING\east01\d2591108\Basic\__2019EX_PM_.xuf</v>
      </c>
    </row>
    <row r="735" spans="44:82" x14ac:dyDescent="0.2">
      <c r="AR735" s="18"/>
      <c r="AX735" s="18"/>
      <c r="CB735" s="31" t="str">
        <f t="shared" si="30"/>
        <v xml:space="preserve">  </v>
      </c>
      <c r="CC735" s="25" t="str">
        <f t="shared" si="31"/>
        <v/>
      </c>
      <c r="CD735" s="25" t="str">
        <f>BasicInput!$D$13&amp;$CD$2&amp;B735&amp;"_"&amp;C735&amp;D735&amp;"_"&amp;BasicInput!$D$7&amp;BasicInput!$D$8&amp;"_"&amp;CC735&amp;".xuf"</f>
        <v>C:\PWWORKING\east01\d2591108\Basic\__2019EX_PM_.xuf</v>
      </c>
    </row>
    <row r="736" spans="44:82" x14ac:dyDescent="0.2">
      <c r="AR736" s="18"/>
      <c r="AX736" s="18"/>
      <c r="CB736" s="31" t="str">
        <f t="shared" si="30"/>
        <v xml:space="preserve">  </v>
      </c>
      <c r="CC736" s="25" t="str">
        <f t="shared" si="31"/>
        <v/>
      </c>
      <c r="CD736" s="25" t="str">
        <f>BasicInput!$D$13&amp;$CD$2&amp;B736&amp;"_"&amp;C736&amp;D736&amp;"_"&amp;BasicInput!$D$7&amp;BasicInput!$D$8&amp;"_"&amp;CC736&amp;".xuf"</f>
        <v>C:\PWWORKING\east01\d2591108\Basic\__2019EX_PM_.xuf</v>
      </c>
    </row>
    <row r="737" spans="44:82" x14ac:dyDescent="0.2">
      <c r="AR737" s="18"/>
      <c r="AX737" s="18"/>
      <c r="CB737" s="31" t="str">
        <f t="shared" si="30"/>
        <v xml:space="preserve">  </v>
      </c>
      <c r="CC737" s="25" t="str">
        <f t="shared" si="31"/>
        <v/>
      </c>
      <c r="CD737" s="25" t="str">
        <f>BasicInput!$D$13&amp;$CD$2&amp;B737&amp;"_"&amp;C737&amp;D737&amp;"_"&amp;BasicInput!$D$7&amp;BasicInput!$D$8&amp;"_"&amp;CC737&amp;".xuf"</f>
        <v>C:\PWWORKING\east01\d2591108\Basic\__2019EX_PM_.xuf</v>
      </c>
    </row>
    <row r="738" spans="44:82" x14ac:dyDescent="0.2">
      <c r="AR738" s="18"/>
      <c r="AX738" s="18"/>
      <c r="CB738" s="31" t="str">
        <f t="shared" si="30"/>
        <v xml:space="preserve">  </v>
      </c>
      <c r="CC738" s="25" t="str">
        <f t="shared" si="31"/>
        <v/>
      </c>
      <c r="CD738" s="25" t="str">
        <f>BasicInput!$D$13&amp;$CD$2&amp;B738&amp;"_"&amp;C738&amp;D738&amp;"_"&amp;BasicInput!$D$7&amp;BasicInput!$D$8&amp;"_"&amp;CC738&amp;".xuf"</f>
        <v>C:\PWWORKING\east01\d2591108\Basic\__2019EX_PM_.xuf</v>
      </c>
    </row>
    <row r="739" spans="44:82" x14ac:dyDescent="0.2">
      <c r="AR739" s="18"/>
      <c r="AX739" s="18"/>
      <c r="CB739" s="31" t="str">
        <f t="shared" si="30"/>
        <v xml:space="preserve">  </v>
      </c>
      <c r="CC739" s="25" t="str">
        <f t="shared" si="31"/>
        <v/>
      </c>
      <c r="CD739" s="25" t="str">
        <f>BasicInput!$D$13&amp;$CD$2&amp;B739&amp;"_"&amp;C739&amp;D739&amp;"_"&amp;BasicInput!$D$7&amp;BasicInput!$D$8&amp;"_"&amp;CC739&amp;".xuf"</f>
        <v>C:\PWWORKING\east01\d2591108\Basic\__2019EX_PM_.xuf</v>
      </c>
    </row>
    <row r="740" spans="44:82" x14ac:dyDescent="0.2">
      <c r="AR740" s="18"/>
      <c r="AX740" s="18"/>
      <c r="CB740" s="31" t="str">
        <f t="shared" si="30"/>
        <v xml:space="preserve">  </v>
      </c>
      <c r="CC740" s="25" t="str">
        <f t="shared" si="31"/>
        <v/>
      </c>
      <c r="CD740" s="25" t="str">
        <f>BasicInput!$D$13&amp;$CD$2&amp;B740&amp;"_"&amp;C740&amp;D740&amp;"_"&amp;BasicInput!$D$7&amp;BasicInput!$D$8&amp;"_"&amp;CC740&amp;".xuf"</f>
        <v>C:\PWWORKING\east01\d2591108\Basic\__2019EX_PM_.xuf</v>
      </c>
    </row>
    <row r="741" spans="44:82" x14ac:dyDescent="0.2">
      <c r="AR741" s="18"/>
      <c r="AX741" s="18"/>
      <c r="CB741" s="31" t="str">
        <f t="shared" si="30"/>
        <v xml:space="preserve">  </v>
      </c>
      <c r="CC741" s="25" t="str">
        <f t="shared" si="31"/>
        <v/>
      </c>
      <c r="CD741" s="25" t="str">
        <f>BasicInput!$D$13&amp;$CD$2&amp;B741&amp;"_"&amp;C741&amp;D741&amp;"_"&amp;BasicInput!$D$7&amp;BasicInput!$D$8&amp;"_"&amp;CC741&amp;".xuf"</f>
        <v>C:\PWWORKING\east01\d2591108\Basic\__2019EX_PM_.xuf</v>
      </c>
    </row>
    <row r="742" spans="44:82" x14ac:dyDescent="0.2">
      <c r="AR742" s="18"/>
      <c r="AX742" s="18"/>
      <c r="CB742" s="31" t="str">
        <f t="shared" si="30"/>
        <v xml:space="preserve">  </v>
      </c>
      <c r="CC742" s="25" t="str">
        <f t="shared" si="31"/>
        <v/>
      </c>
      <c r="CD742" s="25" t="str">
        <f>BasicInput!$D$13&amp;$CD$2&amp;B742&amp;"_"&amp;C742&amp;D742&amp;"_"&amp;BasicInput!$D$7&amp;BasicInput!$D$8&amp;"_"&amp;CC742&amp;".xuf"</f>
        <v>C:\PWWORKING\east01\d2591108\Basic\__2019EX_PM_.xuf</v>
      </c>
    </row>
    <row r="743" spans="44:82" x14ac:dyDescent="0.2">
      <c r="AR743" s="18"/>
      <c r="AX743" s="18"/>
      <c r="CB743" s="31" t="str">
        <f t="shared" si="30"/>
        <v xml:space="preserve">  </v>
      </c>
      <c r="CC743" s="25" t="str">
        <f t="shared" si="31"/>
        <v/>
      </c>
      <c r="CD743" s="25" t="str">
        <f>BasicInput!$D$13&amp;$CD$2&amp;B743&amp;"_"&amp;C743&amp;D743&amp;"_"&amp;BasicInput!$D$7&amp;BasicInput!$D$8&amp;"_"&amp;CC743&amp;".xuf"</f>
        <v>C:\PWWORKING\east01\d2591108\Basic\__2019EX_PM_.xuf</v>
      </c>
    </row>
    <row r="744" spans="44:82" x14ac:dyDescent="0.2">
      <c r="AR744" s="18"/>
      <c r="AX744" s="18"/>
      <c r="CB744" s="31" t="str">
        <f t="shared" si="30"/>
        <v xml:space="preserve">  </v>
      </c>
      <c r="CC744" s="25" t="str">
        <f t="shared" si="31"/>
        <v/>
      </c>
      <c r="CD744" s="25" t="str">
        <f>BasicInput!$D$13&amp;$CD$2&amp;B744&amp;"_"&amp;C744&amp;D744&amp;"_"&amp;BasicInput!$D$7&amp;BasicInput!$D$8&amp;"_"&amp;CC744&amp;".xuf"</f>
        <v>C:\PWWORKING\east01\d2591108\Basic\__2019EX_PM_.xuf</v>
      </c>
    </row>
    <row r="745" spans="44:82" x14ac:dyDescent="0.2">
      <c r="AR745" s="18"/>
      <c r="AX745" s="18"/>
      <c r="CB745" s="31" t="str">
        <f t="shared" si="30"/>
        <v xml:space="preserve">  </v>
      </c>
      <c r="CC745" s="25" t="str">
        <f t="shared" si="31"/>
        <v/>
      </c>
      <c r="CD745" s="25" t="str">
        <f>BasicInput!$D$13&amp;$CD$2&amp;B745&amp;"_"&amp;C745&amp;D745&amp;"_"&amp;BasicInput!$D$7&amp;BasicInput!$D$8&amp;"_"&amp;CC745&amp;".xuf"</f>
        <v>C:\PWWORKING\east01\d2591108\Basic\__2019EX_PM_.xuf</v>
      </c>
    </row>
    <row r="746" spans="44:82" x14ac:dyDescent="0.2">
      <c r="AR746" s="18"/>
      <c r="AX746" s="18"/>
      <c r="CB746" s="31" t="str">
        <f t="shared" si="30"/>
        <v xml:space="preserve">  </v>
      </c>
      <c r="CC746" s="25" t="str">
        <f t="shared" si="31"/>
        <v/>
      </c>
      <c r="CD746" s="25" t="str">
        <f>BasicInput!$D$13&amp;$CD$2&amp;B746&amp;"_"&amp;C746&amp;D746&amp;"_"&amp;BasicInput!$D$7&amp;BasicInput!$D$8&amp;"_"&amp;CC746&amp;".xuf"</f>
        <v>C:\PWWORKING\east01\d2591108\Basic\__2019EX_PM_.xuf</v>
      </c>
    </row>
    <row r="747" spans="44:82" x14ac:dyDescent="0.2">
      <c r="AR747" s="18"/>
      <c r="AX747" s="18"/>
      <c r="CB747" s="31" t="str">
        <f t="shared" si="30"/>
        <v xml:space="preserve">  </v>
      </c>
      <c r="CC747" s="25" t="str">
        <f t="shared" si="31"/>
        <v/>
      </c>
      <c r="CD747" s="25" t="str">
        <f>BasicInput!$D$13&amp;$CD$2&amp;B747&amp;"_"&amp;C747&amp;D747&amp;"_"&amp;BasicInput!$D$7&amp;BasicInput!$D$8&amp;"_"&amp;CC747&amp;".xuf"</f>
        <v>C:\PWWORKING\east01\d2591108\Basic\__2019EX_PM_.xuf</v>
      </c>
    </row>
    <row r="748" spans="44:82" x14ac:dyDescent="0.2">
      <c r="AR748" s="18"/>
      <c r="AX748" s="18"/>
      <c r="CB748" s="31" t="str">
        <f t="shared" si="30"/>
        <v xml:space="preserve">  </v>
      </c>
      <c r="CC748" s="25" t="str">
        <f t="shared" si="31"/>
        <v/>
      </c>
      <c r="CD748" s="25" t="str">
        <f>BasicInput!$D$13&amp;$CD$2&amp;B748&amp;"_"&amp;C748&amp;D748&amp;"_"&amp;BasicInput!$D$7&amp;BasicInput!$D$8&amp;"_"&amp;CC748&amp;".xuf"</f>
        <v>C:\PWWORKING\east01\d2591108\Basic\__2019EX_PM_.xuf</v>
      </c>
    </row>
    <row r="749" spans="44:82" x14ac:dyDescent="0.2">
      <c r="AR749" s="18"/>
      <c r="AX749" s="18"/>
      <c r="CB749" s="31" t="str">
        <f t="shared" si="30"/>
        <v xml:space="preserve">  </v>
      </c>
      <c r="CC749" s="25" t="str">
        <f t="shared" si="31"/>
        <v/>
      </c>
      <c r="CD749" s="25" t="str">
        <f>BasicInput!$D$13&amp;$CD$2&amp;B749&amp;"_"&amp;C749&amp;D749&amp;"_"&amp;BasicInput!$D$7&amp;BasicInput!$D$8&amp;"_"&amp;CC749&amp;".xuf"</f>
        <v>C:\PWWORKING\east01\d2591108\Basic\__2019EX_PM_.xuf</v>
      </c>
    </row>
    <row r="750" spans="44:82" x14ac:dyDescent="0.2">
      <c r="AR750" s="18"/>
      <c r="AX750" s="18"/>
      <c r="CB750" s="31" t="str">
        <f t="shared" si="30"/>
        <v xml:space="preserve">  </v>
      </c>
      <c r="CC750" s="25" t="str">
        <f t="shared" si="31"/>
        <v/>
      </c>
      <c r="CD750" s="25" t="str">
        <f>BasicInput!$D$13&amp;$CD$2&amp;B750&amp;"_"&amp;C750&amp;D750&amp;"_"&amp;BasicInput!$D$7&amp;BasicInput!$D$8&amp;"_"&amp;CC750&amp;".xuf"</f>
        <v>C:\PWWORKING\east01\d2591108\Basic\__2019EX_PM_.xuf</v>
      </c>
    </row>
    <row r="751" spans="44:82" x14ac:dyDescent="0.2">
      <c r="AR751" s="18"/>
      <c r="AX751" s="18"/>
      <c r="CB751" s="31" t="str">
        <f t="shared" si="30"/>
        <v xml:space="preserve">  </v>
      </c>
      <c r="CC751" s="25" t="str">
        <f t="shared" si="31"/>
        <v/>
      </c>
      <c r="CD751" s="25" t="str">
        <f>BasicInput!$D$13&amp;$CD$2&amp;B751&amp;"_"&amp;C751&amp;D751&amp;"_"&amp;BasicInput!$D$7&amp;BasicInput!$D$8&amp;"_"&amp;CC751&amp;".xuf"</f>
        <v>C:\PWWORKING\east01\d2591108\Basic\__2019EX_PM_.xuf</v>
      </c>
    </row>
    <row r="752" spans="44:82" x14ac:dyDescent="0.2">
      <c r="AR752" s="18"/>
      <c r="AX752" s="18"/>
      <c r="CB752" s="31" t="str">
        <f t="shared" si="30"/>
        <v xml:space="preserve">  </v>
      </c>
      <c r="CC752" s="25" t="str">
        <f t="shared" si="31"/>
        <v/>
      </c>
      <c r="CD752" s="25" t="str">
        <f>BasicInput!$D$13&amp;$CD$2&amp;B752&amp;"_"&amp;C752&amp;D752&amp;"_"&amp;BasicInput!$D$7&amp;BasicInput!$D$8&amp;"_"&amp;CC752&amp;".xuf"</f>
        <v>C:\PWWORKING\east01\d2591108\Basic\__2019EX_PM_.xuf</v>
      </c>
    </row>
    <row r="753" spans="44:82" x14ac:dyDescent="0.2">
      <c r="AR753" s="18"/>
      <c r="AX753" s="18"/>
      <c r="CB753" s="31" t="str">
        <f t="shared" si="30"/>
        <v xml:space="preserve">  </v>
      </c>
      <c r="CC753" s="25" t="str">
        <f t="shared" si="31"/>
        <v/>
      </c>
      <c r="CD753" s="25" t="str">
        <f>BasicInput!$D$13&amp;$CD$2&amp;B753&amp;"_"&amp;C753&amp;D753&amp;"_"&amp;BasicInput!$D$7&amp;BasicInput!$D$8&amp;"_"&amp;CC753&amp;".xuf"</f>
        <v>C:\PWWORKING\east01\d2591108\Basic\__2019EX_PM_.xuf</v>
      </c>
    </row>
    <row r="754" spans="44:82" x14ac:dyDescent="0.2">
      <c r="AR754" s="18"/>
      <c r="AX754" s="18"/>
      <c r="CB754" s="31" t="str">
        <f t="shared" si="30"/>
        <v xml:space="preserve">  </v>
      </c>
      <c r="CC754" s="25" t="str">
        <f t="shared" si="31"/>
        <v/>
      </c>
      <c r="CD754" s="25" t="str">
        <f>BasicInput!$D$13&amp;$CD$2&amp;B754&amp;"_"&amp;C754&amp;D754&amp;"_"&amp;BasicInput!$D$7&amp;BasicInput!$D$8&amp;"_"&amp;CC754&amp;".xuf"</f>
        <v>C:\PWWORKING\east01\d2591108\Basic\__2019EX_PM_.xuf</v>
      </c>
    </row>
    <row r="755" spans="44:82" x14ac:dyDescent="0.2">
      <c r="AR755" s="18"/>
      <c r="AX755" s="18"/>
      <c r="CB755" s="31" t="str">
        <f t="shared" si="30"/>
        <v xml:space="preserve">  </v>
      </c>
      <c r="CC755" s="25" t="str">
        <f t="shared" si="31"/>
        <v/>
      </c>
      <c r="CD755" s="25" t="str">
        <f>BasicInput!$D$13&amp;$CD$2&amp;B755&amp;"_"&amp;C755&amp;D755&amp;"_"&amp;BasicInput!$D$7&amp;BasicInput!$D$8&amp;"_"&amp;CC755&amp;".xuf"</f>
        <v>C:\PWWORKING\east01\d2591108\Basic\__2019EX_PM_.xuf</v>
      </c>
    </row>
    <row r="756" spans="44:82" x14ac:dyDescent="0.2">
      <c r="AR756" s="18"/>
      <c r="AX756" s="18"/>
      <c r="CB756" s="31" t="str">
        <f t="shared" si="30"/>
        <v xml:space="preserve">  </v>
      </c>
      <c r="CC756" s="25" t="str">
        <f t="shared" si="31"/>
        <v/>
      </c>
      <c r="CD756" s="25" t="str">
        <f>BasicInput!$D$13&amp;$CD$2&amp;B756&amp;"_"&amp;C756&amp;D756&amp;"_"&amp;BasicInput!$D$7&amp;BasicInput!$D$8&amp;"_"&amp;CC756&amp;".xuf"</f>
        <v>C:\PWWORKING\east01\d2591108\Basic\__2019EX_PM_.xuf</v>
      </c>
    </row>
    <row r="757" spans="44:82" x14ac:dyDescent="0.2">
      <c r="AR757" s="18"/>
      <c r="AX757" s="18"/>
      <c r="CB757" s="31" t="str">
        <f t="shared" si="30"/>
        <v xml:space="preserve">  </v>
      </c>
      <c r="CC757" s="25" t="str">
        <f t="shared" si="31"/>
        <v/>
      </c>
      <c r="CD757" s="25" t="str">
        <f>BasicInput!$D$13&amp;$CD$2&amp;B757&amp;"_"&amp;C757&amp;D757&amp;"_"&amp;BasicInput!$D$7&amp;BasicInput!$D$8&amp;"_"&amp;CC757&amp;".xuf"</f>
        <v>C:\PWWORKING\east01\d2591108\Basic\__2019EX_PM_.xuf</v>
      </c>
    </row>
    <row r="758" spans="44:82" x14ac:dyDescent="0.2">
      <c r="AR758" s="18"/>
      <c r="AX758" s="18"/>
      <c r="CB758" s="31" t="str">
        <f t="shared" si="30"/>
        <v xml:space="preserve">  </v>
      </c>
      <c r="CC758" s="25" t="str">
        <f t="shared" si="31"/>
        <v/>
      </c>
      <c r="CD758" s="25" t="str">
        <f>BasicInput!$D$13&amp;$CD$2&amp;B758&amp;"_"&amp;C758&amp;D758&amp;"_"&amp;BasicInput!$D$7&amp;BasicInput!$D$8&amp;"_"&amp;CC758&amp;".xuf"</f>
        <v>C:\PWWORKING\east01\d2591108\Basic\__2019EX_PM_.xuf</v>
      </c>
    </row>
    <row r="759" spans="44:82" x14ac:dyDescent="0.2">
      <c r="AR759" s="18"/>
      <c r="AX759" s="18"/>
      <c r="CB759" s="31" t="str">
        <f t="shared" si="30"/>
        <v xml:space="preserve">  </v>
      </c>
      <c r="CC759" s="25" t="str">
        <f t="shared" si="31"/>
        <v/>
      </c>
      <c r="CD759" s="25" t="str">
        <f>BasicInput!$D$13&amp;$CD$2&amp;B759&amp;"_"&amp;C759&amp;D759&amp;"_"&amp;BasicInput!$D$7&amp;BasicInput!$D$8&amp;"_"&amp;CC759&amp;".xuf"</f>
        <v>C:\PWWORKING\east01\d2591108\Basic\__2019EX_PM_.xuf</v>
      </c>
    </row>
    <row r="760" spans="44:82" x14ac:dyDescent="0.2">
      <c r="AR760" s="18"/>
      <c r="AX760" s="18"/>
      <c r="CB760" s="31" t="str">
        <f t="shared" si="30"/>
        <v xml:space="preserve">  </v>
      </c>
      <c r="CC760" s="25" t="str">
        <f t="shared" si="31"/>
        <v/>
      </c>
      <c r="CD760" s="25" t="str">
        <f>BasicInput!$D$13&amp;$CD$2&amp;B760&amp;"_"&amp;C760&amp;D760&amp;"_"&amp;BasicInput!$D$7&amp;BasicInput!$D$8&amp;"_"&amp;CC760&amp;".xuf"</f>
        <v>C:\PWWORKING\east01\d2591108\Basic\__2019EX_PM_.xuf</v>
      </c>
    </row>
    <row r="761" spans="44:82" x14ac:dyDescent="0.2">
      <c r="AR761" s="18"/>
      <c r="AX761" s="18"/>
      <c r="CB761" s="31" t="str">
        <f t="shared" si="30"/>
        <v xml:space="preserve">  </v>
      </c>
      <c r="CC761" s="25" t="str">
        <f t="shared" si="31"/>
        <v/>
      </c>
      <c r="CD761" s="25" t="str">
        <f>BasicInput!$D$13&amp;$CD$2&amp;B761&amp;"_"&amp;C761&amp;D761&amp;"_"&amp;BasicInput!$D$7&amp;BasicInput!$D$8&amp;"_"&amp;CC761&amp;".xuf"</f>
        <v>C:\PWWORKING\east01\d2591108\Basic\__2019EX_PM_.xuf</v>
      </c>
    </row>
    <row r="762" spans="44:82" x14ac:dyDescent="0.2">
      <c r="AR762" s="18"/>
      <c r="AX762" s="18"/>
      <c r="CB762" s="31" t="str">
        <f t="shared" si="30"/>
        <v xml:space="preserve">  </v>
      </c>
      <c r="CC762" s="25" t="str">
        <f t="shared" si="31"/>
        <v/>
      </c>
      <c r="CD762" s="25" t="str">
        <f>BasicInput!$D$13&amp;$CD$2&amp;B762&amp;"_"&amp;C762&amp;D762&amp;"_"&amp;BasicInput!$D$7&amp;BasicInput!$D$8&amp;"_"&amp;CC762&amp;".xuf"</f>
        <v>C:\PWWORKING\east01\d2591108\Basic\__2019EX_PM_.xuf</v>
      </c>
    </row>
    <row r="763" spans="44:82" x14ac:dyDescent="0.2">
      <c r="AR763" s="18"/>
      <c r="AX763" s="18"/>
      <c r="CB763" s="31" t="str">
        <f t="shared" si="30"/>
        <v xml:space="preserve">  </v>
      </c>
      <c r="CC763" s="25" t="str">
        <f t="shared" si="31"/>
        <v/>
      </c>
      <c r="CD763" s="25" t="str">
        <f>BasicInput!$D$13&amp;$CD$2&amp;B763&amp;"_"&amp;C763&amp;D763&amp;"_"&amp;BasicInput!$D$7&amp;BasicInput!$D$8&amp;"_"&amp;CC763&amp;".xuf"</f>
        <v>C:\PWWORKING\east01\d2591108\Basic\__2019EX_PM_.xuf</v>
      </c>
    </row>
    <row r="764" spans="44:82" x14ac:dyDescent="0.2">
      <c r="AR764" s="18"/>
      <c r="AX764" s="18"/>
      <c r="CB764" s="31" t="str">
        <f t="shared" si="30"/>
        <v xml:space="preserve">  </v>
      </c>
      <c r="CC764" s="25" t="str">
        <f t="shared" si="31"/>
        <v/>
      </c>
      <c r="CD764" s="25" t="str">
        <f>BasicInput!$D$13&amp;$CD$2&amp;B764&amp;"_"&amp;C764&amp;D764&amp;"_"&amp;BasicInput!$D$7&amp;BasicInput!$D$8&amp;"_"&amp;CC764&amp;".xuf"</f>
        <v>C:\PWWORKING\east01\d2591108\Basic\__2019EX_PM_.xuf</v>
      </c>
    </row>
    <row r="765" spans="44:82" x14ac:dyDescent="0.2">
      <c r="AR765" s="18"/>
      <c r="AX765" s="18"/>
      <c r="CB765" s="31" t="str">
        <f t="shared" si="30"/>
        <v xml:space="preserve">  </v>
      </c>
      <c r="CC765" s="25" t="str">
        <f t="shared" si="31"/>
        <v/>
      </c>
      <c r="CD765" s="25" t="str">
        <f>BasicInput!$D$13&amp;$CD$2&amp;B765&amp;"_"&amp;C765&amp;D765&amp;"_"&amp;BasicInput!$D$7&amp;BasicInput!$D$8&amp;"_"&amp;CC765&amp;".xuf"</f>
        <v>C:\PWWORKING\east01\d2591108\Basic\__2019EX_PM_.xuf</v>
      </c>
    </row>
    <row r="766" spans="44:82" x14ac:dyDescent="0.2">
      <c r="AR766" s="18"/>
      <c r="AX766" s="18"/>
      <c r="CB766" s="31" t="str">
        <f t="shared" si="30"/>
        <v xml:space="preserve">  </v>
      </c>
      <c r="CC766" s="25" t="str">
        <f t="shared" si="31"/>
        <v/>
      </c>
      <c r="CD766" s="25" t="str">
        <f>BasicInput!$D$13&amp;$CD$2&amp;B766&amp;"_"&amp;C766&amp;D766&amp;"_"&amp;BasicInput!$D$7&amp;BasicInput!$D$8&amp;"_"&amp;CC766&amp;".xuf"</f>
        <v>C:\PWWORKING\east01\d2591108\Basic\__2019EX_PM_.xuf</v>
      </c>
    </row>
    <row r="767" spans="44:82" x14ac:dyDescent="0.2">
      <c r="AR767" s="18"/>
      <c r="AX767" s="18"/>
      <c r="CB767" s="31" t="str">
        <f t="shared" si="30"/>
        <v xml:space="preserve">  </v>
      </c>
      <c r="CC767" s="25" t="str">
        <f t="shared" si="31"/>
        <v/>
      </c>
      <c r="CD767" s="25" t="str">
        <f>BasicInput!$D$13&amp;$CD$2&amp;B767&amp;"_"&amp;C767&amp;D767&amp;"_"&amp;BasicInput!$D$7&amp;BasicInput!$D$8&amp;"_"&amp;CC767&amp;".xuf"</f>
        <v>C:\PWWORKING\east01\d2591108\Basic\__2019EX_PM_.xuf</v>
      </c>
    </row>
    <row r="768" spans="44:82" x14ac:dyDescent="0.2">
      <c r="AR768" s="18"/>
      <c r="AX768" s="18"/>
      <c r="CB768" s="31" t="str">
        <f t="shared" si="30"/>
        <v xml:space="preserve">  </v>
      </c>
      <c r="CC768" s="25" t="str">
        <f t="shared" si="31"/>
        <v/>
      </c>
      <c r="CD768" s="25" t="str">
        <f>BasicInput!$D$13&amp;$CD$2&amp;B768&amp;"_"&amp;C768&amp;D768&amp;"_"&amp;BasicInput!$D$7&amp;BasicInput!$D$8&amp;"_"&amp;CC768&amp;".xuf"</f>
        <v>C:\PWWORKING\east01\d2591108\Basic\__2019EX_PM_.xuf</v>
      </c>
    </row>
    <row r="769" spans="44:82" x14ac:dyDescent="0.2">
      <c r="AR769" s="18"/>
      <c r="AX769" s="18"/>
      <c r="CB769" s="31" t="str">
        <f t="shared" si="30"/>
        <v xml:space="preserve">  </v>
      </c>
      <c r="CC769" s="25" t="str">
        <f t="shared" si="31"/>
        <v/>
      </c>
      <c r="CD769" s="25" t="str">
        <f>BasicInput!$D$13&amp;$CD$2&amp;B769&amp;"_"&amp;C769&amp;D769&amp;"_"&amp;BasicInput!$D$7&amp;BasicInput!$D$8&amp;"_"&amp;CC769&amp;".xuf"</f>
        <v>C:\PWWORKING\east01\d2591108\Basic\__2019EX_PM_.xuf</v>
      </c>
    </row>
    <row r="770" spans="44:82" x14ac:dyDescent="0.2">
      <c r="AR770" s="18"/>
      <c r="AX770" s="18"/>
      <c r="CB770" s="31" t="str">
        <f t="shared" si="30"/>
        <v xml:space="preserve">  </v>
      </c>
      <c r="CC770" s="25" t="str">
        <f t="shared" si="31"/>
        <v/>
      </c>
      <c r="CD770" s="25" t="str">
        <f>BasicInput!$D$13&amp;$CD$2&amp;B770&amp;"_"&amp;C770&amp;D770&amp;"_"&amp;BasicInput!$D$7&amp;BasicInput!$D$8&amp;"_"&amp;CC770&amp;".xuf"</f>
        <v>C:\PWWORKING\east01\d2591108\Basic\__2019EX_PM_.xuf</v>
      </c>
    </row>
    <row r="771" spans="44:82" x14ac:dyDescent="0.2">
      <c r="AR771" s="18"/>
      <c r="AX771" s="18"/>
      <c r="CB771" s="31" t="str">
        <f t="shared" si="30"/>
        <v xml:space="preserve">  </v>
      </c>
      <c r="CC771" s="25" t="str">
        <f t="shared" si="31"/>
        <v/>
      </c>
      <c r="CD771" s="25" t="str">
        <f>BasicInput!$D$13&amp;$CD$2&amp;B771&amp;"_"&amp;C771&amp;D771&amp;"_"&amp;BasicInput!$D$7&amp;BasicInput!$D$8&amp;"_"&amp;CC771&amp;".xuf"</f>
        <v>C:\PWWORKING\east01\d2591108\Basic\__2019EX_PM_.xuf</v>
      </c>
    </row>
    <row r="772" spans="44:82" x14ac:dyDescent="0.2">
      <c r="AR772" s="18"/>
      <c r="AX772" s="18"/>
      <c r="CB772" s="31" t="str">
        <f t="shared" si="30"/>
        <v xml:space="preserve">  </v>
      </c>
      <c r="CC772" s="25" t="str">
        <f t="shared" si="31"/>
        <v/>
      </c>
      <c r="CD772" s="25" t="str">
        <f>BasicInput!$D$13&amp;$CD$2&amp;B772&amp;"_"&amp;C772&amp;D772&amp;"_"&amp;BasicInput!$D$7&amp;BasicInput!$D$8&amp;"_"&amp;CC772&amp;".xuf"</f>
        <v>C:\PWWORKING\east01\d2591108\Basic\__2019EX_PM_.xuf</v>
      </c>
    </row>
    <row r="773" spans="44:82" x14ac:dyDescent="0.2">
      <c r="AR773" s="18"/>
      <c r="AX773" s="18"/>
      <c r="CB773" s="31" t="str">
        <f t="shared" si="30"/>
        <v xml:space="preserve">  </v>
      </c>
      <c r="CC773" s="25" t="str">
        <f t="shared" si="31"/>
        <v/>
      </c>
      <c r="CD773" s="25" t="str">
        <f>BasicInput!$D$13&amp;$CD$2&amp;B773&amp;"_"&amp;C773&amp;D773&amp;"_"&amp;BasicInput!$D$7&amp;BasicInput!$D$8&amp;"_"&amp;CC773&amp;".xuf"</f>
        <v>C:\PWWORKING\east01\d2591108\Basic\__2019EX_PM_.xuf</v>
      </c>
    </row>
    <row r="774" spans="44:82" x14ac:dyDescent="0.2">
      <c r="AR774" s="18"/>
      <c r="AX774" s="18"/>
      <c r="CB774" s="31" t="str">
        <f t="shared" si="30"/>
        <v xml:space="preserve">  </v>
      </c>
      <c r="CC774" s="25" t="str">
        <f t="shared" si="31"/>
        <v/>
      </c>
      <c r="CD774" s="25" t="str">
        <f>BasicInput!$D$13&amp;$CD$2&amp;B774&amp;"_"&amp;C774&amp;D774&amp;"_"&amp;BasicInput!$D$7&amp;BasicInput!$D$8&amp;"_"&amp;CC774&amp;".xuf"</f>
        <v>C:\PWWORKING\east01\d2591108\Basic\__2019EX_PM_.xuf</v>
      </c>
    </row>
    <row r="775" spans="44:82" x14ac:dyDescent="0.2">
      <c r="AR775" s="18"/>
      <c r="AX775" s="18"/>
      <c r="CB775" s="31" t="str">
        <f t="shared" si="30"/>
        <v xml:space="preserve">  </v>
      </c>
      <c r="CC775" s="25" t="str">
        <f t="shared" si="31"/>
        <v/>
      </c>
      <c r="CD775" s="25" t="str">
        <f>BasicInput!$D$13&amp;$CD$2&amp;B775&amp;"_"&amp;C775&amp;D775&amp;"_"&amp;BasicInput!$D$7&amp;BasicInput!$D$8&amp;"_"&amp;CC775&amp;".xuf"</f>
        <v>C:\PWWORKING\east01\d2591108\Basic\__2019EX_PM_.xuf</v>
      </c>
    </row>
    <row r="776" spans="44:82" x14ac:dyDescent="0.2">
      <c r="AR776" s="18"/>
      <c r="AX776" s="18"/>
      <c r="CB776" s="31" t="str">
        <f t="shared" si="30"/>
        <v xml:space="preserve">  </v>
      </c>
      <c r="CC776" s="25" t="str">
        <f t="shared" si="31"/>
        <v/>
      </c>
      <c r="CD776" s="25" t="str">
        <f>BasicInput!$D$13&amp;$CD$2&amp;B776&amp;"_"&amp;C776&amp;D776&amp;"_"&amp;BasicInput!$D$7&amp;BasicInput!$D$8&amp;"_"&amp;CC776&amp;".xuf"</f>
        <v>C:\PWWORKING\east01\d2591108\Basic\__2019EX_PM_.xuf</v>
      </c>
    </row>
    <row r="777" spans="44:82" x14ac:dyDescent="0.2">
      <c r="AR777" s="18"/>
      <c r="AX777" s="18"/>
      <c r="CB777" s="31" t="str">
        <f t="shared" si="30"/>
        <v xml:space="preserve">  </v>
      </c>
      <c r="CC777" s="25" t="str">
        <f t="shared" si="31"/>
        <v/>
      </c>
      <c r="CD777" s="25" t="str">
        <f>BasicInput!$D$13&amp;$CD$2&amp;B777&amp;"_"&amp;C777&amp;D777&amp;"_"&amp;BasicInput!$D$7&amp;BasicInput!$D$8&amp;"_"&amp;CC777&amp;".xuf"</f>
        <v>C:\PWWORKING\east01\d2591108\Basic\__2019EX_PM_.xuf</v>
      </c>
    </row>
    <row r="778" spans="44:82" x14ac:dyDescent="0.2">
      <c r="AR778" s="18"/>
      <c r="AX778" s="18"/>
      <c r="CB778" s="31" t="str">
        <f t="shared" si="30"/>
        <v xml:space="preserve">  </v>
      </c>
      <c r="CC778" s="25" t="str">
        <f t="shared" si="31"/>
        <v/>
      </c>
      <c r="CD778" s="25" t="str">
        <f>BasicInput!$D$13&amp;$CD$2&amp;B778&amp;"_"&amp;C778&amp;D778&amp;"_"&amp;BasicInput!$D$7&amp;BasicInput!$D$8&amp;"_"&amp;CC778&amp;".xuf"</f>
        <v>C:\PWWORKING\east01\d2591108\Basic\__2019EX_PM_.xuf</v>
      </c>
    </row>
    <row r="779" spans="44:82" x14ac:dyDescent="0.2">
      <c r="AR779" s="18"/>
      <c r="AX779" s="18"/>
      <c r="CB779" s="31" t="str">
        <f t="shared" si="30"/>
        <v xml:space="preserve">  </v>
      </c>
      <c r="CC779" s="25" t="str">
        <f t="shared" si="31"/>
        <v/>
      </c>
      <c r="CD779" s="25" t="str">
        <f>BasicInput!$D$13&amp;$CD$2&amp;B779&amp;"_"&amp;C779&amp;D779&amp;"_"&amp;BasicInput!$D$7&amp;BasicInput!$D$8&amp;"_"&amp;CC779&amp;".xuf"</f>
        <v>C:\PWWORKING\east01\d2591108\Basic\__2019EX_PM_.xuf</v>
      </c>
    </row>
    <row r="780" spans="44:82" x14ac:dyDescent="0.2">
      <c r="AR780" s="18"/>
      <c r="AX780" s="18"/>
      <c r="CB780" s="31" t="str">
        <f t="shared" si="30"/>
        <v xml:space="preserve">  </v>
      </c>
      <c r="CC780" s="25" t="str">
        <f t="shared" si="31"/>
        <v/>
      </c>
      <c r="CD780" s="25" t="str">
        <f>BasicInput!$D$13&amp;$CD$2&amp;B780&amp;"_"&amp;C780&amp;D780&amp;"_"&amp;BasicInput!$D$7&amp;BasicInput!$D$8&amp;"_"&amp;CC780&amp;".xuf"</f>
        <v>C:\PWWORKING\east01\d2591108\Basic\__2019EX_PM_.xuf</v>
      </c>
    </row>
    <row r="781" spans="44:82" x14ac:dyDescent="0.2">
      <c r="AR781" s="18"/>
      <c r="AX781" s="18"/>
      <c r="CB781" s="31" t="str">
        <f t="shared" si="30"/>
        <v xml:space="preserve">  </v>
      </c>
      <c r="CC781" s="25" t="str">
        <f t="shared" si="31"/>
        <v/>
      </c>
      <c r="CD781" s="25" t="str">
        <f>BasicInput!$D$13&amp;$CD$2&amp;B781&amp;"_"&amp;C781&amp;D781&amp;"_"&amp;BasicInput!$D$7&amp;BasicInput!$D$8&amp;"_"&amp;CC781&amp;".xuf"</f>
        <v>C:\PWWORKING\east01\d2591108\Basic\__2019EX_PM_.xuf</v>
      </c>
    </row>
    <row r="782" spans="44:82" x14ac:dyDescent="0.2">
      <c r="AR782" s="18"/>
      <c r="AX782" s="18"/>
      <c r="CB782" s="31" t="str">
        <f t="shared" si="30"/>
        <v xml:space="preserve">  </v>
      </c>
      <c r="CC782" s="25" t="str">
        <f t="shared" si="31"/>
        <v/>
      </c>
      <c r="CD782" s="25" t="str">
        <f>BasicInput!$D$13&amp;$CD$2&amp;B782&amp;"_"&amp;C782&amp;D782&amp;"_"&amp;BasicInput!$D$7&amp;BasicInput!$D$8&amp;"_"&amp;CC782&amp;".xuf"</f>
        <v>C:\PWWORKING\east01\d2591108\Basic\__2019EX_PM_.xuf</v>
      </c>
    </row>
    <row r="783" spans="44:82" x14ac:dyDescent="0.2">
      <c r="AR783" s="18"/>
      <c r="AX783" s="18"/>
      <c r="CB783" s="31" t="str">
        <f t="shared" si="30"/>
        <v xml:space="preserve">  </v>
      </c>
      <c r="CC783" s="25" t="str">
        <f t="shared" si="31"/>
        <v/>
      </c>
      <c r="CD783" s="25" t="str">
        <f>BasicInput!$D$13&amp;$CD$2&amp;B783&amp;"_"&amp;C783&amp;D783&amp;"_"&amp;BasicInput!$D$7&amp;BasicInput!$D$8&amp;"_"&amp;CC783&amp;".xuf"</f>
        <v>C:\PWWORKING\east01\d2591108\Basic\__2019EX_PM_.xuf</v>
      </c>
    </row>
    <row r="784" spans="44:82" x14ac:dyDescent="0.2">
      <c r="AR784" s="18"/>
      <c r="AX784" s="18"/>
      <c r="CB784" s="31" t="str">
        <f t="shared" si="30"/>
        <v xml:space="preserve">  </v>
      </c>
      <c r="CC784" s="25" t="str">
        <f t="shared" si="31"/>
        <v/>
      </c>
      <c r="CD784" s="25" t="str">
        <f>BasicInput!$D$13&amp;$CD$2&amp;B784&amp;"_"&amp;C784&amp;D784&amp;"_"&amp;BasicInput!$D$7&amp;BasicInput!$D$8&amp;"_"&amp;CC784&amp;".xuf"</f>
        <v>C:\PWWORKING\east01\d2591108\Basic\__2019EX_PM_.xuf</v>
      </c>
    </row>
    <row r="785" spans="44:82" x14ac:dyDescent="0.2">
      <c r="AR785" s="18"/>
      <c r="AX785" s="18"/>
      <c r="CB785" s="31" t="str">
        <f t="shared" ref="CB785:CB848" si="32">C785&amp; " "&amp;D785&amp;" " &amp;E785</f>
        <v xml:space="preserve">  </v>
      </c>
      <c r="CC785" s="25" t="str">
        <f t="shared" ref="CC785:CC848" si="33">SUBSTITUTE(E785, "/", "_")</f>
        <v/>
      </c>
      <c r="CD785" s="25" t="str">
        <f>BasicInput!$D$13&amp;$CD$2&amp;B785&amp;"_"&amp;C785&amp;D785&amp;"_"&amp;BasicInput!$D$7&amp;BasicInput!$D$8&amp;"_"&amp;CC785&amp;".xuf"</f>
        <v>C:\PWWORKING\east01\d2591108\Basic\__2019EX_PM_.xuf</v>
      </c>
    </row>
    <row r="786" spans="44:82" x14ac:dyDescent="0.2">
      <c r="AR786" s="18"/>
      <c r="AX786" s="18"/>
      <c r="CB786" s="31" t="str">
        <f t="shared" si="32"/>
        <v xml:space="preserve">  </v>
      </c>
      <c r="CC786" s="25" t="str">
        <f t="shared" si="33"/>
        <v/>
      </c>
      <c r="CD786" s="25" t="str">
        <f>BasicInput!$D$13&amp;$CD$2&amp;B786&amp;"_"&amp;C786&amp;D786&amp;"_"&amp;BasicInput!$D$7&amp;BasicInput!$D$8&amp;"_"&amp;CC786&amp;".xuf"</f>
        <v>C:\PWWORKING\east01\d2591108\Basic\__2019EX_PM_.xuf</v>
      </c>
    </row>
    <row r="787" spans="44:82" x14ac:dyDescent="0.2">
      <c r="AR787" s="18"/>
      <c r="AX787" s="18"/>
      <c r="CB787" s="31" t="str">
        <f t="shared" si="32"/>
        <v xml:space="preserve">  </v>
      </c>
      <c r="CC787" s="25" t="str">
        <f t="shared" si="33"/>
        <v/>
      </c>
      <c r="CD787" s="25" t="str">
        <f>BasicInput!$D$13&amp;$CD$2&amp;B787&amp;"_"&amp;C787&amp;D787&amp;"_"&amp;BasicInput!$D$7&amp;BasicInput!$D$8&amp;"_"&amp;CC787&amp;".xuf"</f>
        <v>C:\PWWORKING\east01\d2591108\Basic\__2019EX_PM_.xuf</v>
      </c>
    </row>
    <row r="788" spans="44:82" x14ac:dyDescent="0.2">
      <c r="AR788" s="18"/>
      <c r="AX788" s="18"/>
      <c r="CB788" s="31" t="str">
        <f t="shared" si="32"/>
        <v xml:space="preserve">  </v>
      </c>
      <c r="CC788" s="25" t="str">
        <f t="shared" si="33"/>
        <v/>
      </c>
      <c r="CD788" s="25" t="str">
        <f>BasicInput!$D$13&amp;$CD$2&amp;B788&amp;"_"&amp;C788&amp;D788&amp;"_"&amp;BasicInput!$D$7&amp;BasicInput!$D$8&amp;"_"&amp;CC788&amp;".xuf"</f>
        <v>C:\PWWORKING\east01\d2591108\Basic\__2019EX_PM_.xuf</v>
      </c>
    </row>
    <row r="789" spans="44:82" x14ac:dyDescent="0.2">
      <c r="AR789" s="18"/>
      <c r="AX789" s="18"/>
      <c r="CB789" s="31" t="str">
        <f t="shared" si="32"/>
        <v xml:space="preserve">  </v>
      </c>
      <c r="CC789" s="25" t="str">
        <f t="shared" si="33"/>
        <v/>
      </c>
      <c r="CD789" s="25" t="str">
        <f>BasicInput!$D$13&amp;$CD$2&amp;B789&amp;"_"&amp;C789&amp;D789&amp;"_"&amp;BasicInput!$D$7&amp;BasicInput!$D$8&amp;"_"&amp;CC789&amp;".xuf"</f>
        <v>C:\PWWORKING\east01\d2591108\Basic\__2019EX_PM_.xuf</v>
      </c>
    </row>
    <row r="790" spans="44:82" x14ac:dyDescent="0.2">
      <c r="AR790" s="18"/>
      <c r="AX790" s="18"/>
      <c r="CB790" s="31" t="str">
        <f t="shared" si="32"/>
        <v xml:space="preserve">  </v>
      </c>
      <c r="CC790" s="25" t="str">
        <f t="shared" si="33"/>
        <v/>
      </c>
      <c r="CD790" s="25" t="str">
        <f>BasicInput!$D$13&amp;$CD$2&amp;B790&amp;"_"&amp;C790&amp;D790&amp;"_"&amp;BasicInput!$D$7&amp;BasicInput!$D$8&amp;"_"&amp;CC790&amp;".xuf"</f>
        <v>C:\PWWORKING\east01\d2591108\Basic\__2019EX_PM_.xuf</v>
      </c>
    </row>
    <row r="791" spans="44:82" x14ac:dyDescent="0.2">
      <c r="AR791" s="18"/>
      <c r="AX791" s="18"/>
      <c r="CB791" s="31" t="str">
        <f t="shared" si="32"/>
        <v xml:space="preserve">  </v>
      </c>
      <c r="CC791" s="25" t="str">
        <f t="shared" si="33"/>
        <v/>
      </c>
      <c r="CD791" s="25" t="str">
        <f>BasicInput!$D$13&amp;$CD$2&amp;B791&amp;"_"&amp;C791&amp;D791&amp;"_"&amp;BasicInput!$D$7&amp;BasicInput!$D$8&amp;"_"&amp;CC791&amp;".xuf"</f>
        <v>C:\PWWORKING\east01\d2591108\Basic\__2019EX_PM_.xuf</v>
      </c>
    </row>
    <row r="792" spans="44:82" x14ac:dyDescent="0.2">
      <c r="AR792" s="18"/>
      <c r="AX792" s="18"/>
      <c r="CB792" s="31" t="str">
        <f t="shared" si="32"/>
        <v xml:space="preserve">  </v>
      </c>
      <c r="CC792" s="25" t="str">
        <f t="shared" si="33"/>
        <v/>
      </c>
      <c r="CD792" s="25" t="str">
        <f>BasicInput!$D$13&amp;$CD$2&amp;B792&amp;"_"&amp;C792&amp;D792&amp;"_"&amp;BasicInput!$D$7&amp;BasicInput!$D$8&amp;"_"&amp;CC792&amp;".xuf"</f>
        <v>C:\PWWORKING\east01\d2591108\Basic\__2019EX_PM_.xuf</v>
      </c>
    </row>
    <row r="793" spans="44:82" x14ac:dyDescent="0.2">
      <c r="AR793" s="18"/>
      <c r="AX793" s="18"/>
      <c r="CB793" s="31" t="str">
        <f t="shared" si="32"/>
        <v xml:space="preserve">  </v>
      </c>
      <c r="CC793" s="25" t="str">
        <f t="shared" si="33"/>
        <v/>
      </c>
      <c r="CD793" s="25" t="str">
        <f>BasicInput!$D$13&amp;$CD$2&amp;B793&amp;"_"&amp;C793&amp;D793&amp;"_"&amp;BasicInput!$D$7&amp;BasicInput!$D$8&amp;"_"&amp;CC793&amp;".xuf"</f>
        <v>C:\PWWORKING\east01\d2591108\Basic\__2019EX_PM_.xuf</v>
      </c>
    </row>
    <row r="794" spans="44:82" x14ac:dyDescent="0.2">
      <c r="AR794" s="18"/>
      <c r="AX794" s="18"/>
      <c r="CB794" s="31" t="str">
        <f t="shared" si="32"/>
        <v xml:space="preserve">  </v>
      </c>
      <c r="CC794" s="25" t="str">
        <f t="shared" si="33"/>
        <v/>
      </c>
      <c r="CD794" s="25" t="str">
        <f>BasicInput!$D$13&amp;$CD$2&amp;B794&amp;"_"&amp;C794&amp;D794&amp;"_"&amp;BasicInput!$D$7&amp;BasicInput!$D$8&amp;"_"&amp;CC794&amp;".xuf"</f>
        <v>C:\PWWORKING\east01\d2591108\Basic\__2019EX_PM_.xuf</v>
      </c>
    </row>
    <row r="795" spans="44:82" x14ac:dyDescent="0.2">
      <c r="AR795" s="18"/>
      <c r="AX795" s="18"/>
      <c r="CB795" s="31" t="str">
        <f t="shared" si="32"/>
        <v xml:space="preserve">  </v>
      </c>
      <c r="CC795" s="25" t="str">
        <f t="shared" si="33"/>
        <v/>
      </c>
      <c r="CD795" s="25" t="str">
        <f>BasicInput!$D$13&amp;$CD$2&amp;B795&amp;"_"&amp;C795&amp;D795&amp;"_"&amp;BasicInput!$D$7&amp;BasicInput!$D$8&amp;"_"&amp;CC795&amp;".xuf"</f>
        <v>C:\PWWORKING\east01\d2591108\Basic\__2019EX_PM_.xuf</v>
      </c>
    </row>
    <row r="796" spans="44:82" x14ac:dyDescent="0.2">
      <c r="AR796" s="18"/>
      <c r="AX796" s="18"/>
      <c r="CB796" s="31" t="str">
        <f t="shared" si="32"/>
        <v xml:space="preserve">  </v>
      </c>
      <c r="CC796" s="25" t="str">
        <f t="shared" si="33"/>
        <v/>
      </c>
      <c r="CD796" s="25" t="str">
        <f>BasicInput!$D$13&amp;$CD$2&amp;B796&amp;"_"&amp;C796&amp;D796&amp;"_"&amp;BasicInput!$D$7&amp;BasicInput!$D$8&amp;"_"&amp;CC796&amp;".xuf"</f>
        <v>C:\PWWORKING\east01\d2591108\Basic\__2019EX_PM_.xuf</v>
      </c>
    </row>
    <row r="797" spans="44:82" x14ac:dyDescent="0.2">
      <c r="AR797" s="18"/>
      <c r="AX797" s="18"/>
      <c r="CB797" s="31" t="str">
        <f t="shared" si="32"/>
        <v xml:space="preserve">  </v>
      </c>
      <c r="CC797" s="25" t="str">
        <f t="shared" si="33"/>
        <v/>
      </c>
      <c r="CD797" s="25" t="str">
        <f>BasicInput!$D$13&amp;$CD$2&amp;B797&amp;"_"&amp;C797&amp;D797&amp;"_"&amp;BasicInput!$D$7&amp;BasicInput!$D$8&amp;"_"&amp;CC797&amp;".xuf"</f>
        <v>C:\PWWORKING\east01\d2591108\Basic\__2019EX_PM_.xuf</v>
      </c>
    </row>
    <row r="798" spans="44:82" x14ac:dyDescent="0.2">
      <c r="AR798" s="18"/>
      <c r="AX798" s="18"/>
      <c r="CB798" s="31" t="str">
        <f t="shared" si="32"/>
        <v xml:space="preserve">  </v>
      </c>
      <c r="CC798" s="25" t="str">
        <f t="shared" si="33"/>
        <v/>
      </c>
      <c r="CD798" s="25" t="str">
        <f>BasicInput!$D$13&amp;$CD$2&amp;B798&amp;"_"&amp;C798&amp;D798&amp;"_"&amp;BasicInput!$D$7&amp;BasicInput!$D$8&amp;"_"&amp;CC798&amp;".xuf"</f>
        <v>C:\PWWORKING\east01\d2591108\Basic\__2019EX_PM_.xuf</v>
      </c>
    </row>
    <row r="799" spans="44:82" x14ac:dyDescent="0.2">
      <c r="AR799" s="18"/>
      <c r="AX799" s="18"/>
      <c r="CB799" s="31" t="str">
        <f t="shared" si="32"/>
        <v xml:space="preserve">  </v>
      </c>
      <c r="CC799" s="25" t="str">
        <f t="shared" si="33"/>
        <v/>
      </c>
      <c r="CD799" s="25" t="str">
        <f>BasicInput!$D$13&amp;$CD$2&amp;B799&amp;"_"&amp;C799&amp;D799&amp;"_"&amp;BasicInput!$D$7&amp;BasicInput!$D$8&amp;"_"&amp;CC799&amp;".xuf"</f>
        <v>C:\PWWORKING\east01\d2591108\Basic\__2019EX_PM_.xuf</v>
      </c>
    </row>
    <row r="800" spans="44:82" x14ac:dyDescent="0.2">
      <c r="AR800" s="18"/>
      <c r="AX800" s="18"/>
      <c r="CB800" s="31" t="str">
        <f t="shared" si="32"/>
        <v xml:space="preserve">  </v>
      </c>
      <c r="CC800" s="25" t="str">
        <f t="shared" si="33"/>
        <v/>
      </c>
      <c r="CD800" s="25" t="str">
        <f>BasicInput!$D$13&amp;$CD$2&amp;B800&amp;"_"&amp;C800&amp;D800&amp;"_"&amp;BasicInput!$D$7&amp;BasicInput!$D$8&amp;"_"&amp;CC800&amp;".xuf"</f>
        <v>C:\PWWORKING\east01\d2591108\Basic\__2019EX_PM_.xuf</v>
      </c>
    </row>
    <row r="801" spans="44:82" x14ac:dyDescent="0.2">
      <c r="AR801" s="18"/>
      <c r="AX801" s="18"/>
      <c r="CB801" s="31" t="str">
        <f t="shared" si="32"/>
        <v xml:space="preserve">  </v>
      </c>
      <c r="CC801" s="25" t="str">
        <f t="shared" si="33"/>
        <v/>
      </c>
      <c r="CD801" s="25" t="str">
        <f>BasicInput!$D$13&amp;$CD$2&amp;B801&amp;"_"&amp;C801&amp;D801&amp;"_"&amp;BasicInput!$D$7&amp;BasicInput!$D$8&amp;"_"&amp;CC801&amp;".xuf"</f>
        <v>C:\PWWORKING\east01\d2591108\Basic\__2019EX_PM_.xuf</v>
      </c>
    </row>
    <row r="802" spans="44:82" x14ac:dyDescent="0.2">
      <c r="AR802" s="18"/>
      <c r="AX802" s="18"/>
      <c r="CB802" s="31" t="str">
        <f t="shared" si="32"/>
        <v xml:space="preserve">  </v>
      </c>
      <c r="CC802" s="25" t="str">
        <f t="shared" si="33"/>
        <v/>
      </c>
      <c r="CD802" s="25" t="str">
        <f>BasicInput!$D$13&amp;$CD$2&amp;B802&amp;"_"&amp;C802&amp;D802&amp;"_"&amp;BasicInput!$D$7&amp;BasicInput!$D$8&amp;"_"&amp;CC802&amp;".xuf"</f>
        <v>C:\PWWORKING\east01\d2591108\Basic\__2019EX_PM_.xuf</v>
      </c>
    </row>
    <row r="803" spans="44:82" x14ac:dyDescent="0.2">
      <c r="AR803" s="18"/>
      <c r="AX803" s="18"/>
      <c r="CB803" s="31" t="str">
        <f t="shared" si="32"/>
        <v xml:space="preserve">  </v>
      </c>
      <c r="CC803" s="25" t="str">
        <f t="shared" si="33"/>
        <v/>
      </c>
      <c r="CD803" s="25" t="str">
        <f>BasicInput!$D$13&amp;$CD$2&amp;B803&amp;"_"&amp;C803&amp;D803&amp;"_"&amp;BasicInput!$D$7&amp;BasicInput!$D$8&amp;"_"&amp;CC803&amp;".xuf"</f>
        <v>C:\PWWORKING\east01\d2591108\Basic\__2019EX_PM_.xuf</v>
      </c>
    </row>
    <row r="804" spans="44:82" x14ac:dyDescent="0.2">
      <c r="AR804" s="18"/>
      <c r="AX804" s="18"/>
      <c r="CB804" s="31" t="str">
        <f t="shared" si="32"/>
        <v xml:space="preserve">  </v>
      </c>
      <c r="CC804" s="25" t="str">
        <f t="shared" si="33"/>
        <v/>
      </c>
      <c r="CD804" s="25" t="str">
        <f>BasicInput!$D$13&amp;$CD$2&amp;B804&amp;"_"&amp;C804&amp;D804&amp;"_"&amp;BasicInput!$D$7&amp;BasicInput!$D$8&amp;"_"&amp;CC804&amp;".xuf"</f>
        <v>C:\PWWORKING\east01\d2591108\Basic\__2019EX_PM_.xuf</v>
      </c>
    </row>
    <row r="805" spans="44:82" x14ac:dyDescent="0.2">
      <c r="AR805" s="18"/>
      <c r="AX805" s="18"/>
      <c r="CB805" s="31" t="str">
        <f t="shared" si="32"/>
        <v xml:space="preserve">  </v>
      </c>
      <c r="CC805" s="25" t="str">
        <f t="shared" si="33"/>
        <v/>
      </c>
      <c r="CD805" s="25" t="str">
        <f>BasicInput!$D$13&amp;$CD$2&amp;B805&amp;"_"&amp;C805&amp;D805&amp;"_"&amp;BasicInput!$D$7&amp;BasicInput!$D$8&amp;"_"&amp;CC805&amp;".xuf"</f>
        <v>C:\PWWORKING\east01\d2591108\Basic\__2019EX_PM_.xuf</v>
      </c>
    </row>
    <row r="806" spans="44:82" x14ac:dyDescent="0.2">
      <c r="AR806" s="18"/>
      <c r="AX806" s="18"/>
      <c r="CB806" s="31" t="str">
        <f t="shared" si="32"/>
        <v xml:space="preserve">  </v>
      </c>
      <c r="CC806" s="25" t="str">
        <f t="shared" si="33"/>
        <v/>
      </c>
      <c r="CD806" s="25" t="str">
        <f>BasicInput!$D$13&amp;$CD$2&amp;B806&amp;"_"&amp;C806&amp;D806&amp;"_"&amp;BasicInput!$D$7&amp;BasicInput!$D$8&amp;"_"&amp;CC806&amp;".xuf"</f>
        <v>C:\PWWORKING\east01\d2591108\Basic\__2019EX_PM_.xuf</v>
      </c>
    </row>
    <row r="807" spans="44:82" x14ac:dyDescent="0.2">
      <c r="AR807" s="18"/>
      <c r="AX807" s="18"/>
      <c r="CB807" s="31" t="str">
        <f t="shared" si="32"/>
        <v xml:space="preserve">  </v>
      </c>
      <c r="CC807" s="25" t="str">
        <f t="shared" si="33"/>
        <v/>
      </c>
      <c r="CD807" s="25" t="str">
        <f>BasicInput!$D$13&amp;$CD$2&amp;B807&amp;"_"&amp;C807&amp;D807&amp;"_"&amp;BasicInput!$D$7&amp;BasicInput!$D$8&amp;"_"&amp;CC807&amp;".xuf"</f>
        <v>C:\PWWORKING\east01\d2591108\Basic\__2019EX_PM_.xuf</v>
      </c>
    </row>
    <row r="808" spans="44:82" x14ac:dyDescent="0.2">
      <c r="AR808" s="18"/>
      <c r="AX808" s="18"/>
      <c r="CB808" s="31" t="str">
        <f t="shared" si="32"/>
        <v xml:space="preserve">  </v>
      </c>
      <c r="CC808" s="25" t="str">
        <f t="shared" si="33"/>
        <v/>
      </c>
      <c r="CD808" s="25" t="str">
        <f>BasicInput!$D$13&amp;$CD$2&amp;B808&amp;"_"&amp;C808&amp;D808&amp;"_"&amp;BasicInput!$D$7&amp;BasicInput!$D$8&amp;"_"&amp;CC808&amp;".xuf"</f>
        <v>C:\PWWORKING\east01\d2591108\Basic\__2019EX_PM_.xuf</v>
      </c>
    </row>
    <row r="809" spans="44:82" x14ac:dyDescent="0.2">
      <c r="AR809" s="18"/>
      <c r="AX809" s="18"/>
      <c r="CB809" s="31" t="str">
        <f t="shared" si="32"/>
        <v xml:space="preserve">  </v>
      </c>
      <c r="CC809" s="25" t="str">
        <f t="shared" si="33"/>
        <v/>
      </c>
      <c r="CD809" s="25" t="str">
        <f>BasicInput!$D$13&amp;$CD$2&amp;B809&amp;"_"&amp;C809&amp;D809&amp;"_"&amp;BasicInput!$D$7&amp;BasicInput!$D$8&amp;"_"&amp;CC809&amp;".xuf"</f>
        <v>C:\PWWORKING\east01\d2591108\Basic\__2019EX_PM_.xuf</v>
      </c>
    </row>
    <row r="810" spans="44:82" x14ac:dyDescent="0.2">
      <c r="AR810" s="18"/>
      <c r="AX810" s="18"/>
      <c r="CB810" s="31" t="str">
        <f t="shared" si="32"/>
        <v xml:space="preserve">  </v>
      </c>
      <c r="CC810" s="25" t="str">
        <f t="shared" si="33"/>
        <v/>
      </c>
      <c r="CD810" s="25" t="str">
        <f>BasicInput!$D$13&amp;$CD$2&amp;B810&amp;"_"&amp;C810&amp;D810&amp;"_"&amp;BasicInput!$D$7&amp;BasicInput!$D$8&amp;"_"&amp;CC810&amp;".xuf"</f>
        <v>C:\PWWORKING\east01\d2591108\Basic\__2019EX_PM_.xuf</v>
      </c>
    </row>
    <row r="811" spans="44:82" x14ac:dyDescent="0.2">
      <c r="AR811" s="18"/>
      <c r="AX811" s="18"/>
      <c r="CB811" s="31" t="str">
        <f t="shared" si="32"/>
        <v xml:space="preserve">  </v>
      </c>
      <c r="CC811" s="25" t="str">
        <f t="shared" si="33"/>
        <v/>
      </c>
      <c r="CD811" s="25" t="str">
        <f>BasicInput!$D$13&amp;$CD$2&amp;B811&amp;"_"&amp;C811&amp;D811&amp;"_"&amp;BasicInput!$D$7&amp;BasicInput!$D$8&amp;"_"&amp;CC811&amp;".xuf"</f>
        <v>C:\PWWORKING\east01\d2591108\Basic\__2019EX_PM_.xuf</v>
      </c>
    </row>
    <row r="812" spans="44:82" x14ac:dyDescent="0.2">
      <c r="AR812" s="18"/>
      <c r="AX812" s="18"/>
      <c r="CB812" s="31" t="str">
        <f t="shared" si="32"/>
        <v xml:space="preserve">  </v>
      </c>
      <c r="CC812" s="25" t="str">
        <f t="shared" si="33"/>
        <v/>
      </c>
      <c r="CD812" s="25" t="str">
        <f>BasicInput!$D$13&amp;$CD$2&amp;B812&amp;"_"&amp;C812&amp;D812&amp;"_"&amp;BasicInput!$D$7&amp;BasicInput!$D$8&amp;"_"&amp;CC812&amp;".xuf"</f>
        <v>C:\PWWORKING\east01\d2591108\Basic\__2019EX_PM_.xuf</v>
      </c>
    </row>
    <row r="813" spans="44:82" x14ac:dyDescent="0.2">
      <c r="AR813" s="18"/>
      <c r="AX813" s="18"/>
      <c r="CB813" s="31" t="str">
        <f t="shared" si="32"/>
        <v xml:space="preserve">  </v>
      </c>
      <c r="CC813" s="25" t="str">
        <f t="shared" si="33"/>
        <v/>
      </c>
      <c r="CD813" s="25" t="str">
        <f>BasicInput!$D$13&amp;$CD$2&amp;B813&amp;"_"&amp;C813&amp;D813&amp;"_"&amp;BasicInput!$D$7&amp;BasicInput!$D$8&amp;"_"&amp;CC813&amp;".xuf"</f>
        <v>C:\PWWORKING\east01\d2591108\Basic\__2019EX_PM_.xuf</v>
      </c>
    </row>
    <row r="814" spans="44:82" x14ac:dyDescent="0.2">
      <c r="AR814" s="18"/>
      <c r="AX814" s="18"/>
      <c r="CB814" s="31" t="str">
        <f t="shared" si="32"/>
        <v xml:space="preserve">  </v>
      </c>
      <c r="CC814" s="25" t="str">
        <f t="shared" si="33"/>
        <v/>
      </c>
      <c r="CD814" s="25" t="str">
        <f>BasicInput!$D$13&amp;$CD$2&amp;B814&amp;"_"&amp;C814&amp;D814&amp;"_"&amp;BasicInput!$D$7&amp;BasicInput!$D$8&amp;"_"&amp;CC814&amp;".xuf"</f>
        <v>C:\PWWORKING\east01\d2591108\Basic\__2019EX_PM_.xuf</v>
      </c>
    </row>
    <row r="815" spans="44:82" x14ac:dyDescent="0.2">
      <c r="AR815" s="18"/>
      <c r="AX815" s="18"/>
      <c r="CB815" s="31" t="str">
        <f t="shared" si="32"/>
        <v xml:space="preserve">  </v>
      </c>
      <c r="CC815" s="25" t="str">
        <f t="shared" si="33"/>
        <v/>
      </c>
      <c r="CD815" s="25" t="str">
        <f>BasicInput!$D$13&amp;$CD$2&amp;B815&amp;"_"&amp;C815&amp;D815&amp;"_"&amp;BasicInput!$D$7&amp;BasicInput!$D$8&amp;"_"&amp;CC815&amp;".xuf"</f>
        <v>C:\PWWORKING\east01\d2591108\Basic\__2019EX_PM_.xuf</v>
      </c>
    </row>
    <row r="816" spans="44:82" x14ac:dyDescent="0.2">
      <c r="AR816" s="18"/>
      <c r="AX816" s="18"/>
      <c r="CB816" s="31" t="str">
        <f t="shared" si="32"/>
        <v xml:space="preserve">  </v>
      </c>
      <c r="CC816" s="25" t="str">
        <f t="shared" si="33"/>
        <v/>
      </c>
      <c r="CD816" s="25" t="str">
        <f>BasicInput!$D$13&amp;$CD$2&amp;B816&amp;"_"&amp;C816&amp;D816&amp;"_"&amp;BasicInput!$D$7&amp;BasicInput!$D$8&amp;"_"&amp;CC816&amp;".xuf"</f>
        <v>C:\PWWORKING\east01\d2591108\Basic\__2019EX_PM_.xuf</v>
      </c>
    </row>
    <row r="817" spans="44:82" x14ac:dyDescent="0.2">
      <c r="AR817" s="18"/>
      <c r="AX817" s="18"/>
      <c r="CB817" s="31" t="str">
        <f t="shared" si="32"/>
        <v xml:space="preserve">  </v>
      </c>
      <c r="CC817" s="25" t="str">
        <f t="shared" si="33"/>
        <v/>
      </c>
      <c r="CD817" s="25" t="str">
        <f>BasicInput!$D$13&amp;$CD$2&amp;B817&amp;"_"&amp;C817&amp;D817&amp;"_"&amp;BasicInput!$D$7&amp;BasicInput!$D$8&amp;"_"&amp;CC817&amp;".xuf"</f>
        <v>C:\PWWORKING\east01\d2591108\Basic\__2019EX_PM_.xuf</v>
      </c>
    </row>
    <row r="818" spans="44:82" x14ac:dyDescent="0.2">
      <c r="AR818" s="18"/>
      <c r="AX818" s="18"/>
      <c r="CB818" s="31" t="str">
        <f t="shared" si="32"/>
        <v xml:space="preserve">  </v>
      </c>
      <c r="CC818" s="25" t="str">
        <f t="shared" si="33"/>
        <v/>
      </c>
      <c r="CD818" s="25" t="str">
        <f>BasicInput!$D$13&amp;$CD$2&amp;B818&amp;"_"&amp;C818&amp;D818&amp;"_"&amp;BasicInput!$D$7&amp;BasicInput!$D$8&amp;"_"&amp;CC818&amp;".xuf"</f>
        <v>C:\PWWORKING\east01\d2591108\Basic\__2019EX_PM_.xuf</v>
      </c>
    </row>
    <row r="819" spans="44:82" x14ac:dyDescent="0.2">
      <c r="AR819" s="18"/>
      <c r="AX819" s="18"/>
      <c r="CB819" s="31" t="str">
        <f t="shared" si="32"/>
        <v xml:space="preserve">  </v>
      </c>
      <c r="CC819" s="25" t="str">
        <f t="shared" si="33"/>
        <v/>
      </c>
      <c r="CD819" s="25" t="str">
        <f>BasicInput!$D$13&amp;$CD$2&amp;B819&amp;"_"&amp;C819&amp;D819&amp;"_"&amp;BasicInput!$D$7&amp;BasicInput!$D$8&amp;"_"&amp;CC819&amp;".xuf"</f>
        <v>C:\PWWORKING\east01\d2591108\Basic\__2019EX_PM_.xuf</v>
      </c>
    </row>
    <row r="820" spans="44:82" x14ac:dyDescent="0.2">
      <c r="AR820" s="18"/>
      <c r="AX820" s="18"/>
      <c r="CB820" s="31" t="str">
        <f t="shared" si="32"/>
        <v xml:space="preserve">  </v>
      </c>
      <c r="CC820" s="25" t="str">
        <f t="shared" si="33"/>
        <v/>
      </c>
      <c r="CD820" s="25" t="str">
        <f>BasicInput!$D$13&amp;$CD$2&amp;B820&amp;"_"&amp;C820&amp;D820&amp;"_"&amp;BasicInput!$D$7&amp;BasicInput!$D$8&amp;"_"&amp;CC820&amp;".xuf"</f>
        <v>C:\PWWORKING\east01\d2591108\Basic\__2019EX_PM_.xuf</v>
      </c>
    </row>
    <row r="821" spans="44:82" x14ac:dyDescent="0.2">
      <c r="AR821" s="18"/>
      <c r="AX821" s="18"/>
      <c r="CB821" s="31" t="str">
        <f t="shared" si="32"/>
        <v xml:space="preserve">  </v>
      </c>
      <c r="CC821" s="25" t="str">
        <f t="shared" si="33"/>
        <v/>
      </c>
      <c r="CD821" s="25" t="str">
        <f>BasicInput!$D$13&amp;$CD$2&amp;B821&amp;"_"&amp;C821&amp;D821&amp;"_"&amp;BasicInput!$D$7&amp;BasicInput!$D$8&amp;"_"&amp;CC821&amp;".xuf"</f>
        <v>C:\PWWORKING\east01\d2591108\Basic\__2019EX_PM_.xuf</v>
      </c>
    </row>
    <row r="822" spans="44:82" x14ac:dyDescent="0.2">
      <c r="AR822" s="18"/>
      <c r="AX822" s="18"/>
      <c r="CB822" s="31" t="str">
        <f t="shared" si="32"/>
        <v xml:space="preserve">  </v>
      </c>
      <c r="CC822" s="25" t="str">
        <f t="shared" si="33"/>
        <v/>
      </c>
      <c r="CD822" s="25" t="str">
        <f>BasicInput!$D$13&amp;$CD$2&amp;B822&amp;"_"&amp;C822&amp;D822&amp;"_"&amp;BasicInput!$D$7&amp;BasicInput!$D$8&amp;"_"&amp;CC822&amp;".xuf"</f>
        <v>C:\PWWORKING\east01\d2591108\Basic\__2019EX_PM_.xuf</v>
      </c>
    </row>
    <row r="823" spans="44:82" x14ac:dyDescent="0.2">
      <c r="AR823" s="18"/>
      <c r="AX823" s="18"/>
      <c r="CB823" s="31" t="str">
        <f t="shared" si="32"/>
        <v xml:space="preserve">  </v>
      </c>
      <c r="CC823" s="25" t="str">
        <f t="shared" si="33"/>
        <v/>
      </c>
      <c r="CD823" s="25" t="str">
        <f>BasicInput!$D$13&amp;$CD$2&amp;B823&amp;"_"&amp;C823&amp;D823&amp;"_"&amp;BasicInput!$D$7&amp;BasicInput!$D$8&amp;"_"&amp;CC823&amp;".xuf"</f>
        <v>C:\PWWORKING\east01\d2591108\Basic\__2019EX_PM_.xuf</v>
      </c>
    </row>
    <row r="824" spans="44:82" x14ac:dyDescent="0.2">
      <c r="AR824" s="18"/>
      <c r="AX824" s="18"/>
      <c r="CB824" s="31" t="str">
        <f t="shared" si="32"/>
        <v xml:space="preserve">  </v>
      </c>
      <c r="CC824" s="25" t="str">
        <f t="shared" si="33"/>
        <v/>
      </c>
      <c r="CD824" s="25" t="str">
        <f>BasicInput!$D$13&amp;$CD$2&amp;B824&amp;"_"&amp;C824&amp;D824&amp;"_"&amp;BasicInput!$D$7&amp;BasicInput!$D$8&amp;"_"&amp;CC824&amp;".xuf"</f>
        <v>C:\PWWORKING\east01\d2591108\Basic\__2019EX_PM_.xuf</v>
      </c>
    </row>
    <row r="825" spans="44:82" x14ac:dyDescent="0.2">
      <c r="AR825" s="18"/>
      <c r="AX825" s="18"/>
      <c r="CB825" s="31" t="str">
        <f t="shared" si="32"/>
        <v xml:space="preserve">  </v>
      </c>
      <c r="CC825" s="25" t="str">
        <f t="shared" si="33"/>
        <v/>
      </c>
      <c r="CD825" s="25" t="str">
        <f>BasicInput!$D$13&amp;$CD$2&amp;B825&amp;"_"&amp;C825&amp;D825&amp;"_"&amp;BasicInput!$D$7&amp;BasicInput!$D$8&amp;"_"&amp;CC825&amp;".xuf"</f>
        <v>C:\PWWORKING\east01\d2591108\Basic\__2019EX_PM_.xuf</v>
      </c>
    </row>
    <row r="826" spans="44:82" x14ac:dyDescent="0.2">
      <c r="AR826" s="18"/>
      <c r="AX826" s="18"/>
      <c r="CB826" s="31" t="str">
        <f t="shared" si="32"/>
        <v xml:space="preserve">  </v>
      </c>
      <c r="CC826" s="25" t="str">
        <f t="shared" si="33"/>
        <v/>
      </c>
      <c r="CD826" s="25" t="str">
        <f>BasicInput!$D$13&amp;$CD$2&amp;B826&amp;"_"&amp;C826&amp;D826&amp;"_"&amp;BasicInput!$D$7&amp;BasicInput!$D$8&amp;"_"&amp;CC826&amp;".xuf"</f>
        <v>C:\PWWORKING\east01\d2591108\Basic\__2019EX_PM_.xuf</v>
      </c>
    </row>
    <row r="827" spans="44:82" x14ac:dyDescent="0.2">
      <c r="AR827" s="18"/>
      <c r="AX827" s="18"/>
      <c r="CB827" s="31" t="str">
        <f t="shared" si="32"/>
        <v xml:space="preserve">  </v>
      </c>
      <c r="CC827" s="25" t="str">
        <f t="shared" si="33"/>
        <v/>
      </c>
      <c r="CD827" s="25" t="str">
        <f>BasicInput!$D$13&amp;$CD$2&amp;B827&amp;"_"&amp;C827&amp;D827&amp;"_"&amp;BasicInput!$D$7&amp;BasicInput!$D$8&amp;"_"&amp;CC827&amp;".xuf"</f>
        <v>C:\PWWORKING\east01\d2591108\Basic\__2019EX_PM_.xuf</v>
      </c>
    </row>
    <row r="828" spans="44:82" x14ac:dyDescent="0.2">
      <c r="AR828" s="18"/>
      <c r="AX828" s="18"/>
      <c r="CB828" s="31" t="str">
        <f t="shared" si="32"/>
        <v xml:space="preserve">  </v>
      </c>
      <c r="CC828" s="25" t="str">
        <f t="shared" si="33"/>
        <v/>
      </c>
      <c r="CD828" s="25" t="str">
        <f>BasicInput!$D$13&amp;$CD$2&amp;B828&amp;"_"&amp;C828&amp;D828&amp;"_"&amp;BasicInput!$D$7&amp;BasicInput!$D$8&amp;"_"&amp;CC828&amp;".xuf"</f>
        <v>C:\PWWORKING\east01\d2591108\Basic\__2019EX_PM_.xuf</v>
      </c>
    </row>
    <row r="829" spans="44:82" x14ac:dyDescent="0.2">
      <c r="AR829" s="18"/>
      <c r="AX829" s="18"/>
      <c r="CB829" s="31" t="str">
        <f t="shared" si="32"/>
        <v xml:space="preserve">  </v>
      </c>
      <c r="CC829" s="25" t="str">
        <f t="shared" si="33"/>
        <v/>
      </c>
      <c r="CD829" s="25" t="str">
        <f>BasicInput!$D$13&amp;$CD$2&amp;B829&amp;"_"&amp;C829&amp;D829&amp;"_"&amp;BasicInput!$D$7&amp;BasicInput!$D$8&amp;"_"&amp;CC829&amp;".xuf"</f>
        <v>C:\PWWORKING\east01\d2591108\Basic\__2019EX_PM_.xuf</v>
      </c>
    </row>
    <row r="830" spans="44:82" x14ac:dyDescent="0.2">
      <c r="AR830" s="18"/>
      <c r="AX830" s="18"/>
      <c r="CB830" s="31" t="str">
        <f t="shared" si="32"/>
        <v xml:space="preserve">  </v>
      </c>
      <c r="CC830" s="25" t="str">
        <f t="shared" si="33"/>
        <v/>
      </c>
      <c r="CD830" s="25" t="str">
        <f>BasicInput!$D$13&amp;$CD$2&amp;B830&amp;"_"&amp;C830&amp;D830&amp;"_"&amp;BasicInput!$D$7&amp;BasicInput!$D$8&amp;"_"&amp;CC830&amp;".xuf"</f>
        <v>C:\PWWORKING\east01\d2591108\Basic\__2019EX_PM_.xuf</v>
      </c>
    </row>
    <row r="831" spans="44:82" x14ac:dyDescent="0.2">
      <c r="AR831" s="18"/>
      <c r="AX831" s="18"/>
      <c r="CB831" s="31" t="str">
        <f t="shared" si="32"/>
        <v xml:space="preserve">  </v>
      </c>
      <c r="CC831" s="25" t="str">
        <f t="shared" si="33"/>
        <v/>
      </c>
      <c r="CD831" s="25" t="str">
        <f>BasicInput!$D$13&amp;$CD$2&amp;B831&amp;"_"&amp;C831&amp;D831&amp;"_"&amp;BasicInput!$D$7&amp;BasicInput!$D$8&amp;"_"&amp;CC831&amp;".xuf"</f>
        <v>C:\PWWORKING\east01\d2591108\Basic\__2019EX_PM_.xuf</v>
      </c>
    </row>
    <row r="832" spans="44:82" x14ac:dyDescent="0.2">
      <c r="AR832" s="18"/>
      <c r="AX832" s="18"/>
      <c r="CB832" s="31" t="str">
        <f t="shared" si="32"/>
        <v xml:space="preserve">  </v>
      </c>
      <c r="CC832" s="25" t="str">
        <f t="shared" si="33"/>
        <v/>
      </c>
      <c r="CD832" s="25" t="str">
        <f>BasicInput!$D$13&amp;$CD$2&amp;B832&amp;"_"&amp;C832&amp;D832&amp;"_"&amp;BasicInput!$D$7&amp;BasicInput!$D$8&amp;"_"&amp;CC832&amp;".xuf"</f>
        <v>C:\PWWORKING\east01\d2591108\Basic\__2019EX_PM_.xuf</v>
      </c>
    </row>
    <row r="833" spans="44:82" x14ac:dyDescent="0.2">
      <c r="AR833" s="18"/>
      <c r="AX833" s="18"/>
      <c r="CB833" s="31" t="str">
        <f t="shared" si="32"/>
        <v xml:space="preserve">  </v>
      </c>
      <c r="CC833" s="25" t="str">
        <f t="shared" si="33"/>
        <v/>
      </c>
      <c r="CD833" s="25" t="str">
        <f>BasicInput!$D$13&amp;$CD$2&amp;B833&amp;"_"&amp;C833&amp;D833&amp;"_"&amp;BasicInput!$D$7&amp;BasicInput!$D$8&amp;"_"&amp;CC833&amp;".xuf"</f>
        <v>C:\PWWORKING\east01\d2591108\Basic\__2019EX_PM_.xuf</v>
      </c>
    </row>
    <row r="834" spans="44:82" x14ac:dyDescent="0.2">
      <c r="AR834" s="18"/>
      <c r="AX834" s="18"/>
      <c r="CB834" s="31" t="str">
        <f t="shared" si="32"/>
        <v xml:space="preserve">  </v>
      </c>
      <c r="CC834" s="25" t="str">
        <f t="shared" si="33"/>
        <v/>
      </c>
      <c r="CD834" s="25" t="str">
        <f>BasicInput!$D$13&amp;$CD$2&amp;B834&amp;"_"&amp;C834&amp;D834&amp;"_"&amp;BasicInput!$D$7&amp;BasicInput!$D$8&amp;"_"&amp;CC834&amp;".xuf"</f>
        <v>C:\PWWORKING\east01\d2591108\Basic\__2019EX_PM_.xuf</v>
      </c>
    </row>
    <row r="835" spans="44:82" x14ac:dyDescent="0.2">
      <c r="AR835" s="18"/>
      <c r="AX835" s="18"/>
      <c r="CB835" s="31" t="str">
        <f t="shared" si="32"/>
        <v xml:space="preserve">  </v>
      </c>
      <c r="CC835" s="25" t="str">
        <f t="shared" si="33"/>
        <v/>
      </c>
      <c r="CD835" s="25" t="str">
        <f>BasicInput!$D$13&amp;$CD$2&amp;B835&amp;"_"&amp;C835&amp;D835&amp;"_"&amp;BasicInput!$D$7&amp;BasicInput!$D$8&amp;"_"&amp;CC835&amp;".xuf"</f>
        <v>C:\PWWORKING\east01\d2591108\Basic\__2019EX_PM_.xuf</v>
      </c>
    </row>
    <row r="836" spans="44:82" x14ac:dyDescent="0.2">
      <c r="AR836" s="18"/>
      <c r="AX836" s="18"/>
      <c r="CB836" s="31" t="str">
        <f t="shared" si="32"/>
        <v xml:space="preserve">  </v>
      </c>
      <c r="CC836" s="25" t="str">
        <f t="shared" si="33"/>
        <v/>
      </c>
      <c r="CD836" s="25" t="str">
        <f>BasicInput!$D$13&amp;$CD$2&amp;B836&amp;"_"&amp;C836&amp;D836&amp;"_"&amp;BasicInput!$D$7&amp;BasicInput!$D$8&amp;"_"&amp;CC836&amp;".xuf"</f>
        <v>C:\PWWORKING\east01\d2591108\Basic\__2019EX_PM_.xuf</v>
      </c>
    </row>
    <row r="837" spans="44:82" x14ac:dyDescent="0.2">
      <c r="AR837" s="18"/>
      <c r="AX837" s="18"/>
      <c r="CB837" s="31" t="str">
        <f t="shared" si="32"/>
        <v xml:space="preserve">  </v>
      </c>
      <c r="CC837" s="25" t="str">
        <f t="shared" si="33"/>
        <v/>
      </c>
      <c r="CD837" s="25" t="str">
        <f>BasicInput!$D$13&amp;$CD$2&amp;B837&amp;"_"&amp;C837&amp;D837&amp;"_"&amp;BasicInput!$D$7&amp;BasicInput!$D$8&amp;"_"&amp;CC837&amp;".xuf"</f>
        <v>C:\PWWORKING\east01\d2591108\Basic\__2019EX_PM_.xuf</v>
      </c>
    </row>
    <row r="838" spans="44:82" x14ac:dyDescent="0.2">
      <c r="AR838" s="18"/>
      <c r="AX838" s="18"/>
      <c r="CB838" s="31" t="str">
        <f t="shared" si="32"/>
        <v xml:space="preserve">  </v>
      </c>
      <c r="CC838" s="25" t="str">
        <f t="shared" si="33"/>
        <v/>
      </c>
      <c r="CD838" s="25" t="str">
        <f>BasicInput!$D$13&amp;$CD$2&amp;B838&amp;"_"&amp;C838&amp;D838&amp;"_"&amp;BasicInput!$D$7&amp;BasicInput!$D$8&amp;"_"&amp;CC838&amp;".xuf"</f>
        <v>C:\PWWORKING\east01\d2591108\Basic\__2019EX_PM_.xuf</v>
      </c>
    </row>
    <row r="839" spans="44:82" x14ac:dyDescent="0.2">
      <c r="AR839" s="18"/>
      <c r="AX839" s="18"/>
      <c r="CB839" s="31" t="str">
        <f t="shared" si="32"/>
        <v xml:space="preserve">  </v>
      </c>
      <c r="CC839" s="25" t="str">
        <f t="shared" si="33"/>
        <v/>
      </c>
      <c r="CD839" s="25" t="str">
        <f>BasicInput!$D$13&amp;$CD$2&amp;B839&amp;"_"&amp;C839&amp;D839&amp;"_"&amp;BasicInput!$D$7&amp;BasicInput!$D$8&amp;"_"&amp;CC839&amp;".xuf"</f>
        <v>C:\PWWORKING\east01\d2591108\Basic\__2019EX_PM_.xuf</v>
      </c>
    </row>
    <row r="840" spans="44:82" x14ac:dyDescent="0.2">
      <c r="AR840" s="18"/>
      <c r="AX840" s="18"/>
      <c r="CB840" s="31" t="str">
        <f t="shared" si="32"/>
        <v xml:space="preserve">  </v>
      </c>
      <c r="CC840" s="25" t="str">
        <f t="shared" si="33"/>
        <v/>
      </c>
      <c r="CD840" s="25" t="str">
        <f>BasicInput!$D$13&amp;$CD$2&amp;B840&amp;"_"&amp;C840&amp;D840&amp;"_"&amp;BasicInput!$D$7&amp;BasicInput!$D$8&amp;"_"&amp;CC840&amp;".xuf"</f>
        <v>C:\PWWORKING\east01\d2591108\Basic\__2019EX_PM_.xuf</v>
      </c>
    </row>
    <row r="841" spans="44:82" x14ac:dyDescent="0.2">
      <c r="AR841" s="18"/>
      <c r="AX841" s="18"/>
      <c r="CB841" s="31" t="str">
        <f t="shared" si="32"/>
        <v xml:space="preserve">  </v>
      </c>
      <c r="CC841" s="25" t="str">
        <f t="shared" si="33"/>
        <v/>
      </c>
      <c r="CD841" s="25" t="str">
        <f>BasicInput!$D$13&amp;$CD$2&amp;B841&amp;"_"&amp;C841&amp;D841&amp;"_"&amp;BasicInput!$D$7&amp;BasicInput!$D$8&amp;"_"&amp;CC841&amp;".xuf"</f>
        <v>C:\PWWORKING\east01\d2591108\Basic\__2019EX_PM_.xuf</v>
      </c>
    </row>
    <row r="842" spans="44:82" x14ac:dyDescent="0.2">
      <c r="AR842" s="18"/>
      <c r="AX842" s="18"/>
      <c r="CB842" s="31" t="str">
        <f t="shared" si="32"/>
        <v xml:space="preserve">  </v>
      </c>
      <c r="CC842" s="25" t="str">
        <f t="shared" si="33"/>
        <v/>
      </c>
      <c r="CD842" s="25" t="str">
        <f>BasicInput!$D$13&amp;$CD$2&amp;B842&amp;"_"&amp;C842&amp;D842&amp;"_"&amp;BasicInput!$D$7&amp;BasicInput!$D$8&amp;"_"&amp;CC842&amp;".xuf"</f>
        <v>C:\PWWORKING\east01\d2591108\Basic\__2019EX_PM_.xuf</v>
      </c>
    </row>
    <row r="843" spans="44:82" x14ac:dyDescent="0.2">
      <c r="AR843" s="18"/>
      <c r="AX843" s="18"/>
      <c r="CB843" s="31" t="str">
        <f t="shared" si="32"/>
        <v xml:space="preserve">  </v>
      </c>
      <c r="CC843" s="25" t="str">
        <f t="shared" si="33"/>
        <v/>
      </c>
      <c r="CD843" s="25" t="str">
        <f>BasicInput!$D$13&amp;$CD$2&amp;B843&amp;"_"&amp;C843&amp;D843&amp;"_"&amp;BasicInput!$D$7&amp;BasicInput!$D$8&amp;"_"&amp;CC843&amp;".xuf"</f>
        <v>C:\PWWORKING\east01\d2591108\Basic\__2019EX_PM_.xuf</v>
      </c>
    </row>
    <row r="844" spans="44:82" x14ac:dyDescent="0.2">
      <c r="AR844" s="18"/>
      <c r="AX844" s="18"/>
      <c r="CB844" s="31" t="str">
        <f t="shared" si="32"/>
        <v xml:space="preserve">  </v>
      </c>
      <c r="CC844" s="25" t="str">
        <f t="shared" si="33"/>
        <v/>
      </c>
      <c r="CD844" s="25" t="str">
        <f>BasicInput!$D$13&amp;$CD$2&amp;B844&amp;"_"&amp;C844&amp;D844&amp;"_"&amp;BasicInput!$D$7&amp;BasicInput!$D$8&amp;"_"&amp;CC844&amp;".xuf"</f>
        <v>C:\PWWORKING\east01\d2591108\Basic\__2019EX_PM_.xuf</v>
      </c>
    </row>
    <row r="845" spans="44:82" x14ac:dyDescent="0.2">
      <c r="AR845" s="18"/>
      <c r="AX845" s="18"/>
      <c r="CB845" s="31" t="str">
        <f t="shared" si="32"/>
        <v xml:space="preserve">  </v>
      </c>
      <c r="CC845" s="25" t="str">
        <f t="shared" si="33"/>
        <v/>
      </c>
      <c r="CD845" s="25" t="str">
        <f>BasicInput!$D$13&amp;$CD$2&amp;B845&amp;"_"&amp;C845&amp;D845&amp;"_"&amp;BasicInput!$D$7&amp;BasicInput!$D$8&amp;"_"&amp;CC845&amp;".xuf"</f>
        <v>C:\PWWORKING\east01\d2591108\Basic\__2019EX_PM_.xuf</v>
      </c>
    </row>
    <row r="846" spans="44:82" x14ac:dyDescent="0.2">
      <c r="AR846" s="18"/>
      <c r="AX846" s="18"/>
      <c r="CB846" s="31" t="str">
        <f t="shared" si="32"/>
        <v xml:space="preserve">  </v>
      </c>
      <c r="CC846" s="25" t="str">
        <f t="shared" si="33"/>
        <v/>
      </c>
      <c r="CD846" s="25" t="str">
        <f>BasicInput!$D$13&amp;$CD$2&amp;B846&amp;"_"&amp;C846&amp;D846&amp;"_"&amp;BasicInput!$D$7&amp;BasicInput!$D$8&amp;"_"&amp;CC846&amp;".xuf"</f>
        <v>C:\PWWORKING\east01\d2591108\Basic\__2019EX_PM_.xuf</v>
      </c>
    </row>
    <row r="847" spans="44:82" x14ac:dyDescent="0.2">
      <c r="AR847" s="18"/>
      <c r="AX847" s="18"/>
      <c r="CB847" s="31" t="str">
        <f t="shared" si="32"/>
        <v xml:space="preserve">  </v>
      </c>
      <c r="CC847" s="25" t="str">
        <f t="shared" si="33"/>
        <v/>
      </c>
      <c r="CD847" s="25" t="str">
        <f>BasicInput!$D$13&amp;$CD$2&amp;B847&amp;"_"&amp;C847&amp;D847&amp;"_"&amp;BasicInput!$D$7&amp;BasicInput!$D$8&amp;"_"&amp;CC847&amp;".xuf"</f>
        <v>C:\PWWORKING\east01\d2591108\Basic\__2019EX_PM_.xuf</v>
      </c>
    </row>
    <row r="848" spans="44:82" x14ac:dyDescent="0.2">
      <c r="AR848" s="18"/>
      <c r="AX848" s="18"/>
      <c r="CB848" s="31" t="str">
        <f t="shared" si="32"/>
        <v xml:space="preserve">  </v>
      </c>
      <c r="CC848" s="25" t="str">
        <f t="shared" si="33"/>
        <v/>
      </c>
      <c r="CD848" s="25" t="str">
        <f>BasicInput!$D$13&amp;$CD$2&amp;B848&amp;"_"&amp;C848&amp;D848&amp;"_"&amp;BasicInput!$D$7&amp;BasicInput!$D$8&amp;"_"&amp;CC848&amp;".xuf"</f>
        <v>C:\PWWORKING\east01\d2591108\Basic\__2019EX_PM_.xuf</v>
      </c>
    </row>
    <row r="849" spans="44:82" x14ac:dyDescent="0.2">
      <c r="AR849" s="18"/>
      <c r="AX849" s="18"/>
      <c r="CB849" s="31" t="str">
        <f t="shared" ref="CB849:CB912" si="34">C849&amp; " "&amp;D849&amp;" " &amp;E849</f>
        <v xml:space="preserve">  </v>
      </c>
      <c r="CC849" s="25" t="str">
        <f t="shared" ref="CC849:CC912" si="35">SUBSTITUTE(E849, "/", "_")</f>
        <v/>
      </c>
      <c r="CD849" s="25" t="str">
        <f>BasicInput!$D$13&amp;$CD$2&amp;B849&amp;"_"&amp;C849&amp;D849&amp;"_"&amp;BasicInput!$D$7&amp;BasicInput!$D$8&amp;"_"&amp;CC849&amp;".xuf"</f>
        <v>C:\PWWORKING\east01\d2591108\Basic\__2019EX_PM_.xuf</v>
      </c>
    </row>
    <row r="850" spans="44:82" x14ac:dyDescent="0.2">
      <c r="AR850" s="18"/>
      <c r="AX850" s="18"/>
      <c r="CB850" s="31" t="str">
        <f t="shared" si="34"/>
        <v xml:space="preserve">  </v>
      </c>
      <c r="CC850" s="25" t="str">
        <f t="shared" si="35"/>
        <v/>
      </c>
      <c r="CD850" s="25" t="str">
        <f>BasicInput!$D$13&amp;$CD$2&amp;B850&amp;"_"&amp;C850&amp;D850&amp;"_"&amp;BasicInput!$D$7&amp;BasicInput!$D$8&amp;"_"&amp;CC850&amp;".xuf"</f>
        <v>C:\PWWORKING\east01\d2591108\Basic\__2019EX_PM_.xuf</v>
      </c>
    </row>
    <row r="851" spans="44:82" x14ac:dyDescent="0.2">
      <c r="AR851" s="18"/>
      <c r="AX851" s="18"/>
      <c r="CB851" s="31" t="str">
        <f t="shared" si="34"/>
        <v xml:space="preserve">  </v>
      </c>
      <c r="CC851" s="25" t="str">
        <f t="shared" si="35"/>
        <v/>
      </c>
      <c r="CD851" s="25" t="str">
        <f>BasicInput!$D$13&amp;$CD$2&amp;B851&amp;"_"&amp;C851&amp;D851&amp;"_"&amp;BasicInput!$D$7&amp;BasicInput!$D$8&amp;"_"&amp;CC851&amp;".xuf"</f>
        <v>C:\PWWORKING\east01\d2591108\Basic\__2019EX_PM_.xuf</v>
      </c>
    </row>
    <row r="852" spans="44:82" x14ac:dyDescent="0.2">
      <c r="AR852" s="18"/>
      <c r="AX852" s="18"/>
      <c r="CB852" s="31" t="str">
        <f t="shared" si="34"/>
        <v xml:space="preserve">  </v>
      </c>
      <c r="CC852" s="25" t="str">
        <f t="shared" si="35"/>
        <v/>
      </c>
      <c r="CD852" s="25" t="str">
        <f>BasicInput!$D$13&amp;$CD$2&amp;B852&amp;"_"&amp;C852&amp;D852&amp;"_"&amp;BasicInput!$D$7&amp;BasicInput!$D$8&amp;"_"&amp;CC852&amp;".xuf"</f>
        <v>C:\PWWORKING\east01\d2591108\Basic\__2019EX_PM_.xuf</v>
      </c>
    </row>
    <row r="853" spans="44:82" x14ac:dyDescent="0.2">
      <c r="AR853" s="18"/>
      <c r="AX853" s="18"/>
      <c r="CB853" s="31" t="str">
        <f t="shared" si="34"/>
        <v xml:space="preserve">  </v>
      </c>
      <c r="CC853" s="25" t="str">
        <f t="shared" si="35"/>
        <v/>
      </c>
      <c r="CD853" s="25" t="str">
        <f>BasicInput!$D$13&amp;$CD$2&amp;B853&amp;"_"&amp;C853&amp;D853&amp;"_"&amp;BasicInput!$D$7&amp;BasicInput!$D$8&amp;"_"&amp;CC853&amp;".xuf"</f>
        <v>C:\PWWORKING\east01\d2591108\Basic\__2019EX_PM_.xuf</v>
      </c>
    </row>
    <row r="854" spans="44:82" x14ac:dyDescent="0.2">
      <c r="AR854" s="18"/>
      <c r="AX854" s="18"/>
      <c r="CB854" s="31" t="str">
        <f t="shared" si="34"/>
        <v xml:space="preserve">  </v>
      </c>
      <c r="CC854" s="25" t="str">
        <f t="shared" si="35"/>
        <v/>
      </c>
      <c r="CD854" s="25" t="str">
        <f>BasicInput!$D$13&amp;$CD$2&amp;B854&amp;"_"&amp;C854&amp;D854&amp;"_"&amp;BasicInput!$D$7&amp;BasicInput!$D$8&amp;"_"&amp;CC854&amp;".xuf"</f>
        <v>C:\PWWORKING\east01\d2591108\Basic\__2019EX_PM_.xuf</v>
      </c>
    </row>
    <row r="855" spans="44:82" x14ac:dyDescent="0.2">
      <c r="AR855" s="18"/>
      <c r="AX855" s="18"/>
      <c r="CB855" s="31" t="str">
        <f t="shared" si="34"/>
        <v xml:space="preserve">  </v>
      </c>
      <c r="CC855" s="25" t="str">
        <f t="shared" si="35"/>
        <v/>
      </c>
      <c r="CD855" s="25" t="str">
        <f>BasicInput!$D$13&amp;$CD$2&amp;B855&amp;"_"&amp;C855&amp;D855&amp;"_"&amp;BasicInput!$D$7&amp;BasicInput!$D$8&amp;"_"&amp;CC855&amp;".xuf"</f>
        <v>C:\PWWORKING\east01\d2591108\Basic\__2019EX_PM_.xuf</v>
      </c>
    </row>
    <row r="856" spans="44:82" x14ac:dyDescent="0.2">
      <c r="AR856" s="18"/>
      <c r="AX856" s="18"/>
      <c r="CB856" s="31" t="str">
        <f t="shared" si="34"/>
        <v xml:space="preserve">  </v>
      </c>
      <c r="CC856" s="25" t="str">
        <f t="shared" si="35"/>
        <v/>
      </c>
      <c r="CD856" s="25" t="str">
        <f>BasicInput!$D$13&amp;$CD$2&amp;B856&amp;"_"&amp;C856&amp;D856&amp;"_"&amp;BasicInput!$D$7&amp;BasicInput!$D$8&amp;"_"&amp;CC856&amp;".xuf"</f>
        <v>C:\PWWORKING\east01\d2591108\Basic\__2019EX_PM_.xuf</v>
      </c>
    </row>
    <row r="857" spans="44:82" x14ac:dyDescent="0.2">
      <c r="AR857" s="18"/>
      <c r="AX857" s="18"/>
      <c r="CB857" s="31" t="str">
        <f t="shared" si="34"/>
        <v xml:space="preserve">  </v>
      </c>
      <c r="CC857" s="25" t="str">
        <f t="shared" si="35"/>
        <v/>
      </c>
      <c r="CD857" s="25" t="str">
        <f>BasicInput!$D$13&amp;$CD$2&amp;B857&amp;"_"&amp;C857&amp;D857&amp;"_"&amp;BasicInput!$D$7&amp;BasicInput!$D$8&amp;"_"&amp;CC857&amp;".xuf"</f>
        <v>C:\PWWORKING\east01\d2591108\Basic\__2019EX_PM_.xuf</v>
      </c>
    </row>
    <row r="858" spans="44:82" x14ac:dyDescent="0.2">
      <c r="AR858" s="18"/>
      <c r="AX858" s="18"/>
      <c r="CB858" s="31" t="str">
        <f t="shared" si="34"/>
        <v xml:space="preserve">  </v>
      </c>
      <c r="CC858" s="25" t="str">
        <f t="shared" si="35"/>
        <v/>
      </c>
      <c r="CD858" s="25" t="str">
        <f>BasicInput!$D$13&amp;$CD$2&amp;B858&amp;"_"&amp;C858&amp;D858&amp;"_"&amp;BasicInput!$D$7&amp;BasicInput!$D$8&amp;"_"&amp;CC858&amp;".xuf"</f>
        <v>C:\PWWORKING\east01\d2591108\Basic\__2019EX_PM_.xuf</v>
      </c>
    </row>
    <row r="859" spans="44:82" x14ac:dyDescent="0.2">
      <c r="AR859" s="18"/>
      <c r="AX859" s="18"/>
      <c r="CB859" s="31" t="str">
        <f t="shared" si="34"/>
        <v xml:space="preserve">  </v>
      </c>
      <c r="CC859" s="25" t="str">
        <f t="shared" si="35"/>
        <v/>
      </c>
      <c r="CD859" s="25" t="str">
        <f>BasicInput!$D$13&amp;$CD$2&amp;B859&amp;"_"&amp;C859&amp;D859&amp;"_"&amp;BasicInput!$D$7&amp;BasicInput!$D$8&amp;"_"&amp;CC859&amp;".xuf"</f>
        <v>C:\PWWORKING\east01\d2591108\Basic\__2019EX_PM_.xuf</v>
      </c>
    </row>
    <row r="860" spans="44:82" x14ac:dyDescent="0.2">
      <c r="AR860" s="18"/>
      <c r="AX860" s="18"/>
      <c r="CB860" s="31" t="str">
        <f t="shared" si="34"/>
        <v xml:space="preserve">  </v>
      </c>
      <c r="CC860" s="25" t="str">
        <f t="shared" si="35"/>
        <v/>
      </c>
      <c r="CD860" s="25" t="str">
        <f>BasicInput!$D$13&amp;$CD$2&amp;B860&amp;"_"&amp;C860&amp;D860&amp;"_"&amp;BasicInput!$D$7&amp;BasicInput!$D$8&amp;"_"&amp;CC860&amp;".xuf"</f>
        <v>C:\PWWORKING\east01\d2591108\Basic\__2019EX_PM_.xuf</v>
      </c>
    </row>
    <row r="861" spans="44:82" x14ac:dyDescent="0.2">
      <c r="AR861" s="18"/>
      <c r="AX861" s="18"/>
      <c r="CB861" s="31" t="str">
        <f t="shared" si="34"/>
        <v xml:space="preserve">  </v>
      </c>
      <c r="CC861" s="25" t="str">
        <f t="shared" si="35"/>
        <v/>
      </c>
      <c r="CD861" s="25" t="str">
        <f>BasicInput!$D$13&amp;$CD$2&amp;B861&amp;"_"&amp;C861&amp;D861&amp;"_"&amp;BasicInput!$D$7&amp;BasicInput!$D$8&amp;"_"&amp;CC861&amp;".xuf"</f>
        <v>C:\PWWORKING\east01\d2591108\Basic\__2019EX_PM_.xuf</v>
      </c>
    </row>
    <row r="862" spans="44:82" x14ac:dyDescent="0.2">
      <c r="AR862" s="18"/>
      <c r="AX862" s="18"/>
      <c r="CB862" s="31" t="str">
        <f t="shared" si="34"/>
        <v xml:space="preserve">  </v>
      </c>
      <c r="CC862" s="25" t="str">
        <f t="shared" si="35"/>
        <v/>
      </c>
      <c r="CD862" s="25" t="str">
        <f>BasicInput!$D$13&amp;$CD$2&amp;B862&amp;"_"&amp;C862&amp;D862&amp;"_"&amp;BasicInput!$D$7&amp;BasicInput!$D$8&amp;"_"&amp;CC862&amp;".xuf"</f>
        <v>C:\PWWORKING\east01\d2591108\Basic\__2019EX_PM_.xuf</v>
      </c>
    </row>
    <row r="863" spans="44:82" x14ac:dyDescent="0.2">
      <c r="AR863" s="18"/>
      <c r="AX863" s="18"/>
      <c r="CB863" s="31" t="str">
        <f t="shared" si="34"/>
        <v xml:space="preserve">  </v>
      </c>
      <c r="CC863" s="25" t="str">
        <f t="shared" si="35"/>
        <v/>
      </c>
      <c r="CD863" s="25" t="str">
        <f>BasicInput!$D$13&amp;$CD$2&amp;B863&amp;"_"&amp;C863&amp;D863&amp;"_"&amp;BasicInput!$D$7&amp;BasicInput!$D$8&amp;"_"&amp;CC863&amp;".xuf"</f>
        <v>C:\PWWORKING\east01\d2591108\Basic\__2019EX_PM_.xuf</v>
      </c>
    </row>
    <row r="864" spans="44:82" x14ac:dyDescent="0.2">
      <c r="AR864" s="18"/>
      <c r="AX864" s="18"/>
      <c r="CB864" s="31" t="str">
        <f t="shared" si="34"/>
        <v xml:space="preserve">  </v>
      </c>
      <c r="CC864" s="25" t="str">
        <f t="shared" si="35"/>
        <v/>
      </c>
      <c r="CD864" s="25" t="str">
        <f>BasicInput!$D$13&amp;$CD$2&amp;B864&amp;"_"&amp;C864&amp;D864&amp;"_"&amp;BasicInput!$D$7&amp;BasicInput!$D$8&amp;"_"&amp;CC864&amp;".xuf"</f>
        <v>C:\PWWORKING\east01\d2591108\Basic\__2019EX_PM_.xuf</v>
      </c>
    </row>
    <row r="865" spans="44:82" x14ac:dyDescent="0.2">
      <c r="AR865" s="18"/>
      <c r="AX865" s="18"/>
      <c r="CB865" s="31" t="str">
        <f t="shared" si="34"/>
        <v xml:space="preserve">  </v>
      </c>
      <c r="CC865" s="25" t="str">
        <f t="shared" si="35"/>
        <v/>
      </c>
      <c r="CD865" s="25" t="str">
        <f>BasicInput!$D$13&amp;$CD$2&amp;B865&amp;"_"&amp;C865&amp;D865&amp;"_"&amp;BasicInput!$D$7&amp;BasicInput!$D$8&amp;"_"&amp;CC865&amp;".xuf"</f>
        <v>C:\PWWORKING\east01\d2591108\Basic\__2019EX_PM_.xuf</v>
      </c>
    </row>
    <row r="866" spans="44:82" x14ac:dyDescent="0.2">
      <c r="AR866" s="18"/>
      <c r="AX866" s="18"/>
      <c r="CB866" s="31" t="str">
        <f t="shared" si="34"/>
        <v xml:space="preserve">  </v>
      </c>
      <c r="CC866" s="25" t="str">
        <f t="shared" si="35"/>
        <v/>
      </c>
      <c r="CD866" s="25" t="str">
        <f>BasicInput!$D$13&amp;$CD$2&amp;B866&amp;"_"&amp;C866&amp;D866&amp;"_"&amp;BasicInput!$D$7&amp;BasicInput!$D$8&amp;"_"&amp;CC866&amp;".xuf"</f>
        <v>C:\PWWORKING\east01\d2591108\Basic\__2019EX_PM_.xuf</v>
      </c>
    </row>
    <row r="867" spans="44:82" x14ac:dyDescent="0.2">
      <c r="AR867" s="18"/>
      <c r="AX867" s="18"/>
      <c r="CB867" s="31" t="str">
        <f t="shared" si="34"/>
        <v xml:space="preserve">  </v>
      </c>
      <c r="CC867" s="25" t="str">
        <f t="shared" si="35"/>
        <v/>
      </c>
      <c r="CD867" s="25" t="str">
        <f>BasicInput!$D$13&amp;$CD$2&amp;B867&amp;"_"&amp;C867&amp;D867&amp;"_"&amp;BasicInput!$D$7&amp;BasicInput!$D$8&amp;"_"&amp;CC867&amp;".xuf"</f>
        <v>C:\PWWORKING\east01\d2591108\Basic\__2019EX_PM_.xuf</v>
      </c>
    </row>
    <row r="868" spans="44:82" x14ac:dyDescent="0.2">
      <c r="AR868" s="18"/>
      <c r="AX868" s="18"/>
      <c r="CB868" s="31" t="str">
        <f t="shared" si="34"/>
        <v xml:space="preserve">  </v>
      </c>
      <c r="CC868" s="25" t="str">
        <f t="shared" si="35"/>
        <v/>
      </c>
      <c r="CD868" s="25" t="str">
        <f>BasicInput!$D$13&amp;$CD$2&amp;B868&amp;"_"&amp;C868&amp;D868&amp;"_"&amp;BasicInput!$D$7&amp;BasicInput!$D$8&amp;"_"&amp;CC868&amp;".xuf"</f>
        <v>C:\PWWORKING\east01\d2591108\Basic\__2019EX_PM_.xuf</v>
      </c>
    </row>
    <row r="869" spans="44:82" x14ac:dyDescent="0.2">
      <c r="AR869" s="18"/>
      <c r="AX869" s="18"/>
      <c r="CB869" s="31" t="str">
        <f t="shared" si="34"/>
        <v xml:space="preserve">  </v>
      </c>
      <c r="CC869" s="25" t="str">
        <f t="shared" si="35"/>
        <v/>
      </c>
      <c r="CD869" s="25" t="str">
        <f>BasicInput!$D$13&amp;$CD$2&amp;B869&amp;"_"&amp;C869&amp;D869&amp;"_"&amp;BasicInput!$D$7&amp;BasicInput!$D$8&amp;"_"&amp;CC869&amp;".xuf"</f>
        <v>C:\PWWORKING\east01\d2591108\Basic\__2019EX_PM_.xuf</v>
      </c>
    </row>
    <row r="870" spans="44:82" x14ac:dyDescent="0.2">
      <c r="AR870" s="18"/>
      <c r="AX870" s="18"/>
      <c r="CB870" s="31" t="str">
        <f t="shared" si="34"/>
        <v xml:space="preserve">  </v>
      </c>
      <c r="CC870" s="25" t="str">
        <f t="shared" si="35"/>
        <v/>
      </c>
      <c r="CD870" s="25" t="str">
        <f>BasicInput!$D$13&amp;$CD$2&amp;B870&amp;"_"&amp;C870&amp;D870&amp;"_"&amp;BasicInput!$D$7&amp;BasicInput!$D$8&amp;"_"&amp;CC870&amp;".xuf"</f>
        <v>C:\PWWORKING\east01\d2591108\Basic\__2019EX_PM_.xuf</v>
      </c>
    </row>
    <row r="871" spans="44:82" x14ac:dyDescent="0.2">
      <c r="AR871" s="18"/>
      <c r="AX871" s="18"/>
      <c r="CB871" s="31" t="str">
        <f t="shared" si="34"/>
        <v xml:space="preserve">  </v>
      </c>
      <c r="CC871" s="25" t="str">
        <f t="shared" si="35"/>
        <v/>
      </c>
      <c r="CD871" s="25" t="str">
        <f>BasicInput!$D$13&amp;$CD$2&amp;B871&amp;"_"&amp;C871&amp;D871&amp;"_"&amp;BasicInput!$D$7&amp;BasicInput!$D$8&amp;"_"&amp;CC871&amp;".xuf"</f>
        <v>C:\PWWORKING\east01\d2591108\Basic\__2019EX_PM_.xuf</v>
      </c>
    </row>
    <row r="872" spans="44:82" x14ac:dyDescent="0.2">
      <c r="AR872" s="18"/>
      <c r="AX872" s="18"/>
      <c r="CB872" s="31" t="str">
        <f t="shared" si="34"/>
        <v xml:space="preserve">  </v>
      </c>
      <c r="CC872" s="25" t="str">
        <f t="shared" si="35"/>
        <v/>
      </c>
      <c r="CD872" s="25" t="str">
        <f>BasicInput!$D$13&amp;$CD$2&amp;B872&amp;"_"&amp;C872&amp;D872&amp;"_"&amp;BasicInput!$D$7&amp;BasicInput!$D$8&amp;"_"&amp;CC872&amp;".xuf"</f>
        <v>C:\PWWORKING\east01\d2591108\Basic\__2019EX_PM_.xuf</v>
      </c>
    </row>
    <row r="873" spans="44:82" x14ac:dyDescent="0.2">
      <c r="AR873" s="18"/>
      <c r="AX873" s="18"/>
      <c r="CB873" s="31" t="str">
        <f t="shared" si="34"/>
        <v xml:space="preserve">  </v>
      </c>
      <c r="CC873" s="25" t="str">
        <f t="shared" si="35"/>
        <v/>
      </c>
      <c r="CD873" s="25" t="str">
        <f>BasicInput!$D$13&amp;$CD$2&amp;B873&amp;"_"&amp;C873&amp;D873&amp;"_"&amp;BasicInput!$D$7&amp;BasicInput!$D$8&amp;"_"&amp;CC873&amp;".xuf"</f>
        <v>C:\PWWORKING\east01\d2591108\Basic\__2019EX_PM_.xuf</v>
      </c>
    </row>
    <row r="874" spans="44:82" x14ac:dyDescent="0.2">
      <c r="AR874" s="18"/>
      <c r="AX874" s="18"/>
      <c r="CB874" s="31" t="str">
        <f t="shared" si="34"/>
        <v xml:space="preserve">  </v>
      </c>
      <c r="CC874" s="25" t="str">
        <f t="shared" si="35"/>
        <v/>
      </c>
      <c r="CD874" s="25" t="str">
        <f>BasicInput!$D$13&amp;$CD$2&amp;B874&amp;"_"&amp;C874&amp;D874&amp;"_"&amp;BasicInput!$D$7&amp;BasicInput!$D$8&amp;"_"&amp;CC874&amp;".xuf"</f>
        <v>C:\PWWORKING\east01\d2591108\Basic\__2019EX_PM_.xuf</v>
      </c>
    </row>
    <row r="875" spans="44:82" x14ac:dyDescent="0.2">
      <c r="AR875" s="18"/>
      <c r="AX875" s="18"/>
      <c r="CB875" s="31" t="str">
        <f t="shared" si="34"/>
        <v xml:space="preserve">  </v>
      </c>
      <c r="CC875" s="25" t="str">
        <f t="shared" si="35"/>
        <v/>
      </c>
      <c r="CD875" s="25" t="str">
        <f>BasicInput!$D$13&amp;$CD$2&amp;B875&amp;"_"&amp;C875&amp;D875&amp;"_"&amp;BasicInput!$D$7&amp;BasicInput!$D$8&amp;"_"&amp;CC875&amp;".xuf"</f>
        <v>C:\PWWORKING\east01\d2591108\Basic\__2019EX_PM_.xuf</v>
      </c>
    </row>
    <row r="876" spans="44:82" x14ac:dyDescent="0.2">
      <c r="AR876" s="18"/>
      <c r="AX876" s="18"/>
      <c r="CB876" s="31" t="str">
        <f t="shared" si="34"/>
        <v xml:space="preserve">  </v>
      </c>
      <c r="CC876" s="25" t="str">
        <f t="shared" si="35"/>
        <v/>
      </c>
      <c r="CD876" s="25" t="str">
        <f>BasicInput!$D$13&amp;$CD$2&amp;B876&amp;"_"&amp;C876&amp;D876&amp;"_"&amp;BasicInput!$D$7&amp;BasicInput!$D$8&amp;"_"&amp;CC876&amp;".xuf"</f>
        <v>C:\PWWORKING\east01\d2591108\Basic\__2019EX_PM_.xuf</v>
      </c>
    </row>
    <row r="877" spans="44:82" x14ac:dyDescent="0.2">
      <c r="AR877" s="18"/>
      <c r="AX877" s="18"/>
      <c r="CB877" s="31" t="str">
        <f t="shared" si="34"/>
        <v xml:space="preserve">  </v>
      </c>
      <c r="CC877" s="25" t="str">
        <f t="shared" si="35"/>
        <v/>
      </c>
      <c r="CD877" s="25" t="str">
        <f>BasicInput!$D$13&amp;$CD$2&amp;B877&amp;"_"&amp;C877&amp;D877&amp;"_"&amp;BasicInput!$D$7&amp;BasicInput!$D$8&amp;"_"&amp;CC877&amp;".xuf"</f>
        <v>C:\PWWORKING\east01\d2591108\Basic\__2019EX_PM_.xuf</v>
      </c>
    </row>
    <row r="878" spans="44:82" x14ac:dyDescent="0.2">
      <c r="AR878" s="18"/>
      <c r="AX878" s="18"/>
      <c r="CB878" s="31" t="str">
        <f t="shared" si="34"/>
        <v xml:space="preserve">  </v>
      </c>
      <c r="CC878" s="25" t="str">
        <f t="shared" si="35"/>
        <v/>
      </c>
      <c r="CD878" s="25" t="str">
        <f>BasicInput!$D$13&amp;$CD$2&amp;B878&amp;"_"&amp;C878&amp;D878&amp;"_"&amp;BasicInput!$D$7&amp;BasicInput!$D$8&amp;"_"&amp;CC878&amp;".xuf"</f>
        <v>C:\PWWORKING\east01\d2591108\Basic\__2019EX_PM_.xuf</v>
      </c>
    </row>
    <row r="879" spans="44:82" x14ac:dyDescent="0.2">
      <c r="AR879" s="18"/>
      <c r="AX879" s="18"/>
      <c r="CB879" s="31" t="str">
        <f t="shared" si="34"/>
        <v xml:space="preserve">  </v>
      </c>
      <c r="CC879" s="25" t="str">
        <f t="shared" si="35"/>
        <v/>
      </c>
      <c r="CD879" s="25" t="str">
        <f>BasicInput!$D$13&amp;$CD$2&amp;B879&amp;"_"&amp;C879&amp;D879&amp;"_"&amp;BasicInput!$D$7&amp;BasicInput!$D$8&amp;"_"&amp;CC879&amp;".xuf"</f>
        <v>C:\PWWORKING\east01\d2591108\Basic\__2019EX_PM_.xuf</v>
      </c>
    </row>
    <row r="880" spans="44:82" x14ac:dyDescent="0.2">
      <c r="AR880" s="18"/>
      <c r="AX880" s="18"/>
      <c r="CB880" s="31" t="str">
        <f t="shared" si="34"/>
        <v xml:space="preserve">  </v>
      </c>
      <c r="CC880" s="25" t="str">
        <f t="shared" si="35"/>
        <v/>
      </c>
      <c r="CD880" s="25" t="str">
        <f>BasicInput!$D$13&amp;$CD$2&amp;B880&amp;"_"&amp;C880&amp;D880&amp;"_"&amp;BasicInput!$D$7&amp;BasicInput!$D$8&amp;"_"&amp;CC880&amp;".xuf"</f>
        <v>C:\PWWORKING\east01\d2591108\Basic\__2019EX_PM_.xuf</v>
      </c>
    </row>
    <row r="881" spans="44:82" x14ac:dyDescent="0.2">
      <c r="AR881" s="18"/>
      <c r="AX881" s="18"/>
      <c r="CB881" s="31" t="str">
        <f t="shared" si="34"/>
        <v xml:space="preserve">  </v>
      </c>
      <c r="CC881" s="25" t="str">
        <f t="shared" si="35"/>
        <v/>
      </c>
      <c r="CD881" s="25" t="str">
        <f>BasicInput!$D$13&amp;$CD$2&amp;B881&amp;"_"&amp;C881&amp;D881&amp;"_"&amp;BasicInput!$D$7&amp;BasicInput!$D$8&amp;"_"&amp;CC881&amp;".xuf"</f>
        <v>C:\PWWORKING\east01\d2591108\Basic\__2019EX_PM_.xuf</v>
      </c>
    </row>
    <row r="882" spans="44:82" x14ac:dyDescent="0.2">
      <c r="AR882" s="18"/>
      <c r="AX882" s="18"/>
      <c r="CB882" s="31" t="str">
        <f t="shared" si="34"/>
        <v xml:space="preserve">  </v>
      </c>
      <c r="CC882" s="25" t="str">
        <f t="shared" si="35"/>
        <v/>
      </c>
      <c r="CD882" s="25" t="str">
        <f>BasicInput!$D$13&amp;$CD$2&amp;B882&amp;"_"&amp;C882&amp;D882&amp;"_"&amp;BasicInput!$D$7&amp;BasicInput!$D$8&amp;"_"&amp;CC882&amp;".xuf"</f>
        <v>C:\PWWORKING\east01\d2591108\Basic\__2019EX_PM_.xuf</v>
      </c>
    </row>
    <row r="883" spans="44:82" x14ac:dyDescent="0.2">
      <c r="AR883" s="18"/>
      <c r="AX883" s="18"/>
      <c r="CB883" s="31" t="str">
        <f t="shared" si="34"/>
        <v xml:space="preserve">  </v>
      </c>
      <c r="CC883" s="25" t="str">
        <f t="shared" si="35"/>
        <v/>
      </c>
      <c r="CD883" s="25" t="str">
        <f>BasicInput!$D$13&amp;$CD$2&amp;B883&amp;"_"&amp;C883&amp;D883&amp;"_"&amp;BasicInput!$D$7&amp;BasicInput!$D$8&amp;"_"&amp;CC883&amp;".xuf"</f>
        <v>C:\PWWORKING\east01\d2591108\Basic\__2019EX_PM_.xuf</v>
      </c>
    </row>
    <row r="884" spans="44:82" x14ac:dyDescent="0.2">
      <c r="AR884" s="18"/>
      <c r="AX884" s="18"/>
      <c r="CB884" s="31" t="str">
        <f t="shared" si="34"/>
        <v xml:space="preserve">  </v>
      </c>
      <c r="CC884" s="25" t="str">
        <f t="shared" si="35"/>
        <v/>
      </c>
      <c r="CD884" s="25" t="str">
        <f>BasicInput!$D$13&amp;$CD$2&amp;B884&amp;"_"&amp;C884&amp;D884&amp;"_"&amp;BasicInput!$D$7&amp;BasicInput!$D$8&amp;"_"&amp;CC884&amp;".xuf"</f>
        <v>C:\PWWORKING\east01\d2591108\Basic\__2019EX_PM_.xuf</v>
      </c>
    </row>
    <row r="885" spans="44:82" x14ac:dyDescent="0.2">
      <c r="AR885" s="18"/>
      <c r="AX885" s="18"/>
      <c r="CB885" s="31" t="str">
        <f t="shared" si="34"/>
        <v xml:space="preserve">  </v>
      </c>
      <c r="CC885" s="25" t="str">
        <f t="shared" si="35"/>
        <v/>
      </c>
      <c r="CD885" s="25" t="str">
        <f>BasicInput!$D$13&amp;$CD$2&amp;B885&amp;"_"&amp;C885&amp;D885&amp;"_"&amp;BasicInput!$D$7&amp;BasicInput!$D$8&amp;"_"&amp;CC885&amp;".xuf"</f>
        <v>C:\PWWORKING\east01\d2591108\Basic\__2019EX_PM_.xuf</v>
      </c>
    </row>
    <row r="886" spans="44:82" x14ac:dyDescent="0.2">
      <c r="AR886" s="18"/>
      <c r="AX886" s="18"/>
      <c r="CB886" s="31" t="str">
        <f t="shared" si="34"/>
        <v xml:space="preserve">  </v>
      </c>
      <c r="CC886" s="25" t="str">
        <f t="shared" si="35"/>
        <v/>
      </c>
      <c r="CD886" s="25" t="str">
        <f>BasicInput!$D$13&amp;$CD$2&amp;B886&amp;"_"&amp;C886&amp;D886&amp;"_"&amp;BasicInput!$D$7&amp;BasicInput!$D$8&amp;"_"&amp;CC886&amp;".xuf"</f>
        <v>C:\PWWORKING\east01\d2591108\Basic\__2019EX_PM_.xuf</v>
      </c>
    </row>
    <row r="887" spans="44:82" x14ac:dyDescent="0.2">
      <c r="AR887" s="18"/>
      <c r="AX887" s="18"/>
      <c r="CB887" s="31" t="str">
        <f t="shared" si="34"/>
        <v xml:space="preserve">  </v>
      </c>
      <c r="CC887" s="25" t="str">
        <f t="shared" si="35"/>
        <v/>
      </c>
      <c r="CD887" s="25" t="str">
        <f>BasicInput!$D$13&amp;$CD$2&amp;B887&amp;"_"&amp;C887&amp;D887&amp;"_"&amp;BasicInput!$D$7&amp;BasicInput!$D$8&amp;"_"&amp;CC887&amp;".xuf"</f>
        <v>C:\PWWORKING\east01\d2591108\Basic\__2019EX_PM_.xuf</v>
      </c>
    </row>
    <row r="888" spans="44:82" x14ac:dyDescent="0.2">
      <c r="AR888" s="18"/>
      <c r="AX888" s="18"/>
      <c r="CB888" s="31" t="str">
        <f t="shared" si="34"/>
        <v xml:space="preserve">  </v>
      </c>
      <c r="CC888" s="25" t="str">
        <f t="shared" si="35"/>
        <v/>
      </c>
      <c r="CD888" s="25" t="str">
        <f>BasicInput!$D$13&amp;$CD$2&amp;B888&amp;"_"&amp;C888&amp;D888&amp;"_"&amp;BasicInput!$D$7&amp;BasicInput!$D$8&amp;"_"&amp;CC888&amp;".xuf"</f>
        <v>C:\PWWORKING\east01\d2591108\Basic\__2019EX_PM_.xuf</v>
      </c>
    </row>
    <row r="889" spans="44:82" x14ac:dyDescent="0.2">
      <c r="AR889" s="18"/>
      <c r="AX889" s="18"/>
      <c r="CB889" s="31" t="str">
        <f t="shared" si="34"/>
        <v xml:space="preserve">  </v>
      </c>
      <c r="CC889" s="25" t="str">
        <f t="shared" si="35"/>
        <v/>
      </c>
      <c r="CD889" s="25" t="str">
        <f>BasicInput!$D$13&amp;$CD$2&amp;B889&amp;"_"&amp;C889&amp;D889&amp;"_"&amp;BasicInput!$D$7&amp;BasicInput!$D$8&amp;"_"&amp;CC889&amp;".xuf"</f>
        <v>C:\PWWORKING\east01\d2591108\Basic\__2019EX_PM_.xuf</v>
      </c>
    </row>
    <row r="890" spans="44:82" x14ac:dyDescent="0.2">
      <c r="AR890" s="18"/>
      <c r="AX890" s="18"/>
      <c r="CB890" s="31" t="str">
        <f t="shared" si="34"/>
        <v xml:space="preserve">  </v>
      </c>
      <c r="CC890" s="25" t="str">
        <f t="shared" si="35"/>
        <v/>
      </c>
      <c r="CD890" s="25" t="str">
        <f>BasicInput!$D$13&amp;$CD$2&amp;B890&amp;"_"&amp;C890&amp;D890&amp;"_"&amp;BasicInput!$D$7&amp;BasicInput!$D$8&amp;"_"&amp;CC890&amp;".xuf"</f>
        <v>C:\PWWORKING\east01\d2591108\Basic\__2019EX_PM_.xuf</v>
      </c>
    </row>
    <row r="891" spans="44:82" x14ac:dyDescent="0.2">
      <c r="AR891" s="18"/>
      <c r="AX891" s="18"/>
      <c r="CB891" s="31" t="str">
        <f t="shared" si="34"/>
        <v xml:space="preserve">  </v>
      </c>
      <c r="CC891" s="25" t="str">
        <f t="shared" si="35"/>
        <v/>
      </c>
      <c r="CD891" s="25" t="str">
        <f>BasicInput!$D$13&amp;$CD$2&amp;B891&amp;"_"&amp;C891&amp;D891&amp;"_"&amp;BasicInput!$D$7&amp;BasicInput!$D$8&amp;"_"&amp;CC891&amp;".xuf"</f>
        <v>C:\PWWORKING\east01\d2591108\Basic\__2019EX_PM_.xuf</v>
      </c>
    </row>
    <row r="892" spans="44:82" x14ac:dyDescent="0.2">
      <c r="AR892" s="18"/>
      <c r="AX892" s="18"/>
      <c r="CB892" s="31" t="str">
        <f t="shared" si="34"/>
        <v xml:space="preserve">  </v>
      </c>
      <c r="CC892" s="25" t="str">
        <f t="shared" si="35"/>
        <v/>
      </c>
      <c r="CD892" s="25" t="str">
        <f>BasicInput!$D$13&amp;$CD$2&amp;B892&amp;"_"&amp;C892&amp;D892&amp;"_"&amp;BasicInput!$D$7&amp;BasicInput!$D$8&amp;"_"&amp;CC892&amp;".xuf"</f>
        <v>C:\PWWORKING\east01\d2591108\Basic\__2019EX_PM_.xuf</v>
      </c>
    </row>
    <row r="893" spans="44:82" x14ac:dyDescent="0.2">
      <c r="AR893" s="18"/>
      <c r="AX893" s="18"/>
      <c r="CB893" s="31" t="str">
        <f t="shared" si="34"/>
        <v xml:space="preserve">  </v>
      </c>
      <c r="CC893" s="25" t="str">
        <f t="shared" si="35"/>
        <v/>
      </c>
      <c r="CD893" s="25" t="str">
        <f>BasicInput!$D$13&amp;$CD$2&amp;B893&amp;"_"&amp;C893&amp;D893&amp;"_"&amp;BasicInput!$D$7&amp;BasicInput!$D$8&amp;"_"&amp;CC893&amp;".xuf"</f>
        <v>C:\PWWORKING\east01\d2591108\Basic\__2019EX_PM_.xuf</v>
      </c>
    </row>
    <row r="894" spans="44:82" x14ac:dyDescent="0.2">
      <c r="AR894" s="18"/>
      <c r="AX894" s="18"/>
      <c r="CB894" s="31" t="str">
        <f t="shared" si="34"/>
        <v xml:space="preserve">  </v>
      </c>
      <c r="CC894" s="25" t="str">
        <f t="shared" si="35"/>
        <v/>
      </c>
      <c r="CD894" s="25" t="str">
        <f>BasicInput!$D$13&amp;$CD$2&amp;B894&amp;"_"&amp;C894&amp;D894&amp;"_"&amp;BasicInput!$D$7&amp;BasicInput!$D$8&amp;"_"&amp;CC894&amp;".xuf"</f>
        <v>C:\PWWORKING\east01\d2591108\Basic\__2019EX_PM_.xuf</v>
      </c>
    </row>
    <row r="895" spans="44:82" x14ac:dyDescent="0.2">
      <c r="AR895" s="18"/>
      <c r="AX895" s="18"/>
      <c r="CB895" s="31" t="str">
        <f t="shared" si="34"/>
        <v xml:space="preserve">  </v>
      </c>
      <c r="CC895" s="25" t="str">
        <f t="shared" si="35"/>
        <v/>
      </c>
      <c r="CD895" s="25" t="str">
        <f>BasicInput!$D$13&amp;$CD$2&amp;B895&amp;"_"&amp;C895&amp;D895&amp;"_"&amp;BasicInput!$D$7&amp;BasicInput!$D$8&amp;"_"&amp;CC895&amp;".xuf"</f>
        <v>C:\PWWORKING\east01\d2591108\Basic\__2019EX_PM_.xuf</v>
      </c>
    </row>
    <row r="896" spans="44:82" x14ac:dyDescent="0.2">
      <c r="AR896" s="18"/>
      <c r="AX896" s="18"/>
      <c r="CB896" s="31" t="str">
        <f t="shared" si="34"/>
        <v xml:space="preserve">  </v>
      </c>
      <c r="CC896" s="25" t="str">
        <f t="shared" si="35"/>
        <v/>
      </c>
      <c r="CD896" s="25" t="str">
        <f>BasicInput!$D$13&amp;$CD$2&amp;B896&amp;"_"&amp;C896&amp;D896&amp;"_"&amp;BasicInput!$D$7&amp;BasicInput!$D$8&amp;"_"&amp;CC896&amp;".xuf"</f>
        <v>C:\PWWORKING\east01\d2591108\Basic\__2019EX_PM_.xuf</v>
      </c>
    </row>
    <row r="897" spans="44:82" x14ac:dyDescent="0.2">
      <c r="AR897" s="18"/>
      <c r="AX897" s="18"/>
      <c r="CB897" s="31" t="str">
        <f t="shared" si="34"/>
        <v xml:space="preserve">  </v>
      </c>
      <c r="CC897" s="25" t="str">
        <f t="shared" si="35"/>
        <v/>
      </c>
      <c r="CD897" s="25" t="str">
        <f>BasicInput!$D$13&amp;$CD$2&amp;B897&amp;"_"&amp;C897&amp;D897&amp;"_"&amp;BasicInput!$D$7&amp;BasicInput!$D$8&amp;"_"&amp;CC897&amp;".xuf"</f>
        <v>C:\PWWORKING\east01\d2591108\Basic\__2019EX_PM_.xuf</v>
      </c>
    </row>
    <row r="898" spans="44:82" x14ac:dyDescent="0.2">
      <c r="AR898" s="18"/>
      <c r="AX898" s="18"/>
      <c r="CB898" s="31" t="str">
        <f t="shared" si="34"/>
        <v xml:space="preserve">  </v>
      </c>
      <c r="CC898" s="25" t="str">
        <f t="shared" si="35"/>
        <v/>
      </c>
      <c r="CD898" s="25" t="str">
        <f>BasicInput!$D$13&amp;$CD$2&amp;B898&amp;"_"&amp;C898&amp;D898&amp;"_"&amp;BasicInput!$D$7&amp;BasicInput!$D$8&amp;"_"&amp;CC898&amp;".xuf"</f>
        <v>C:\PWWORKING\east01\d2591108\Basic\__2019EX_PM_.xuf</v>
      </c>
    </row>
    <row r="899" spans="44:82" x14ac:dyDescent="0.2">
      <c r="AR899" s="18"/>
      <c r="AX899" s="18"/>
      <c r="CB899" s="31" t="str">
        <f t="shared" si="34"/>
        <v xml:space="preserve">  </v>
      </c>
      <c r="CC899" s="25" t="str">
        <f t="shared" si="35"/>
        <v/>
      </c>
      <c r="CD899" s="25" t="str">
        <f>BasicInput!$D$13&amp;$CD$2&amp;B899&amp;"_"&amp;C899&amp;D899&amp;"_"&amp;BasicInput!$D$7&amp;BasicInput!$D$8&amp;"_"&amp;CC899&amp;".xuf"</f>
        <v>C:\PWWORKING\east01\d2591108\Basic\__2019EX_PM_.xuf</v>
      </c>
    </row>
    <row r="900" spans="44:82" x14ac:dyDescent="0.2">
      <c r="AR900" s="18"/>
      <c r="AX900" s="18"/>
      <c r="CB900" s="31" t="str">
        <f t="shared" si="34"/>
        <v xml:space="preserve">  </v>
      </c>
      <c r="CC900" s="25" t="str">
        <f t="shared" si="35"/>
        <v/>
      </c>
      <c r="CD900" s="25" t="str">
        <f>BasicInput!$D$13&amp;$CD$2&amp;B900&amp;"_"&amp;C900&amp;D900&amp;"_"&amp;BasicInput!$D$7&amp;BasicInput!$D$8&amp;"_"&amp;CC900&amp;".xuf"</f>
        <v>C:\PWWORKING\east01\d2591108\Basic\__2019EX_PM_.xuf</v>
      </c>
    </row>
    <row r="901" spans="44:82" x14ac:dyDescent="0.2">
      <c r="AR901" s="18"/>
      <c r="AX901" s="18"/>
      <c r="CB901" s="31" t="str">
        <f t="shared" si="34"/>
        <v xml:space="preserve">  </v>
      </c>
      <c r="CC901" s="25" t="str">
        <f t="shared" si="35"/>
        <v/>
      </c>
      <c r="CD901" s="25" t="str">
        <f>BasicInput!$D$13&amp;$CD$2&amp;B901&amp;"_"&amp;C901&amp;D901&amp;"_"&amp;BasicInput!$D$7&amp;BasicInput!$D$8&amp;"_"&amp;CC901&amp;".xuf"</f>
        <v>C:\PWWORKING\east01\d2591108\Basic\__2019EX_PM_.xuf</v>
      </c>
    </row>
    <row r="902" spans="44:82" x14ac:dyDescent="0.2">
      <c r="AR902" s="18"/>
      <c r="AX902" s="18"/>
      <c r="CB902" s="31" t="str">
        <f t="shared" si="34"/>
        <v xml:space="preserve">  </v>
      </c>
      <c r="CC902" s="25" t="str">
        <f t="shared" si="35"/>
        <v/>
      </c>
      <c r="CD902" s="25" t="str">
        <f>BasicInput!$D$13&amp;$CD$2&amp;B902&amp;"_"&amp;C902&amp;D902&amp;"_"&amp;BasicInput!$D$7&amp;BasicInput!$D$8&amp;"_"&amp;CC902&amp;".xuf"</f>
        <v>C:\PWWORKING\east01\d2591108\Basic\__2019EX_PM_.xuf</v>
      </c>
    </row>
    <row r="903" spans="44:82" x14ac:dyDescent="0.2">
      <c r="AR903" s="18"/>
      <c r="AX903" s="18"/>
      <c r="CB903" s="31" t="str">
        <f t="shared" si="34"/>
        <v xml:space="preserve">  </v>
      </c>
      <c r="CC903" s="25" t="str">
        <f t="shared" si="35"/>
        <v/>
      </c>
      <c r="CD903" s="25" t="str">
        <f>BasicInput!$D$13&amp;$CD$2&amp;B903&amp;"_"&amp;C903&amp;D903&amp;"_"&amp;BasicInput!$D$7&amp;BasicInput!$D$8&amp;"_"&amp;CC903&amp;".xuf"</f>
        <v>C:\PWWORKING\east01\d2591108\Basic\__2019EX_PM_.xuf</v>
      </c>
    </row>
    <row r="904" spans="44:82" x14ac:dyDescent="0.2">
      <c r="AR904" s="18"/>
      <c r="AX904" s="18"/>
      <c r="CB904" s="31" t="str">
        <f t="shared" si="34"/>
        <v xml:space="preserve">  </v>
      </c>
      <c r="CC904" s="25" t="str">
        <f t="shared" si="35"/>
        <v/>
      </c>
      <c r="CD904" s="25" t="str">
        <f>BasicInput!$D$13&amp;$CD$2&amp;B904&amp;"_"&amp;C904&amp;D904&amp;"_"&amp;BasicInput!$D$7&amp;BasicInput!$D$8&amp;"_"&amp;CC904&amp;".xuf"</f>
        <v>C:\PWWORKING\east01\d2591108\Basic\__2019EX_PM_.xuf</v>
      </c>
    </row>
    <row r="905" spans="44:82" x14ac:dyDescent="0.2">
      <c r="AR905" s="18"/>
      <c r="AX905" s="18"/>
      <c r="CB905" s="31" t="str">
        <f t="shared" si="34"/>
        <v xml:space="preserve">  </v>
      </c>
      <c r="CC905" s="25" t="str">
        <f t="shared" si="35"/>
        <v/>
      </c>
      <c r="CD905" s="25" t="str">
        <f>BasicInput!$D$13&amp;$CD$2&amp;B905&amp;"_"&amp;C905&amp;D905&amp;"_"&amp;BasicInput!$D$7&amp;BasicInput!$D$8&amp;"_"&amp;CC905&amp;".xuf"</f>
        <v>C:\PWWORKING\east01\d2591108\Basic\__2019EX_PM_.xuf</v>
      </c>
    </row>
    <row r="906" spans="44:82" x14ac:dyDescent="0.2">
      <c r="AR906" s="18"/>
      <c r="AX906" s="18"/>
      <c r="CB906" s="31" t="str">
        <f t="shared" si="34"/>
        <v xml:space="preserve">  </v>
      </c>
      <c r="CC906" s="25" t="str">
        <f t="shared" si="35"/>
        <v/>
      </c>
      <c r="CD906" s="25" t="str">
        <f>BasicInput!$D$13&amp;$CD$2&amp;B906&amp;"_"&amp;C906&amp;D906&amp;"_"&amp;BasicInput!$D$7&amp;BasicInput!$D$8&amp;"_"&amp;CC906&amp;".xuf"</f>
        <v>C:\PWWORKING\east01\d2591108\Basic\__2019EX_PM_.xuf</v>
      </c>
    </row>
    <row r="907" spans="44:82" x14ac:dyDescent="0.2">
      <c r="AR907" s="18"/>
      <c r="AX907" s="18"/>
      <c r="CB907" s="31" t="str">
        <f t="shared" si="34"/>
        <v xml:space="preserve">  </v>
      </c>
      <c r="CC907" s="25" t="str">
        <f t="shared" si="35"/>
        <v/>
      </c>
      <c r="CD907" s="25" t="str">
        <f>BasicInput!$D$13&amp;$CD$2&amp;B907&amp;"_"&amp;C907&amp;D907&amp;"_"&amp;BasicInput!$D$7&amp;BasicInput!$D$8&amp;"_"&amp;CC907&amp;".xuf"</f>
        <v>C:\PWWORKING\east01\d2591108\Basic\__2019EX_PM_.xuf</v>
      </c>
    </row>
    <row r="908" spans="44:82" x14ac:dyDescent="0.2">
      <c r="AR908" s="18"/>
      <c r="AX908" s="18"/>
      <c r="CB908" s="31" t="str">
        <f t="shared" si="34"/>
        <v xml:space="preserve">  </v>
      </c>
      <c r="CC908" s="25" t="str">
        <f t="shared" si="35"/>
        <v/>
      </c>
      <c r="CD908" s="25" t="str">
        <f>BasicInput!$D$13&amp;$CD$2&amp;B908&amp;"_"&amp;C908&amp;D908&amp;"_"&amp;BasicInput!$D$7&amp;BasicInput!$D$8&amp;"_"&amp;CC908&amp;".xuf"</f>
        <v>C:\PWWORKING\east01\d2591108\Basic\__2019EX_PM_.xuf</v>
      </c>
    </row>
    <row r="909" spans="44:82" x14ac:dyDescent="0.2">
      <c r="AR909" s="18"/>
      <c r="AX909" s="18"/>
      <c r="CB909" s="31" t="str">
        <f t="shared" si="34"/>
        <v xml:space="preserve">  </v>
      </c>
      <c r="CC909" s="25" t="str">
        <f t="shared" si="35"/>
        <v/>
      </c>
      <c r="CD909" s="25" t="str">
        <f>BasicInput!$D$13&amp;$CD$2&amp;B909&amp;"_"&amp;C909&amp;D909&amp;"_"&amp;BasicInput!$D$7&amp;BasicInput!$D$8&amp;"_"&amp;CC909&amp;".xuf"</f>
        <v>C:\PWWORKING\east01\d2591108\Basic\__2019EX_PM_.xuf</v>
      </c>
    </row>
    <row r="910" spans="44:82" x14ac:dyDescent="0.2">
      <c r="AR910" s="18"/>
      <c r="AX910" s="18"/>
      <c r="CB910" s="31" t="str">
        <f t="shared" si="34"/>
        <v xml:space="preserve">  </v>
      </c>
      <c r="CC910" s="25" t="str">
        <f t="shared" si="35"/>
        <v/>
      </c>
      <c r="CD910" s="25" t="str">
        <f>BasicInput!$D$13&amp;$CD$2&amp;B910&amp;"_"&amp;C910&amp;D910&amp;"_"&amp;BasicInput!$D$7&amp;BasicInput!$D$8&amp;"_"&amp;CC910&amp;".xuf"</f>
        <v>C:\PWWORKING\east01\d2591108\Basic\__2019EX_PM_.xuf</v>
      </c>
    </row>
    <row r="911" spans="44:82" x14ac:dyDescent="0.2">
      <c r="AR911" s="18"/>
      <c r="AX911" s="18"/>
      <c r="CB911" s="31" t="str">
        <f t="shared" si="34"/>
        <v xml:space="preserve">  </v>
      </c>
      <c r="CC911" s="25" t="str">
        <f t="shared" si="35"/>
        <v/>
      </c>
      <c r="CD911" s="25" t="str">
        <f>BasicInput!$D$13&amp;$CD$2&amp;B911&amp;"_"&amp;C911&amp;D911&amp;"_"&amp;BasicInput!$D$7&amp;BasicInput!$D$8&amp;"_"&amp;CC911&amp;".xuf"</f>
        <v>C:\PWWORKING\east01\d2591108\Basic\__2019EX_PM_.xuf</v>
      </c>
    </row>
    <row r="912" spans="44:82" x14ac:dyDescent="0.2">
      <c r="AR912" s="18"/>
      <c r="AX912" s="18"/>
      <c r="CB912" s="31" t="str">
        <f t="shared" si="34"/>
        <v xml:space="preserve">  </v>
      </c>
      <c r="CC912" s="25" t="str">
        <f t="shared" si="35"/>
        <v/>
      </c>
      <c r="CD912" s="25" t="str">
        <f>BasicInput!$D$13&amp;$CD$2&amp;B912&amp;"_"&amp;C912&amp;D912&amp;"_"&amp;BasicInput!$D$7&amp;BasicInput!$D$8&amp;"_"&amp;CC912&amp;".xuf"</f>
        <v>C:\PWWORKING\east01\d2591108\Basic\__2019EX_PM_.xuf</v>
      </c>
    </row>
    <row r="913" spans="44:82" x14ac:dyDescent="0.2">
      <c r="AR913" s="18"/>
      <c r="AX913" s="18"/>
      <c r="CB913" s="31" t="str">
        <f t="shared" ref="CB913:CB976" si="36">C913&amp; " "&amp;D913&amp;" " &amp;E913</f>
        <v xml:space="preserve">  </v>
      </c>
      <c r="CC913" s="25" t="str">
        <f t="shared" ref="CC913:CC976" si="37">SUBSTITUTE(E913, "/", "_")</f>
        <v/>
      </c>
      <c r="CD913" s="25" t="str">
        <f>BasicInput!$D$13&amp;$CD$2&amp;B913&amp;"_"&amp;C913&amp;D913&amp;"_"&amp;BasicInput!$D$7&amp;BasicInput!$D$8&amp;"_"&amp;CC913&amp;".xuf"</f>
        <v>C:\PWWORKING\east01\d2591108\Basic\__2019EX_PM_.xuf</v>
      </c>
    </row>
    <row r="914" spans="44:82" x14ac:dyDescent="0.2">
      <c r="AR914" s="18"/>
      <c r="AX914" s="18"/>
      <c r="CB914" s="31" t="str">
        <f t="shared" si="36"/>
        <v xml:space="preserve">  </v>
      </c>
      <c r="CC914" s="25" t="str">
        <f t="shared" si="37"/>
        <v/>
      </c>
      <c r="CD914" s="25" t="str">
        <f>BasicInput!$D$13&amp;$CD$2&amp;B914&amp;"_"&amp;C914&amp;D914&amp;"_"&amp;BasicInput!$D$7&amp;BasicInput!$D$8&amp;"_"&amp;CC914&amp;".xuf"</f>
        <v>C:\PWWORKING\east01\d2591108\Basic\__2019EX_PM_.xuf</v>
      </c>
    </row>
    <row r="915" spans="44:82" x14ac:dyDescent="0.2">
      <c r="AR915" s="18"/>
      <c r="AX915" s="18"/>
      <c r="CB915" s="31" t="str">
        <f t="shared" si="36"/>
        <v xml:space="preserve">  </v>
      </c>
      <c r="CC915" s="25" t="str">
        <f t="shared" si="37"/>
        <v/>
      </c>
      <c r="CD915" s="25" t="str">
        <f>BasicInput!$D$13&amp;$CD$2&amp;B915&amp;"_"&amp;C915&amp;D915&amp;"_"&amp;BasicInput!$D$7&amp;BasicInput!$D$8&amp;"_"&amp;CC915&amp;".xuf"</f>
        <v>C:\PWWORKING\east01\d2591108\Basic\__2019EX_PM_.xuf</v>
      </c>
    </row>
    <row r="916" spans="44:82" x14ac:dyDescent="0.2">
      <c r="AR916" s="18"/>
      <c r="AX916" s="18"/>
      <c r="CB916" s="31" t="str">
        <f t="shared" si="36"/>
        <v xml:space="preserve">  </v>
      </c>
      <c r="CC916" s="25" t="str">
        <f t="shared" si="37"/>
        <v/>
      </c>
      <c r="CD916" s="25" t="str">
        <f>BasicInput!$D$13&amp;$CD$2&amp;B916&amp;"_"&amp;C916&amp;D916&amp;"_"&amp;BasicInput!$D$7&amp;BasicInput!$D$8&amp;"_"&amp;CC916&amp;".xuf"</f>
        <v>C:\PWWORKING\east01\d2591108\Basic\__2019EX_PM_.xuf</v>
      </c>
    </row>
    <row r="917" spans="44:82" x14ac:dyDescent="0.2">
      <c r="AR917" s="18"/>
      <c r="AX917" s="18"/>
      <c r="CB917" s="31" t="str">
        <f t="shared" si="36"/>
        <v xml:space="preserve">  </v>
      </c>
      <c r="CC917" s="25" t="str">
        <f t="shared" si="37"/>
        <v/>
      </c>
      <c r="CD917" s="25" t="str">
        <f>BasicInput!$D$13&amp;$CD$2&amp;B917&amp;"_"&amp;C917&amp;D917&amp;"_"&amp;BasicInput!$D$7&amp;BasicInput!$D$8&amp;"_"&amp;CC917&amp;".xuf"</f>
        <v>C:\PWWORKING\east01\d2591108\Basic\__2019EX_PM_.xuf</v>
      </c>
    </row>
    <row r="918" spans="44:82" x14ac:dyDescent="0.2">
      <c r="AR918" s="18"/>
      <c r="AX918" s="18"/>
      <c r="CB918" s="31" t="str">
        <f t="shared" si="36"/>
        <v xml:space="preserve">  </v>
      </c>
      <c r="CC918" s="25" t="str">
        <f t="shared" si="37"/>
        <v/>
      </c>
      <c r="CD918" s="25" t="str">
        <f>BasicInput!$D$13&amp;$CD$2&amp;B918&amp;"_"&amp;C918&amp;D918&amp;"_"&amp;BasicInput!$D$7&amp;BasicInput!$D$8&amp;"_"&amp;CC918&amp;".xuf"</f>
        <v>C:\PWWORKING\east01\d2591108\Basic\__2019EX_PM_.xuf</v>
      </c>
    </row>
    <row r="919" spans="44:82" x14ac:dyDescent="0.2">
      <c r="AR919" s="18"/>
      <c r="AX919" s="18"/>
      <c r="CB919" s="31" t="str">
        <f t="shared" si="36"/>
        <v xml:space="preserve">  </v>
      </c>
      <c r="CC919" s="25" t="str">
        <f t="shared" si="37"/>
        <v/>
      </c>
      <c r="CD919" s="25" t="str">
        <f>BasicInput!$D$13&amp;$CD$2&amp;B919&amp;"_"&amp;C919&amp;D919&amp;"_"&amp;BasicInput!$D$7&amp;BasicInput!$D$8&amp;"_"&amp;CC919&amp;".xuf"</f>
        <v>C:\PWWORKING\east01\d2591108\Basic\__2019EX_PM_.xuf</v>
      </c>
    </row>
    <row r="920" spans="44:82" x14ac:dyDescent="0.2">
      <c r="AR920" s="18"/>
      <c r="AX920" s="18"/>
      <c r="CB920" s="31" t="str">
        <f t="shared" si="36"/>
        <v xml:space="preserve">  </v>
      </c>
      <c r="CC920" s="25" t="str">
        <f t="shared" si="37"/>
        <v/>
      </c>
      <c r="CD920" s="25" t="str">
        <f>BasicInput!$D$13&amp;$CD$2&amp;B920&amp;"_"&amp;C920&amp;D920&amp;"_"&amp;BasicInput!$D$7&amp;BasicInput!$D$8&amp;"_"&amp;CC920&amp;".xuf"</f>
        <v>C:\PWWORKING\east01\d2591108\Basic\__2019EX_PM_.xuf</v>
      </c>
    </row>
    <row r="921" spans="44:82" x14ac:dyDescent="0.2">
      <c r="AR921" s="18"/>
      <c r="AX921" s="18"/>
      <c r="CB921" s="31" t="str">
        <f t="shared" si="36"/>
        <v xml:space="preserve">  </v>
      </c>
      <c r="CC921" s="25" t="str">
        <f t="shared" si="37"/>
        <v/>
      </c>
      <c r="CD921" s="25" t="str">
        <f>BasicInput!$D$13&amp;$CD$2&amp;B921&amp;"_"&amp;C921&amp;D921&amp;"_"&amp;BasicInput!$D$7&amp;BasicInput!$D$8&amp;"_"&amp;CC921&amp;".xuf"</f>
        <v>C:\PWWORKING\east01\d2591108\Basic\__2019EX_PM_.xuf</v>
      </c>
    </row>
    <row r="922" spans="44:82" x14ac:dyDescent="0.2">
      <c r="AR922" s="18"/>
      <c r="AX922" s="18"/>
      <c r="CB922" s="31" t="str">
        <f t="shared" si="36"/>
        <v xml:space="preserve">  </v>
      </c>
      <c r="CC922" s="25" t="str">
        <f t="shared" si="37"/>
        <v/>
      </c>
      <c r="CD922" s="25" t="str">
        <f>BasicInput!$D$13&amp;$CD$2&amp;B922&amp;"_"&amp;C922&amp;D922&amp;"_"&amp;BasicInput!$D$7&amp;BasicInput!$D$8&amp;"_"&amp;CC922&amp;".xuf"</f>
        <v>C:\PWWORKING\east01\d2591108\Basic\__2019EX_PM_.xuf</v>
      </c>
    </row>
    <row r="923" spans="44:82" x14ac:dyDescent="0.2">
      <c r="AR923" s="18"/>
      <c r="AX923" s="18"/>
      <c r="CB923" s="31" t="str">
        <f t="shared" si="36"/>
        <v xml:space="preserve">  </v>
      </c>
      <c r="CC923" s="25" t="str">
        <f t="shared" si="37"/>
        <v/>
      </c>
      <c r="CD923" s="25" t="str">
        <f>BasicInput!$D$13&amp;$CD$2&amp;B923&amp;"_"&amp;C923&amp;D923&amp;"_"&amp;BasicInput!$D$7&amp;BasicInput!$D$8&amp;"_"&amp;CC923&amp;".xuf"</f>
        <v>C:\PWWORKING\east01\d2591108\Basic\__2019EX_PM_.xuf</v>
      </c>
    </row>
    <row r="924" spans="44:82" x14ac:dyDescent="0.2">
      <c r="AR924" s="18"/>
      <c r="AX924" s="18"/>
      <c r="CB924" s="31" t="str">
        <f t="shared" si="36"/>
        <v xml:space="preserve">  </v>
      </c>
      <c r="CC924" s="25" t="str">
        <f t="shared" si="37"/>
        <v/>
      </c>
      <c r="CD924" s="25" t="str">
        <f>BasicInput!$D$13&amp;$CD$2&amp;B924&amp;"_"&amp;C924&amp;D924&amp;"_"&amp;BasicInput!$D$7&amp;BasicInput!$D$8&amp;"_"&amp;CC924&amp;".xuf"</f>
        <v>C:\PWWORKING\east01\d2591108\Basic\__2019EX_PM_.xuf</v>
      </c>
    </row>
    <row r="925" spans="44:82" x14ac:dyDescent="0.2">
      <c r="AR925" s="18"/>
      <c r="AX925" s="18"/>
      <c r="CB925" s="31" t="str">
        <f t="shared" si="36"/>
        <v xml:space="preserve">  </v>
      </c>
      <c r="CC925" s="25" t="str">
        <f t="shared" si="37"/>
        <v/>
      </c>
      <c r="CD925" s="25" t="str">
        <f>BasicInput!$D$13&amp;$CD$2&amp;B925&amp;"_"&amp;C925&amp;D925&amp;"_"&amp;BasicInput!$D$7&amp;BasicInput!$D$8&amp;"_"&amp;CC925&amp;".xuf"</f>
        <v>C:\PWWORKING\east01\d2591108\Basic\__2019EX_PM_.xuf</v>
      </c>
    </row>
    <row r="926" spans="44:82" x14ac:dyDescent="0.2">
      <c r="AR926" s="18"/>
      <c r="AX926" s="18"/>
      <c r="CB926" s="31" t="str">
        <f t="shared" si="36"/>
        <v xml:space="preserve">  </v>
      </c>
      <c r="CC926" s="25" t="str">
        <f t="shared" si="37"/>
        <v/>
      </c>
      <c r="CD926" s="25" t="str">
        <f>BasicInput!$D$13&amp;$CD$2&amp;B926&amp;"_"&amp;C926&amp;D926&amp;"_"&amp;BasicInput!$D$7&amp;BasicInput!$D$8&amp;"_"&amp;CC926&amp;".xuf"</f>
        <v>C:\PWWORKING\east01\d2591108\Basic\__2019EX_PM_.xuf</v>
      </c>
    </row>
    <row r="927" spans="44:82" x14ac:dyDescent="0.2">
      <c r="CB927" s="31" t="str">
        <f t="shared" si="36"/>
        <v xml:space="preserve">  </v>
      </c>
      <c r="CC927" s="25" t="str">
        <f t="shared" si="37"/>
        <v/>
      </c>
      <c r="CD927" s="25" t="str">
        <f>BasicInput!$D$13&amp;$CD$2&amp;B927&amp;"_"&amp;C927&amp;D927&amp;"_"&amp;BasicInput!$D$7&amp;BasicInput!$D$8&amp;"_"&amp;CC927&amp;".xuf"</f>
        <v>C:\PWWORKING\east01\d2591108\Basic\__2019EX_PM_.xuf</v>
      </c>
    </row>
    <row r="928" spans="44:82" x14ac:dyDescent="0.2">
      <c r="CB928" s="31" t="str">
        <f t="shared" si="36"/>
        <v xml:space="preserve">  </v>
      </c>
      <c r="CC928" s="25" t="str">
        <f t="shared" si="37"/>
        <v/>
      </c>
      <c r="CD928" s="25" t="str">
        <f>BasicInput!$D$13&amp;$CD$2&amp;B928&amp;"_"&amp;C928&amp;D928&amp;"_"&amp;BasicInput!$D$7&amp;BasicInput!$D$8&amp;"_"&amp;CC928&amp;".xuf"</f>
        <v>C:\PWWORKING\east01\d2591108\Basic\__2019EX_PM_.xuf</v>
      </c>
    </row>
    <row r="929" spans="80:82" x14ac:dyDescent="0.2">
      <c r="CB929" s="31" t="str">
        <f t="shared" si="36"/>
        <v xml:space="preserve">  </v>
      </c>
      <c r="CC929" s="25" t="str">
        <f t="shared" si="37"/>
        <v/>
      </c>
      <c r="CD929" s="25" t="str">
        <f>BasicInput!$D$13&amp;$CD$2&amp;B929&amp;"_"&amp;C929&amp;D929&amp;"_"&amp;BasicInput!$D$7&amp;BasicInput!$D$8&amp;"_"&amp;CC929&amp;".xuf"</f>
        <v>C:\PWWORKING\east01\d2591108\Basic\__2019EX_PM_.xuf</v>
      </c>
    </row>
    <row r="930" spans="80:82" x14ac:dyDescent="0.2">
      <c r="CB930" s="31" t="str">
        <f t="shared" si="36"/>
        <v xml:space="preserve">  </v>
      </c>
      <c r="CC930" s="25" t="str">
        <f t="shared" si="37"/>
        <v/>
      </c>
      <c r="CD930" s="25" t="str">
        <f>BasicInput!$D$13&amp;$CD$2&amp;B930&amp;"_"&amp;C930&amp;D930&amp;"_"&amp;BasicInput!$D$7&amp;BasicInput!$D$8&amp;"_"&amp;CC930&amp;".xuf"</f>
        <v>C:\PWWORKING\east01\d2591108\Basic\__2019EX_PM_.xuf</v>
      </c>
    </row>
    <row r="931" spans="80:82" x14ac:dyDescent="0.2">
      <c r="CB931" s="31" t="str">
        <f t="shared" si="36"/>
        <v xml:space="preserve">  </v>
      </c>
      <c r="CC931" s="25" t="str">
        <f t="shared" si="37"/>
        <v/>
      </c>
      <c r="CD931" s="25" t="str">
        <f>BasicInput!$D$13&amp;$CD$2&amp;B931&amp;"_"&amp;C931&amp;D931&amp;"_"&amp;BasicInput!$D$7&amp;BasicInput!$D$8&amp;"_"&amp;CC931&amp;".xuf"</f>
        <v>C:\PWWORKING\east01\d2591108\Basic\__2019EX_PM_.xuf</v>
      </c>
    </row>
    <row r="932" spans="80:82" x14ac:dyDescent="0.2">
      <c r="CB932" s="31" t="str">
        <f t="shared" si="36"/>
        <v xml:space="preserve">  </v>
      </c>
      <c r="CC932" s="25" t="str">
        <f t="shared" si="37"/>
        <v/>
      </c>
      <c r="CD932" s="25" t="str">
        <f>BasicInput!$D$13&amp;$CD$2&amp;B932&amp;"_"&amp;C932&amp;D932&amp;"_"&amp;BasicInput!$D$7&amp;BasicInput!$D$8&amp;"_"&amp;CC932&amp;".xuf"</f>
        <v>C:\PWWORKING\east01\d2591108\Basic\__2019EX_PM_.xuf</v>
      </c>
    </row>
    <row r="933" spans="80:82" x14ac:dyDescent="0.2">
      <c r="CB933" s="31" t="str">
        <f t="shared" si="36"/>
        <v xml:space="preserve">  </v>
      </c>
      <c r="CC933" s="25" t="str">
        <f t="shared" si="37"/>
        <v/>
      </c>
      <c r="CD933" s="25" t="str">
        <f>BasicInput!$D$13&amp;$CD$2&amp;B933&amp;"_"&amp;C933&amp;D933&amp;"_"&amp;BasicInput!$D$7&amp;BasicInput!$D$8&amp;"_"&amp;CC933&amp;".xuf"</f>
        <v>C:\PWWORKING\east01\d2591108\Basic\__2019EX_PM_.xuf</v>
      </c>
    </row>
    <row r="934" spans="80:82" x14ac:dyDescent="0.2">
      <c r="CB934" s="31" t="str">
        <f t="shared" si="36"/>
        <v xml:space="preserve">  </v>
      </c>
      <c r="CC934" s="25" t="str">
        <f t="shared" si="37"/>
        <v/>
      </c>
      <c r="CD934" s="25" t="str">
        <f>BasicInput!$D$13&amp;$CD$2&amp;B934&amp;"_"&amp;C934&amp;D934&amp;"_"&amp;BasicInput!$D$7&amp;BasicInput!$D$8&amp;"_"&amp;CC934&amp;".xuf"</f>
        <v>C:\PWWORKING\east01\d2591108\Basic\__2019EX_PM_.xuf</v>
      </c>
    </row>
    <row r="935" spans="80:82" x14ac:dyDescent="0.2">
      <c r="CB935" s="31" t="str">
        <f t="shared" si="36"/>
        <v xml:space="preserve">  </v>
      </c>
      <c r="CC935" s="25" t="str">
        <f t="shared" si="37"/>
        <v/>
      </c>
      <c r="CD935" s="25" t="str">
        <f>BasicInput!$D$13&amp;$CD$2&amp;B935&amp;"_"&amp;C935&amp;D935&amp;"_"&amp;BasicInput!$D$7&amp;BasicInput!$D$8&amp;"_"&amp;CC935&amp;".xuf"</f>
        <v>C:\PWWORKING\east01\d2591108\Basic\__2019EX_PM_.xuf</v>
      </c>
    </row>
    <row r="936" spans="80:82" x14ac:dyDescent="0.2">
      <c r="CB936" s="31" t="str">
        <f t="shared" si="36"/>
        <v xml:space="preserve">  </v>
      </c>
      <c r="CC936" s="25" t="str">
        <f t="shared" si="37"/>
        <v/>
      </c>
      <c r="CD936" s="25" t="str">
        <f>BasicInput!$D$13&amp;$CD$2&amp;B936&amp;"_"&amp;C936&amp;D936&amp;"_"&amp;BasicInput!$D$7&amp;BasicInput!$D$8&amp;"_"&amp;CC936&amp;".xuf"</f>
        <v>C:\PWWORKING\east01\d2591108\Basic\__2019EX_PM_.xuf</v>
      </c>
    </row>
    <row r="937" spans="80:82" x14ac:dyDescent="0.2">
      <c r="CB937" s="31" t="str">
        <f t="shared" si="36"/>
        <v xml:space="preserve">  </v>
      </c>
      <c r="CC937" s="25" t="str">
        <f t="shared" si="37"/>
        <v/>
      </c>
      <c r="CD937" s="25" t="str">
        <f>BasicInput!$D$13&amp;$CD$2&amp;B937&amp;"_"&amp;C937&amp;D937&amp;"_"&amp;BasicInput!$D$7&amp;BasicInput!$D$8&amp;"_"&amp;CC937&amp;".xuf"</f>
        <v>C:\PWWORKING\east01\d2591108\Basic\__2019EX_PM_.xuf</v>
      </c>
    </row>
    <row r="938" spans="80:82" x14ac:dyDescent="0.2">
      <c r="CB938" s="31" t="str">
        <f t="shared" si="36"/>
        <v xml:space="preserve">  </v>
      </c>
      <c r="CC938" s="25" t="str">
        <f t="shared" si="37"/>
        <v/>
      </c>
      <c r="CD938" s="25" t="str">
        <f>BasicInput!$D$13&amp;$CD$2&amp;B938&amp;"_"&amp;C938&amp;D938&amp;"_"&amp;BasicInput!$D$7&amp;BasicInput!$D$8&amp;"_"&amp;CC938&amp;".xuf"</f>
        <v>C:\PWWORKING\east01\d2591108\Basic\__2019EX_PM_.xuf</v>
      </c>
    </row>
    <row r="939" spans="80:82" x14ac:dyDescent="0.2">
      <c r="CB939" s="31" t="str">
        <f t="shared" si="36"/>
        <v xml:space="preserve">  </v>
      </c>
      <c r="CC939" s="25" t="str">
        <f t="shared" si="37"/>
        <v/>
      </c>
      <c r="CD939" s="25" t="str">
        <f>BasicInput!$D$13&amp;$CD$2&amp;B939&amp;"_"&amp;C939&amp;D939&amp;"_"&amp;BasicInput!$D$7&amp;BasicInput!$D$8&amp;"_"&amp;CC939&amp;".xuf"</f>
        <v>C:\PWWORKING\east01\d2591108\Basic\__2019EX_PM_.xuf</v>
      </c>
    </row>
    <row r="940" spans="80:82" x14ac:dyDescent="0.2">
      <c r="CB940" s="31" t="str">
        <f t="shared" si="36"/>
        <v xml:space="preserve">  </v>
      </c>
      <c r="CC940" s="25" t="str">
        <f t="shared" si="37"/>
        <v/>
      </c>
      <c r="CD940" s="25" t="str">
        <f>BasicInput!$D$13&amp;$CD$2&amp;B940&amp;"_"&amp;C940&amp;D940&amp;"_"&amp;BasicInput!$D$7&amp;BasicInput!$D$8&amp;"_"&amp;CC940&amp;".xuf"</f>
        <v>C:\PWWORKING\east01\d2591108\Basic\__2019EX_PM_.xuf</v>
      </c>
    </row>
    <row r="941" spans="80:82" x14ac:dyDescent="0.2">
      <c r="CB941" s="31" t="str">
        <f t="shared" si="36"/>
        <v xml:space="preserve">  </v>
      </c>
      <c r="CC941" s="25" t="str">
        <f t="shared" si="37"/>
        <v/>
      </c>
      <c r="CD941" s="25" t="str">
        <f>BasicInput!$D$13&amp;$CD$2&amp;B941&amp;"_"&amp;C941&amp;D941&amp;"_"&amp;BasicInput!$D$7&amp;BasicInput!$D$8&amp;"_"&amp;CC941&amp;".xuf"</f>
        <v>C:\PWWORKING\east01\d2591108\Basic\__2019EX_PM_.xuf</v>
      </c>
    </row>
    <row r="942" spans="80:82" x14ac:dyDescent="0.2">
      <c r="CB942" s="31" t="str">
        <f t="shared" si="36"/>
        <v xml:space="preserve">  </v>
      </c>
      <c r="CC942" s="25" t="str">
        <f t="shared" si="37"/>
        <v/>
      </c>
      <c r="CD942" s="25" t="str">
        <f>BasicInput!$D$13&amp;$CD$2&amp;B942&amp;"_"&amp;C942&amp;D942&amp;"_"&amp;BasicInput!$D$7&amp;BasicInput!$D$8&amp;"_"&amp;CC942&amp;".xuf"</f>
        <v>C:\PWWORKING\east01\d2591108\Basic\__2019EX_PM_.xuf</v>
      </c>
    </row>
    <row r="943" spans="80:82" x14ac:dyDescent="0.2">
      <c r="CB943" s="31" t="str">
        <f t="shared" si="36"/>
        <v xml:space="preserve">  </v>
      </c>
      <c r="CC943" s="25" t="str">
        <f t="shared" si="37"/>
        <v/>
      </c>
      <c r="CD943" s="25" t="str">
        <f>BasicInput!$D$13&amp;$CD$2&amp;B943&amp;"_"&amp;C943&amp;D943&amp;"_"&amp;BasicInput!$D$7&amp;BasicInput!$D$8&amp;"_"&amp;CC943&amp;".xuf"</f>
        <v>C:\PWWORKING\east01\d2591108\Basic\__2019EX_PM_.xuf</v>
      </c>
    </row>
    <row r="944" spans="80:82" x14ac:dyDescent="0.2">
      <c r="CB944" s="31" t="str">
        <f t="shared" si="36"/>
        <v xml:space="preserve">  </v>
      </c>
      <c r="CC944" s="25" t="str">
        <f t="shared" si="37"/>
        <v/>
      </c>
      <c r="CD944" s="25" t="str">
        <f>BasicInput!$D$13&amp;$CD$2&amp;B944&amp;"_"&amp;C944&amp;D944&amp;"_"&amp;BasicInput!$D$7&amp;BasicInput!$D$8&amp;"_"&amp;CC944&amp;".xuf"</f>
        <v>C:\PWWORKING\east01\d2591108\Basic\__2019EX_PM_.xuf</v>
      </c>
    </row>
    <row r="945" spans="80:82" x14ac:dyDescent="0.2">
      <c r="CB945" s="31" t="str">
        <f t="shared" si="36"/>
        <v xml:space="preserve">  </v>
      </c>
      <c r="CC945" s="25" t="str">
        <f t="shared" si="37"/>
        <v/>
      </c>
      <c r="CD945" s="25" t="str">
        <f>BasicInput!$D$13&amp;$CD$2&amp;B945&amp;"_"&amp;C945&amp;D945&amp;"_"&amp;BasicInput!$D$7&amp;BasicInput!$D$8&amp;"_"&amp;CC945&amp;".xuf"</f>
        <v>C:\PWWORKING\east01\d2591108\Basic\__2019EX_PM_.xuf</v>
      </c>
    </row>
    <row r="946" spans="80:82" x14ac:dyDescent="0.2">
      <c r="CB946" s="31" t="str">
        <f t="shared" si="36"/>
        <v xml:space="preserve">  </v>
      </c>
      <c r="CC946" s="25" t="str">
        <f t="shared" si="37"/>
        <v/>
      </c>
      <c r="CD946" s="25" t="str">
        <f>BasicInput!$D$13&amp;$CD$2&amp;B946&amp;"_"&amp;C946&amp;D946&amp;"_"&amp;BasicInput!$D$7&amp;BasicInput!$D$8&amp;"_"&amp;CC946&amp;".xuf"</f>
        <v>C:\PWWORKING\east01\d2591108\Basic\__2019EX_PM_.xuf</v>
      </c>
    </row>
    <row r="947" spans="80:82" x14ac:dyDescent="0.2">
      <c r="CB947" s="31" t="str">
        <f t="shared" si="36"/>
        <v xml:space="preserve">  </v>
      </c>
      <c r="CC947" s="25" t="str">
        <f t="shared" si="37"/>
        <v/>
      </c>
      <c r="CD947" s="25" t="str">
        <f>BasicInput!$D$13&amp;$CD$2&amp;B947&amp;"_"&amp;C947&amp;D947&amp;"_"&amp;BasicInput!$D$7&amp;BasicInput!$D$8&amp;"_"&amp;CC947&amp;".xuf"</f>
        <v>C:\PWWORKING\east01\d2591108\Basic\__2019EX_PM_.xuf</v>
      </c>
    </row>
    <row r="948" spans="80:82" x14ac:dyDescent="0.2">
      <c r="CB948" s="31" t="str">
        <f t="shared" si="36"/>
        <v xml:space="preserve">  </v>
      </c>
      <c r="CC948" s="25" t="str">
        <f t="shared" si="37"/>
        <v/>
      </c>
      <c r="CD948" s="25" t="str">
        <f>BasicInput!$D$13&amp;$CD$2&amp;B948&amp;"_"&amp;C948&amp;D948&amp;"_"&amp;BasicInput!$D$7&amp;BasicInput!$D$8&amp;"_"&amp;CC948&amp;".xuf"</f>
        <v>C:\PWWORKING\east01\d2591108\Basic\__2019EX_PM_.xuf</v>
      </c>
    </row>
    <row r="949" spans="80:82" x14ac:dyDescent="0.2">
      <c r="CB949" s="31" t="str">
        <f t="shared" si="36"/>
        <v xml:space="preserve">  </v>
      </c>
      <c r="CC949" s="25" t="str">
        <f t="shared" si="37"/>
        <v/>
      </c>
      <c r="CD949" s="25" t="str">
        <f>BasicInput!$D$13&amp;$CD$2&amp;B949&amp;"_"&amp;C949&amp;D949&amp;"_"&amp;BasicInput!$D$7&amp;BasicInput!$D$8&amp;"_"&amp;CC949&amp;".xuf"</f>
        <v>C:\PWWORKING\east01\d2591108\Basic\__2019EX_PM_.xuf</v>
      </c>
    </row>
    <row r="950" spans="80:82" x14ac:dyDescent="0.2">
      <c r="CB950" s="31" t="str">
        <f t="shared" si="36"/>
        <v xml:space="preserve">  </v>
      </c>
      <c r="CC950" s="25" t="str">
        <f t="shared" si="37"/>
        <v/>
      </c>
      <c r="CD950" s="25" t="str">
        <f>BasicInput!$D$13&amp;$CD$2&amp;B950&amp;"_"&amp;C950&amp;D950&amp;"_"&amp;BasicInput!$D$7&amp;BasicInput!$D$8&amp;"_"&amp;CC950&amp;".xuf"</f>
        <v>C:\PWWORKING\east01\d2591108\Basic\__2019EX_PM_.xuf</v>
      </c>
    </row>
    <row r="951" spans="80:82" x14ac:dyDescent="0.2">
      <c r="CB951" s="31" t="str">
        <f t="shared" si="36"/>
        <v xml:space="preserve">  </v>
      </c>
      <c r="CC951" s="25" t="str">
        <f t="shared" si="37"/>
        <v/>
      </c>
      <c r="CD951" s="25" t="str">
        <f>BasicInput!$D$13&amp;$CD$2&amp;B951&amp;"_"&amp;C951&amp;D951&amp;"_"&amp;BasicInput!$D$7&amp;BasicInput!$D$8&amp;"_"&amp;CC951&amp;".xuf"</f>
        <v>C:\PWWORKING\east01\d2591108\Basic\__2019EX_PM_.xuf</v>
      </c>
    </row>
    <row r="952" spans="80:82" x14ac:dyDescent="0.2">
      <c r="CB952" s="31" t="str">
        <f t="shared" si="36"/>
        <v xml:space="preserve">  </v>
      </c>
      <c r="CC952" s="25" t="str">
        <f t="shared" si="37"/>
        <v/>
      </c>
      <c r="CD952" s="25" t="str">
        <f>BasicInput!$D$13&amp;$CD$2&amp;B952&amp;"_"&amp;C952&amp;D952&amp;"_"&amp;BasicInput!$D$7&amp;BasicInput!$D$8&amp;"_"&amp;CC952&amp;".xuf"</f>
        <v>C:\PWWORKING\east01\d2591108\Basic\__2019EX_PM_.xuf</v>
      </c>
    </row>
    <row r="953" spans="80:82" x14ac:dyDescent="0.2">
      <c r="CB953" s="31" t="str">
        <f t="shared" si="36"/>
        <v xml:space="preserve">  </v>
      </c>
      <c r="CC953" s="25" t="str">
        <f t="shared" si="37"/>
        <v/>
      </c>
      <c r="CD953" s="25" t="str">
        <f>BasicInput!$D$13&amp;$CD$2&amp;B953&amp;"_"&amp;C953&amp;D953&amp;"_"&amp;BasicInput!$D$7&amp;BasicInput!$D$8&amp;"_"&amp;CC953&amp;".xuf"</f>
        <v>C:\PWWORKING\east01\d2591108\Basic\__2019EX_PM_.xuf</v>
      </c>
    </row>
    <row r="954" spans="80:82" x14ac:dyDescent="0.2">
      <c r="CB954" s="31" t="str">
        <f t="shared" si="36"/>
        <v xml:space="preserve">  </v>
      </c>
      <c r="CC954" s="25" t="str">
        <f t="shared" si="37"/>
        <v/>
      </c>
      <c r="CD954" s="25" t="str">
        <f>BasicInput!$D$13&amp;$CD$2&amp;B954&amp;"_"&amp;C954&amp;D954&amp;"_"&amp;BasicInput!$D$7&amp;BasicInput!$D$8&amp;"_"&amp;CC954&amp;".xuf"</f>
        <v>C:\PWWORKING\east01\d2591108\Basic\__2019EX_PM_.xuf</v>
      </c>
    </row>
    <row r="955" spans="80:82" x14ac:dyDescent="0.2">
      <c r="CB955" s="31" t="str">
        <f t="shared" si="36"/>
        <v xml:space="preserve">  </v>
      </c>
      <c r="CC955" s="25" t="str">
        <f t="shared" si="37"/>
        <v/>
      </c>
      <c r="CD955" s="25" t="str">
        <f>BasicInput!$D$13&amp;$CD$2&amp;B955&amp;"_"&amp;C955&amp;D955&amp;"_"&amp;BasicInput!$D$7&amp;BasicInput!$D$8&amp;"_"&amp;CC955&amp;".xuf"</f>
        <v>C:\PWWORKING\east01\d2591108\Basic\__2019EX_PM_.xuf</v>
      </c>
    </row>
    <row r="956" spans="80:82" x14ac:dyDescent="0.2">
      <c r="CB956" s="31" t="str">
        <f t="shared" si="36"/>
        <v xml:space="preserve">  </v>
      </c>
      <c r="CC956" s="25" t="str">
        <f t="shared" si="37"/>
        <v/>
      </c>
      <c r="CD956" s="25" t="str">
        <f>BasicInput!$D$13&amp;$CD$2&amp;B956&amp;"_"&amp;C956&amp;D956&amp;"_"&amp;BasicInput!$D$7&amp;BasicInput!$D$8&amp;"_"&amp;CC956&amp;".xuf"</f>
        <v>C:\PWWORKING\east01\d2591108\Basic\__2019EX_PM_.xuf</v>
      </c>
    </row>
    <row r="957" spans="80:82" x14ac:dyDescent="0.2">
      <c r="CB957" s="31" t="str">
        <f t="shared" si="36"/>
        <v xml:space="preserve">  </v>
      </c>
      <c r="CC957" s="25" t="str">
        <f t="shared" si="37"/>
        <v/>
      </c>
      <c r="CD957" s="25" t="str">
        <f>BasicInput!$D$13&amp;$CD$2&amp;B957&amp;"_"&amp;C957&amp;D957&amp;"_"&amp;BasicInput!$D$7&amp;BasicInput!$D$8&amp;"_"&amp;CC957&amp;".xuf"</f>
        <v>C:\PWWORKING\east01\d2591108\Basic\__2019EX_PM_.xuf</v>
      </c>
    </row>
    <row r="958" spans="80:82" x14ac:dyDescent="0.2">
      <c r="CB958" s="31" t="str">
        <f t="shared" si="36"/>
        <v xml:space="preserve">  </v>
      </c>
      <c r="CC958" s="25" t="str">
        <f t="shared" si="37"/>
        <v/>
      </c>
      <c r="CD958" s="25" t="str">
        <f>BasicInput!$D$13&amp;$CD$2&amp;B958&amp;"_"&amp;C958&amp;D958&amp;"_"&amp;BasicInput!$D$7&amp;BasicInput!$D$8&amp;"_"&amp;CC958&amp;".xuf"</f>
        <v>C:\PWWORKING\east01\d2591108\Basic\__2019EX_PM_.xuf</v>
      </c>
    </row>
    <row r="959" spans="80:82" x14ac:dyDescent="0.2">
      <c r="CB959" s="31" t="str">
        <f t="shared" si="36"/>
        <v xml:space="preserve">  </v>
      </c>
      <c r="CC959" s="25" t="str">
        <f t="shared" si="37"/>
        <v/>
      </c>
      <c r="CD959" s="25" t="str">
        <f>BasicInput!$D$13&amp;$CD$2&amp;B959&amp;"_"&amp;C959&amp;D959&amp;"_"&amp;BasicInput!$D$7&amp;BasicInput!$D$8&amp;"_"&amp;CC959&amp;".xuf"</f>
        <v>C:\PWWORKING\east01\d2591108\Basic\__2019EX_PM_.xuf</v>
      </c>
    </row>
    <row r="960" spans="80:82" x14ac:dyDescent="0.2">
      <c r="CB960" s="31" t="str">
        <f t="shared" si="36"/>
        <v xml:space="preserve">  </v>
      </c>
      <c r="CC960" s="25" t="str">
        <f t="shared" si="37"/>
        <v/>
      </c>
      <c r="CD960" s="25" t="str">
        <f>BasicInput!$D$13&amp;$CD$2&amp;B960&amp;"_"&amp;C960&amp;D960&amp;"_"&amp;BasicInput!$D$7&amp;BasicInput!$D$8&amp;"_"&amp;CC960&amp;".xuf"</f>
        <v>C:\PWWORKING\east01\d2591108\Basic\__2019EX_PM_.xuf</v>
      </c>
    </row>
    <row r="961" spans="80:82" x14ac:dyDescent="0.2">
      <c r="CB961" s="31" t="str">
        <f t="shared" si="36"/>
        <v xml:space="preserve">  </v>
      </c>
      <c r="CC961" s="25" t="str">
        <f t="shared" si="37"/>
        <v/>
      </c>
      <c r="CD961" s="25" t="str">
        <f>BasicInput!$D$13&amp;$CD$2&amp;B961&amp;"_"&amp;C961&amp;D961&amp;"_"&amp;BasicInput!$D$7&amp;BasicInput!$D$8&amp;"_"&amp;CC961&amp;".xuf"</f>
        <v>C:\PWWORKING\east01\d2591108\Basic\__2019EX_PM_.xuf</v>
      </c>
    </row>
    <row r="962" spans="80:82" x14ac:dyDescent="0.2">
      <c r="CB962" s="31" t="str">
        <f t="shared" si="36"/>
        <v xml:space="preserve">  </v>
      </c>
      <c r="CC962" s="25" t="str">
        <f t="shared" si="37"/>
        <v/>
      </c>
      <c r="CD962" s="25" t="str">
        <f>BasicInput!$D$13&amp;$CD$2&amp;B962&amp;"_"&amp;C962&amp;D962&amp;"_"&amp;BasicInput!$D$7&amp;BasicInput!$D$8&amp;"_"&amp;CC962&amp;".xuf"</f>
        <v>C:\PWWORKING\east01\d2591108\Basic\__2019EX_PM_.xuf</v>
      </c>
    </row>
    <row r="963" spans="80:82" x14ac:dyDescent="0.2">
      <c r="CB963" s="31" t="str">
        <f t="shared" si="36"/>
        <v xml:space="preserve">  </v>
      </c>
      <c r="CC963" s="25" t="str">
        <f t="shared" si="37"/>
        <v/>
      </c>
      <c r="CD963" s="25" t="str">
        <f>BasicInput!$D$13&amp;$CD$2&amp;B963&amp;"_"&amp;C963&amp;D963&amp;"_"&amp;BasicInput!$D$7&amp;BasicInput!$D$8&amp;"_"&amp;CC963&amp;".xuf"</f>
        <v>C:\PWWORKING\east01\d2591108\Basic\__2019EX_PM_.xuf</v>
      </c>
    </row>
    <row r="964" spans="80:82" x14ac:dyDescent="0.2">
      <c r="CB964" s="31" t="str">
        <f t="shared" si="36"/>
        <v xml:space="preserve">  </v>
      </c>
      <c r="CC964" s="25" t="str">
        <f t="shared" si="37"/>
        <v/>
      </c>
      <c r="CD964" s="25" t="str">
        <f>BasicInput!$D$13&amp;$CD$2&amp;B964&amp;"_"&amp;C964&amp;D964&amp;"_"&amp;BasicInput!$D$7&amp;BasicInput!$D$8&amp;"_"&amp;CC964&amp;".xuf"</f>
        <v>C:\PWWORKING\east01\d2591108\Basic\__2019EX_PM_.xuf</v>
      </c>
    </row>
    <row r="965" spans="80:82" x14ac:dyDescent="0.2">
      <c r="CB965" s="31" t="str">
        <f t="shared" si="36"/>
        <v xml:space="preserve">  </v>
      </c>
      <c r="CC965" s="25" t="str">
        <f t="shared" si="37"/>
        <v/>
      </c>
      <c r="CD965" s="25" t="str">
        <f>BasicInput!$D$13&amp;$CD$2&amp;B965&amp;"_"&amp;C965&amp;D965&amp;"_"&amp;BasicInput!$D$7&amp;BasicInput!$D$8&amp;"_"&amp;CC965&amp;".xuf"</f>
        <v>C:\PWWORKING\east01\d2591108\Basic\__2019EX_PM_.xuf</v>
      </c>
    </row>
    <row r="966" spans="80:82" x14ac:dyDescent="0.2">
      <c r="CB966" s="31" t="str">
        <f t="shared" si="36"/>
        <v xml:space="preserve">  </v>
      </c>
      <c r="CC966" s="25" t="str">
        <f t="shared" si="37"/>
        <v/>
      </c>
      <c r="CD966" s="25" t="str">
        <f>BasicInput!$D$13&amp;$CD$2&amp;B966&amp;"_"&amp;C966&amp;D966&amp;"_"&amp;BasicInput!$D$7&amp;BasicInput!$D$8&amp;"_"&amp;CC966&amp;".xuf"</f>
        <v>C:\PWWORKING\east01\d2591108\Basic\__2019EX_PM_.xuf</v>
      </c>
    </row>
    <row r="967" spans="80:82" x14ac:dyDescent="0.2">
      <c r="CB967" s="31" t="str">
        <f t="shared" si="36"/>
        <v xml:space="preserve">  </v>
      </c>
      <c r="CC967" s="25" t="str">
        <f t="shared" si="37"/>
        <v/>
      </c>
      <c r="CD967" s="25" t="str">
        <f>BasicInput!$D$13&amp;$CD$2&amp;B967&amp;"_"&amp;C967&amp;D967&amp;"_"&amp;BasicInput!$D$7&amp;BasicInput!$D$8&amp;"_"&amp;CC967&amp;".xuf"</f>
        <v>C:\PWWORKING\east01\d2591108\Basic\__2019EX_PM_.xuf</v>
      </c>
    </row>
    <row r="968" spans="80:82" x14ac:dyDescent="0.2">
      <c r="CB968" s="31" t="str">
        <f t="shared" si="36"/>
        <v xml:space="preserve">  </v>
      </c>
      <c r="CC968" s="25" t="str">
        <f t="shared" si="37"/>
        <v/>
      </c>
      <c r="CD968" s="25" t="str">
        <f>BasicInput!$D$13&amp;$CD$2&amp;B968&amp;"_"&amp;C968&amp;D968&amp;"_"&amp;BasicInput!$D$7&amp;BasicInput!$D$8&amp;"_"&amp;CC968&amp;".xuf"</f>
        <v>C:\PWWORKING\east01\d2591108\Basic\__2019EX_PM_.xuf</v>
      </c>
    </row>
    <row r="969" spans="80:82" x14ac:dyDescent="0.2">
      <c r="CB969" s="31" t="str">
        <f t="shared" si="36"/>
        <v xml:space="preserve">  </v>
      </c>
      <c r="CC969" s="25" t="str">
        <f t="shared" si="37"/>
        <v/>
      </c>
      <c r="CD969" s="25" t="str">
        <f>BasicInput!$D$13&amp;$CD$2&amp;B969&amp;"_"&amp;C969&amp;D969&amp;"_"&amp;BasicInput!$D$7&amp;BasicInput!$D$8&amp;"_"&amp;CC969&amp;".xuf"</f>
        <v>C:\PWWORKING\east01\d2591108\Basic\__2019EX_PM_.xuf</v>
      </c>
    </row>
    <row r="970" spans="80:82" x14ac:dyDescent="0.2">
      <c r="CB970" s="31" t="str">
        <f t="shared" si="36"/>
        <v xml:space="preserve">  </v>
      </c>
      <c r="CC970" s="25" t="str">
        <f t="shared" si="37"/>
        <v/>
      </c>
      <c r="CD970" s="25" t="str">
        <f>BasicInput!$D$13&amp;$CD$2&amp;B970&amp;"_"&amp;C970&amp;D970&amp;"_"&amp;BasicInput!$D$7&amp;BasicInput!$D$8&amp;"_"&amp;CC970&amp;".xuf"</f>
        <v>C:\PWWORKING\east01\d2591108\Basic\__2019EX_PM_.xuf</v>
      </c>
    </row>
    <row r="971" spans="80:82" x14ac:dyDescent="0.2">
      <c r="CB971" s="31" t="str">
        <f t="shared" si="36"/>
        <v xml:space="preserve">  </v>
      </c>
      <c r="CC971" s="25" t="str">
        <f t="shared" si="37"/>
        <v/>
      </c>
      <c r="CD971" s="25" t="str">
        <f>BasicInput!$D$13&amp;$CD$2&amp;B971&amp;"_"&amp;C971&amp;D971&amp;"_"&amp;BasicInput!$D$7&amp;BasicInput!$D$8&amp;"_"&amp;CC971&amp;".xuf"</f>
        <v>C:\PWWORKING\east01\d2591108\Basic\__2019EX_PM_.xuf</v>
      </c>
    </row>
    <row r="972" spans="80:82" x14ac:dyDescent="0.2">
      <c r="CB972" s="31" t="str">
        <f t="shared" si="36"/>
        <v xml:space="preserve">  </v>
      </c>
      <c r="CC972" s="25" t="str">
        <f t="shared" si="37"/>
        <v/>
      </c>
      <c r="CD972" s="25" t="str">
        <f>BasicInput!$D$13&amp;$CD$2&amp;B972&amp;"_"&amp;C972&amp;D972&amp;"_"&amp;BasicInput!$D$7&amp;BasicInput!$D$8&amp;"_"&amp;CC972&amp;".xuf"</f>
        <v>C:\PWWORKING\east01\d2591108\Basic\__2019EX_PM_.xuf</v>
      </c>
    </row>
    <row r="973" spans="80:82" x14ac:dyDescent="0.2">
      <c r="CB973" s="31" t="str">
        <f t="shared" si="36"/>
        <v xml:space="preserve">  </v>
      </c>
      <c r="CC973" s="25" t="str">
        <f t="shared" si="37"/>
        <v/>
      </c>
      <c r="CD973" s="25" t="str">
        <f>BasicInput!$D$13&amp;$CD$2&amp;B973&amp;"_"&amp;C973&amp;D973&amp;"_"&amp;BasicInput!$D$7&amp;BasicInput!$D$8&amp;"_"&amp;CC973&amp;".xuf"</f>
        <v>C:\PWWORKING\east01\d2591108\Basic\__2019EX_PM_.xuf</v>
      </c>
    </row>
    <row r="974" spans="80:82" x14ac:dyDescent="0.2">
      <c r="CB974" s="31" t="str">
        <f t="shared" si="36"/>
        <v xml:space="preserve">  </v>
      </c>
      <c r="CC974" s="25" t="str">
        <f t="shared" si="37"/>
        <v/>
      </c>
      <c r="CD974" s="25" t="str">
        <f>BasicInput!$D$13&amp;$CD$2&amp;B974&amp;"_"&amp;C974&amp;D974&amp;"_"&amp;BasicInput!$D$7&amp;BasicInput!$D$8&amp;"_"&amp;CC974&amp;".xuf"</f>
        <v>C:\PWWORKING\east01\d2591108\Basic\__2019EX_PM_.xuf</v>
      </c>
    </row>
    <row r="975" spans="80:82" x14ac:dyDescent="0.2">
      <c r="CB975" s="31" t="str">
        <f t="shared" si="36"/>
        <v xml:space="preserve">  </v>
      </c>
      <c r="CC975" s="25" t="str">
        <f t="shared" si="37"/>
        <v/>
      </c>
      <c r="CD975" s="25" t="str">
        <f>BasicInput!$D$13&amp;$CD$2&amp;B975&amp;"_"&amp;C975&amp;D975&amp;"_"&amp;BasicInput!$D$7&amp;BasicInput!$D$8&amp;"_"&amp;CC975&amp;".xuf"</f>
        <v>C:\PWWORKING\east01\d2591108\Basic\__2019EX_PM_.xuf</v>
      </c>
    </row>
    <row r="976" spans="80:82" x14ac:dyDescent="0.2">
      <c r="CB976" s="31" t="str">
        <f t="shared" si="36"/>
        <v xml:space="preserve">  </v>
      </c>
      <c r="CC976" s="25" t="str">
        <f t="shared" si="37"/>
        <v/>
      </c>
      <c r="CD976" s="25" t="str">
        <f>BasicInput!$D$13&amp;$CD$2&amp;B976&amp;"_"&amp;C976&amp;D976&amp;"_"&amp;BasicInput!$D$7&amp;BasicInput!$D$8&amp;"_"&amp;CC976&amp;".xuf"</f>
        <v>C:\PWWORKING\east01\d2591108\Basic\__2019EX_PM_.xuf</v>
      </c>
    </row>
    <row r="977" spans="80:82" x14ac:dyDescent="0.2">
      <c r="CB977" s="31" t="str">
        <f t="shared" ref="CB977:CB1040" si="38">C977&amp; " "&amp;D977&amp;" " &amp;E977</f>
        <v xml:space="preserve">  </v>
      </c>
      <c r="CC977" s="25" t="str">
        <f t="shared" ref="CC977:CC1040" si="39">SUBSTITUTE(E977, "/", "_")</f>
        <v/>
      </c>
      <c r="CD977" s="25" t="str">
        <f>BasicInput!$D$13&amp;$CD$2&amp;B977&amp;"_"&amp;C977&amp;D977&amp;"_"&amp;BasicInput!$D$7&amp;BasicInput!$D$8&amp;"_"&amp;CC977&amp;".xuf"</f>
        <v>C:\PWWORKING\east01\d2591108\Basic\__2019EX_PM_.xuf</v>
      </c>
    </row>
    <row r="978" spans="80:82" x14ac:dyDescent="0.2">
      <c r="CB978" s="31" t="str">
        <f t="shared" si="38"/>
        <v xml:space="preserve">  </v>
      </c>
      <c r="CC978" s="25" t="str">
        <f t="shared" si="39"/>
        <v/>
      </c>
      <c r="CD978" s="25" t="str">
        <f>BasicInput!$D$13&amp;$CD$2&amp;B978&amp;"_"&amp;C978&amp;D978&amp;"_"&amp;BasicInput!$D$7&amp;BasicInput!$D$8&amp;"_"&amp;CC978&amp;".xuf"</f>
        <v>C:\PWWORKING\east01\d2591108\Basic\__2019EX_PM_.xuf</v>
      </c>
    </row>
    <row r="979" spans="80:82" x14ac:dyDescent="0.2">
      <c r="CB979" s="31" t="str">
        <f t="shared" si="38"/>
        <v xml:space="preserve">  </v>
      </c>
      <c r="CC979" s="25" t="str">
        <f t="shared" si="39"/>
        <v/>
      </c>
      <c r="CD979" s="25" t="str">
        <f>BasicInput!$D$13&amp;$CD$2&amp;B979&amp;"_"&amp;C979&amp;D979&amp;"_"&amp;BasicInput!$D$7&amp;BasicInput!$D$8&amp;"_"&amp;CC979&amp;".xuf"</f>
        <v>C:\PWWORKING\east01\d2591108\Basic\__2019EX_PM_.xuf</v>
      </c>
    </row>
    <row r="980" spans="80:82" x14ac:dyDescent="0.2">
      <c r="CB980" s="31" t="str">
        <f t="shared" si="38"/>
        <v xml:space="preserve">  </v>
      </c>
      <c r="CC980" s="25" t="str">
        <f t="shared" si="39"/>
        <v/>
      </c>
      <c r="CD980" s="25" t="str">
        <f>BasicInput!$D$13&amp;$CD$2&amp;B980&amp;"_"&amp;C980&amp;D980&amp;"_"&amp;BasicInput!$D$7&amp;BasicInput!$D$8&amp;"_"&amp;CC980&amp;".xuf"</f>
        <v>C:\PWWORKING\east01\d2591108\Basic\__2019EX_PM_.xuf</v>
      </c>
    </row>
    <row r="981" spans="80:82" x14ac:dyDescent="0.2">
      <c r="CB981" s="31" t="str">
        <f t="shared" si="38"/>
        <v xml:space="preserve">  </v>
      </c>
      <c r="CC981" s="25" t="str">
        <f t="shared" si="39"/>
        <v/>
      </c>
      <c r="CD981" s="25" t="str">
        <f>BasicInput!$D$13&amp;$CD$2&amp;B981&amp;"_"&amp;C981&amp;D981&amp;"_"&amp;BasicInput!$D$7&amp;BasicInput!$D$8&amp;"_"&amp;CC981&amp;".xuf"</f>
        <v>C:\PWWORKING\east01\d2591108\Basic\__2019EX_PM_.xuf</v>
      </c>
    </row>
    <row r="982" spans="80:82" x14ac:dyDescent="0.2">
      <c r="CB982" s="31" t="str">
        <f t="shared" si="38"/>
        <v xml:space="preserve">  </v>
      </c>
      <c r="CC982" s="25" t="str">
        <f t="shared" si="39"/>
        <v/>
      </c>
      <c r="CD982" s="25" t="str">
        <f>BasicInput!$D$13&amp;$CD$2&amp;B982&amp;"_"&amp;C982&amp;D982&amp;"_"&amp;BasicInput!$D$7&amp;BasicInput!$D$8&amp;"_"&amp;CC982&amp;".xuf"</f>
        <v>C:\PWWORKING\east01\d2591108\Basic\__2019EX_PM_.xuf</v>
      </c>
    </row>
    <row r="983" spans="80:82" x14ac:dyDescent="0.2">
      <c r="CB983" s="31" t="str">
        <f t="shared" si="38"/>
        <v xml:space="preserve">  </v>
      </c>
      <c r="CC983" s="25" t="str">
        <f t="shared" si="39"/>
        <v/>
      </c>
      <c r="CD983" s="25" t="str">
        <f>BasicInput!$D$13&amp;$CD$2&amp;B983&amp;"_"&amp;C983&amp;D983&amp;"_"&amp;BasicInput!$D$7&amp;BasicInput!$D$8&amp;"_"&amp;CC983&amp;".xuf"</f>
        <v>C:\PWWORKING\east01\d2591108\Basic\__2019EX_PM_.xuf</v>
      </c>
    </row>
    <row r="984" spans="80:82" x14ac:dyDescent="0.2">
      <c r="CB984" s="31" t="str">
        <f t="shared" si="38"/>
        <v xml:space="preserve">  </v>
      </c>
      <c r="CC984" s="25" t="str">
        <f t="shared" si="39"/>
        <v/>
      </c>
      <c r="CD984" s="25" t="str">
        <f>BasicInput!$D$13&amp;$CD$2&amp;B984&amp;"_"&amp;C984&amp;D984&amp;"_"&amp;BasicInput!$D$7&amp;BasicInput!$D$8&amp;"_"&amp;CC984&amp;".xuf"</f>
        <v>C:\PWWORKING\east01\d2591108\Basic\__2019EX_PM_.xuf</v>
      </c>
    </row>
    <row r="985" spans="80:82" x14ac:dyDescent="0.2">
      <c r="CB985" s="31" t="str">
        <f t="shared" si="38"/>
        <v xml:space="preserve">  </v>
      </c>
      <c r="CC985" s="25" t="str">
        <f t="shared" si="39"/>
        <v/>
      </c>
      <c r="CD985" s="25" t="str">
        <f>BasicInput!$D$13&amp;$CD$2&amp;B985&amp;"_"&amp;C985&amp;D985&amp;"_"&amp;BasicInput!$D$7&amp;BasicInput!$D$8&amp;"_"&amp;CC985&amp;".xuf"</f>
        <v>C:\PWWORKING\east01\d2591108\Basic\__2019EX_PM_.xuf</v>
      </c>
    </row>
    <row r="986" spans="80:82" x14ac:dyDescent="0.2">
      <c r="CB986" s="31" t="str">
        <f t="shared" si="38"/>
        <v xml:space="preserve">  </v>
      </c>
      <c r="CC986" s="25" t="str">
        <f t="shared" si="39"/>
        <v/>
      </c>
      <c r="CD986" s="25" t="str">
        <f>BasicInput!$D$13&amp;$CD$2&amp;B986&amp;"_"&amp;C986&amp;D986&amp;"_"&amp;BasicInput!$D$7&amp;BasicInput!$D$8&amp;"_"&amp;CC986&amp;".xuf"</f>
        <v>C:\PWWORKING\east01\d2591108\Basic\__2019EX_PM_.xuf</v>
      </c>
    </row>
    <row r="987" spans="80:82" x14ac:dyDescent="0.2">
      <c r="CB987" s="31" t="str">
        <f t="shared" si="38"/>
        <v xml:space="preserve">  </v>
      </c>
      <c r="CC987" s="25" t="str">
        <f t="shared" si="39"/>
        <v/>
      </c>
      <c r="CD987" s="25" t="str">
        <f>BasicInput!$D$13&amp;$CD$2&amp;B987&amp;"_"&amp;C987&amp;D987&amp;"_"&amp;BasicInput!$D$7&amp;BasicInput!$D$8&amp;"_"&amp;CC987&amp;".xuf"</f>
        <v>C:\PWWORKING\east01\d2591108\Basic\__2019EX_PM_.xuf</v>
      </c>
    </row>
    <row r="988" spans="80:82" x14ac:dyDescent="0.2">
      <c r="CB988" s="31" t="str">
        <f t="shared" si="38"/>
        <v xml:space="preserve">  </v>
      </c>
      <c r="CC988" s="25" t="str">
        <f t="shared" si="39"/>
        <v/>
      </c>
      <c r="CD988" s="25" t="str">
        <f>BasicInput!$D$13&amp;$CD$2&amp;B988&amp;"_"&amp;C988&amp;D988&amp;"_"&amp;BasicInput!$D$7&amp;BasicInput!$D$8&amp;"_"&amp;CC988&amp;".xuf"</f>
        <v>C:\PWWORKING\east01\d2591108\Basic\__2019EX_PM_.xuf</v>
      </c>
    </row>
    <row r="989" spans="80:82" x14ac:dyDescent="0.2">
      <c r="CB989" s="31" t="str">
        <f t="shared" si="38"/>
        <v xml:space="preserve">  </v>
      </c>
      <c r="CC989" s="25" t="str">
        <f t="shared" si="39"/>
        <v/>
      </c>
      <c r="CD989" s="25" t="str">
        <f>BasicInput!$D$13&amp;$CD$2&amp;B989&amp;"_"&amp;C989&amp;D989&amp;"_"&amp;BasicInput!$D$7&amp;BasicInput!$D$8&amp;"_"&amp;CC989&amp;".xuf"</f>
        <v>C:\PWWORKING\east01\d2591108\Basic\__2019EX_PM_.xuf</v>
      </c>
    </row>
    <row r="990" spans="80:82" x14ac:dyDescent="0.2">
      <c r="CB990" s="31" t="str">
        <f t="shared" si="38"/>
        <v xml:space="preserve">  </v>
      </c>
      <c r="CC990" s="25" t="str">
        <f t="shared" si="39"/>
        <v/>
      </c>
      <c r="CD990" s="25" t="str">
        <f>BasicInput!$D$13&amp;$CD$2&amp;B990&amp;"_"&amp;C990&amp;D990&amp;"_"&amp;BasicInput!$D$7&amp;BasicInput!$D$8&amp;"_"&amp;CC990&amp;".xuf"</f>
        <v>C:\PWWORKING\east01\d2591108\Basic\__2019EX_PM_.xuf</v>
      </c>
    </row>
    <row r="991" spans="80:82" x14ac:dyDescent="0.2">
      <c r="CB991" s="31" t="str">
        <f t="shared" si="38"/>
        <v xml:space="preserve">  </v>
      </c>
      <c r="CC991" s="25" t="str">
        <f t="shared" si="39"/>
        <v/>
      </c>
      <c r="CD991" s="25" t="str">
        <f>BasicInput!$D$13&amp;$CD$2&amp;B991&amp;"_"&amp;C991&amp;D991&amp;"_"&amp;BasicInput!$D$7&amp;BasicInput!$D$8&amp;"_"&amp;CC991&amp;".xuf"</f>
        <v>C:\PWWORKING\east01\d2591108\Basic\__2019EX_PM_.xuf</v>
      </c>
    </row>
    <row r="992" spans="80:82" x14ac:dyDescent="0.2">
      <c r="CB992" s="31" t="str">
        <f t="shared" si="38"/>
        <v xml:space="preserve">  </v>
      </c>
      <c r="CC992" s="25" t="str">
        <f t="shared" si="39"/>
        <v/>
      </c>
      <c r="CD992" s="25" t="str">
        <f>BasicInput!$D$13&amp;$CD$2&amp;B992&amp;"_"&amp;C992&amp;D992&amp;"_"&amp;BasicInput!$D$7&amp;BasicInput!$D$8&amp;"_"&amp;CC992&amp;".xuf"</f>
        <v>C:\PWWORKING\east01\d2591108\Basic\__2019EX_PM_.xuf</v>
      </c>
    </row>
    <row r="993" spans="80:82" x14ac:dyDescent="0.2">
      <c r="CB993" s="31" t="str">
        <f t="shared" si="38"/>
        <v xml:space="preserve">  </v>
      </c>
      <c r="CC993" s="25" t="str">
        <f t="shared" si="39"/>
        <v/>
      </c>
      <c r="CD993" s="25" t="str">
        <f>BasicInput!$D$13&amp;$CD$2&amp;B993&amp;"_"&amp;C993&amp;D993&amp;"_"&amp;BasicInput!$D$7&amp;BasicInput!$D$8&amp;"_"&amp;CC993&amp;".xuf"</f>
        <v>C:\PWWORKING\east01\d2591108\Basic\__2019EX_PM_.xuf</v>
      </c>
    </row>
    <row r="994" spans="80:82" x14ac:dyDescent="0.2">
      <c r="CB994" s="31" t="str">
        <f t="shared" si="38"/>
        <v xml:space="preserve">  </v>
      </c>
      <c r="CC994" s="25" t="str">
        <f t="shared" si="39"/>
        <v/>
      </c>
      <c r="CD994" s="25" t="str">
        <f>BasicInput!$D$13&amp;$CD$2&amp;B994&amp;"_"&amp;C994&amp;D994&amp;"_"&amp;BasicInput!$D$7&amp;BasicInput!$D$8&amp;"_"&amp;CC994&amp;".xuf"</f>
        <v>C:\PWWORKING\east01\d2591108\Basic\__2019EX_PM_.xuf</v>
      </c>
    </row>
    <row r="995" spans="80:82" x14ac:dyDescent="0.2">
      <c r="CB995" s="31" t="str">
        <f t="shared" si="38"/>
        <v xml:space="preserve">  </v>
      </c>
      <c r="CC995" s="25" t="str">
        <f t="shared" si="39"/>
        <v/>
      </c>
      <c r="CD995" s="25" t="str">
        <f>BasicInput!$D$13&amp;$CD$2&amp;B995&amp;"_"&amp;C995&amp;D995&amp;"_"&amp;BasicInput!$D$7&amp;BasicInput!$D$8&amp;"_"&amp;CC995&amp;".xuf"</f>
        <v>C:\PWWORKING\east01\d2591108\Basic\__2019EX_PM_.xuf</v>
      </c>
    </row>
    <row r="996" spans="80:82" x14ac:dyDescent="0.2">
      <c r="CB996" s="31" t="str">
        <f t="shared" si="38"/>
        <v xml:space="preserve">  </v>
      </c>
      <c r="CC996" s="25" t="str">
        <f t="shared" si="39"/>
        <v/>
      </c>
      <c r="CD996" s="25" t="str">
        <f>BasicInput!$D$13&amp;$CD$2&amp;B996&amp;"_"&amp;C996&amp;D996&amp;"_"&amp;BasicInput!$D$7&amp;BasicInput!$D$8&amp;"_"&amp;CC996&amp;".xuf"</f>
        <v>C:\PWWORKING\east01\d2591108\Basic\__2019EX_PM_.xuf</v>
      </c>
    </row>
    <row r="997" spans="80:82" x14ac:dyDescent="0.2">
      <c r="CB997" s="31" t="str">
        <f t="shared" si="38"/>
        <v xml:space="preserve">  </v>
      </c>
      <c r="CC997" s="25" t="str">
        <f t="shared" si="39"/>
        <v/>
      </c>
      <c r="CD997" s="25" t="str">
        <f>BasicInput!$D$13&amp;$CD$2&amp;B997&amp;"_"&amp;C997&amp;D997&amp;"_"&amp;BasicInput!$D$7&amp;BasicInput!$D$8&amp;"_"&amp;CC997&amp;".xuf"</f>
        <v>C:\PWWORKING\east01\d2591108\Basic\__2019EX_PM_.xuf</v>
      </c>
    </row>
    <row r="998" spans="80:82" x14ac:dyDescent="0.2">
      <c r="CB998" s="31" t="str">
        <f t="shared" si="38"/>
        <v xml:space="preserve">  </v>
      </c>
      <c r="CC998" s="25" t="str">
        <f t="shared" si="39"/>
        <v/>
      </c>
      <c r="CD998" s="25" t="str">
        <f>BasicInput!$D$13&amp;$CD$2&amp;B998&amp;"_"&amp;C998&amp;D998&amp;"_"&amp;BasicInput!$D$7&amp;BasicInput!$D$8&amp;"_"&amp;CC998&amp;".xuf"</f>
        <v>C:\PWWORKING\east01\d2591108\Basic\__2019EX_PM_.xuf</v>
      </c>
    </row>
    <row r="999" spans="80:82" x14ac:dyDescent="0.2">
      <c r="CB999" s="31" t="str">
        <f t="shared" si="38"/>
        <v xml:space="preserve">  </v>
      </c>
      <c r="CC999" s="25" t="str">
        <f t="shared" si="39"/>
        <v/>
      </c>
      <c r="CD999" s="25" t="str">
        <f>BasicInput!$D$13&amp;$CD$2&amp;B999&amp;"_"&amp;C999&amp;D999&amp;"_"&amp;BasicInput!$D$7&amp;BasicInput!$D$8&amp;"_"&amp;CC999&amp;".xuf"</f>
        <v>C:\PWWORKING\east01\d2591108\Basic\__2019EX_PM_.xuf</v>
      </c>
    </row>
    <row r="1000" spans="80:82" x14ac:dyDescent="0.2">
      <c r="CB1000" s="31" t="str">
        <f t="shared" si="38"/>
        <v xml:space="preserve">  </v>
      </c>
      <c r="CC1000" s="25" t="str">
        <f t="shared" si="39"/>
        <v/>
      </c>
      <c r="CD1000" s="25" t="str">
        <f>BasicInput!$D$13&amp;$CD$2&amp;B1000&amp;"_"&amp;C1000&amp;D1000&amp;"_"&amp;BasicInput!$D$7&amp;BasicInput!$D$8&amp;"_"&amp;CC1000&amp;".xuf"</f>
        <v>C:\PWWORKING\east01\d2591108\Basic\__2019EX_PM_.xuf</v>
      </c>
    </row>
    <row r="1001" spans="80:82" x14ac:dyDescent="0.2">
      <c r="CB1001" s="31" t="str">
        <f t="shared" si="38"/>
        <v xml:space="preserve">  </v>
      </c>
      <c r="CC1001" s="25" t="str">
        <f t="shared" si="39"/>
        <v/>
      </c>
      <c r="CD1001" s="25" t="str">
        <f>BasicInput!$D$13&amp;$CD$2&amp;B1001&amp;"_"&amp;C1001&amp;D1001&amp;"_"&amp;BasicInput!$D$7&amp;BasicInput!$D$8&amp;"_"&amp;CC1001&amp;".xuf"</f>
        <v>C:\PWWORKING\east01\d2591108\Basic\__2019EX_PM_.xuf</v>
      </c>
    </row>
    <row r="1002" spans="80:82" x14ac:dyDescent="0.2">
      <c r="CB1002" s="31" t="str">
        <f t="shared" si="38"/>
        <v xml:space="preserve">  </v>
      </c>
      <c r="CC1002" s="25" t="str">
        <f t="shared" si="39"/>
        <v/>
      </c>
      <c r="CD1002" s="25" t="str">
        <f>BasicInput!$D$13&amp;$CD$2&amp;B1002&amp;"_"&amp;C1002&amp;D1002&amp;"_"&amp;BasicInput!$D$7&amp;BasicInput!$D$8&amp;"_"&amp;CC1002&amp;".xuf"</f>
        <v>C:\PWWORKING\east01\d2591108\Basic\__2019EX_PM_.xuf</v>
      </c>
    </row>
    <row r="1003" spans="80:82" x14ac:dyDescent="0.2">
      <c r="CB1003" s="31" t="str">
        <f t="shared" si="38"/>
        <v xml:space="preserve">  </v>
      </c>
      <c r="CC1003" s="25" t="str">
        <f t="shared" si="39"/>
        <v/>
      </c>
      <c r="CD1003" s="25" t="str">
        <f>BasicInput!$D$13&amp;$CD$2&amp;B1003&amp;"_"&amp;C1003&amp;D1003&amp;"_"&amp;BasicInput!$D$7&amp;BasicInput!$D$8&amp;"_"&amp;CC1003&amp;".xuf"</f>
        <v>C:\PWWORKING\east01\d2591108\Basic\__2019EX_PM_.xuf</v>
      </c>
    </row>
    <row r="1004" spans="80:82" x14ac:dyDescent="0.2">
      <c r="CB1004" s="31" t="str">
        <f t="shared" si="38"/>
        <v xml:space="preserve">  </v>
      </c>
      <c r="CC1004" s="25" t="str">
        <f t="shared" si="39"/>
        <v/>
      </c>
      <c r="CD1004" s="25" t="str">
        <f>BasicInput!$D$13&amp;$CD$2&amp;B1004&amp;"_"&amp;C1004&amp;D1004&amp;"_"&amp;BasicInput!$D$7&amp;BasicInput!$D$8&amp;"_"&amp;CC1004&amp;".xuf"</f>
        <v>C:\PWWORKING\east01\d2591108\Basic\__2019EX_PM_.xuf</v>
      </c>
    </row>
    <row r="1005" spans="80:82" x14ac:dyDescent="0.2">
      <c r="CB1005" s="31" t="str">
        <f t="shared" si="38"/>
        <v xml:space="preserve">  </v>
      </c>
      <c r="CC1005" s="25" t="str">
        <f t="shared" si="39"/>
        <v/>
      </c>
      <c r="CD1005" s="25" t="str">
        <f>BasicInput!$D$13&amp;$CD$2&amp;B1005&amp;"_"&amp;C1005&amp;D1005&amp;"_"&amp;BasicInput!$D$7&amp;BasicInput!$D$8&amp;"_"&amp;CC1005&amp;".xuf"</f>
        <v>C:\PWWORKING\east01\d2591108\Basic\__2019EX_PM_.xuf</v>
      </c>
    </row>
    <row r="1006" spans="80:82" x14ac:dyDescent="0.2">
      <c r="CB1006" s="31" t="str">
        <f t="shared" si="38"/>
        <v xml:space="preserve">  </v>
      </c>
      <c r="CC1006" s="25" t="str">
        <f t="shared" si="39"/>
        <v/>
      </c>
      <c r="CD1006" s="25" t="str">
        <f>BasicInput!$D$13&amp;$CD$2&amp;B1006&amp;"_"&amp;C1006&amp;D1006&amp;"_"&amp;BasicInput!$D$7&amp;BasicInput!$D$8&amp;"_"&amp;CC1006&amp;".xuf"</f>
        <v>C:\PWWORKING\east01\d2591108\Basic\__2019EX_PM_.xuf</v>
      </c>
    </row>
    <row r="1007" spans="80:82" x14ac:dyDescent="0.2">
      <c r="CB1007" s="31" t="str">
        <f t="shared" si="38"/>
        <v xml:space="preserve">  </v>
      </c>
      <c r="CC1007" s="25" t="str">
        <f t="shared" si="39"/>
        <v/>
      </c>
      <c r="CD1007" s="25" t="str">
        <f>BasicInput!$D$13&amp;$CD$2&amp;B1007&amp;"_"&amp;C1007&amp;D1007&amp;"_"&amp;BasicInput!$D$7&amp;BasicInput!$D$8&amp;"_"&amp;CC1007&amp;".xuf"</f>
        <v>C:\PWWORKING\east01\d2591108\Basic\__2019EX_PM_.xuf</v>
      </c>
    </row>
    <row r="1008" spans="80:82" x14ac:dyDescent="0.2">
      <c r="CB1008" s="31" t="str">
        <f t="shared" si="38"/>
        <v xml:space="preserve">  </v>
      </c>
      <c r="CC1008" s="25" t="str">
        <f t="shared" si="39"/>
        <v/>
      </c>
      <c r="CD1008" s="25" t="str">
        <f>BasicInput!$D$13&amp;$CD$2&amp;B1008&amp;"_"&amp;C1008&amp;D1008&amp;"_"&amp;BasicInput!$D$7&amp;BasicInput!$D$8&amp;"_"&amp;CC1008&amp;".xuf"</f>
        <v>C:\PWWORKING\east01\d2591108\Basic\__2019EX_PM_.xuf</v>
      </c>
    </row>
    <row r="1009" spans="80:82" x14ac:dyDescent="0.2">
      <c r="CB1009" s="31" t="str">
        <f t="shared" si="38"/>
        <v xml:space="preserve">  </v>
      </c>
      <c r="CC1009" s="25" t="str">
        <f t="shared" si="39"/>
        <v/>
      </c>
      <c r="CD1009" s="25" t="str">
        <f>BasicInput!$D$13&amp;$CD$2&amp;B1009&amp;"_"&amp;C1009&amp;D1009&amp;"_"&amp;BasicInput!$D$7&amp;BasicInput!$D$8&amp;"_"&amp;CC1009&amp;".xuf"</f>
        <v>C:\PWWORKING\east01\d2591108\Basic\__2019EX_PM_.xuf</v>
      </c>
    </row>
    <row r="1010" spans="80:82" x14ac:dyDescent="0.2">
      <c r="CB1010" s="31" t="str">
        <f t="shared" si="38"/>
        <v xml:space="preserve">  </v>
      </c>
      <c r="CC1010" s="25" t="str">
        <f t="shared" si="39"/>
        <v/>
      </c>
      <c r="CD1010" s="25" t="str">
        <f>BasicInput!$D$13&amp;$CD$2&amp;B1010&amp;"_"&amp;C1010&amp;D1010&amp;"_"&amp;BasicInput!$D$7&amp;BasicInput!$D$8&amp;"_"&amp;CC1010&amp;".xuf"</f>
        <v>C:\PWWORKING\east01\d2591108\Basic\__2019EX_PM_.xuf</v>
      </c>
    </row>
    <row r="1011" spans="80:82" x14ac:dyDescent="0.2">
      <c r="CB1011" s="31" t="str">
        <f t="shared" si="38"/>
        <v xml:space="preserve">  </v>
      </c>
      <c r="CC1011" s="25" t="str">
        <f t="shared" si="39"/>
        <v/>
      </c>
      <c r="CD1011" s="25" t="str">
        <f>BasicInput!$D$13&amp;$CD$2&amp;B1011&amp;"_"&amp;C1011&amp;D1011&amp;"_"&amp;BasicInput!$D$7&amp;BasicInput!$D$8&amp;"_"&amp;CC1011&amp;".xuf"</f>
        <v>C:\PWWORKING\east01\d2591108\Basic\__2019EX_PM_.xuf</v>
      </c>
    </row>
    <row r="1012" spans="80:82" x14ac:dyDescent="0.2">
      <c r="CB1012" s="31" t="str">
        <f t="shared" si="38"/>
        <v xml:space="preserve">  </v>
      </c>
      <c r="CC1012" s="25" t="str">
        <f t="shared" si="39"/>
        <v/>
      </c>
      <c r="CD1012" s="25" t="str">
        <f>BasicInput!$D$13&amp;$CD$2&amp;B1012&amp;"_"&amp;C1012&amp;D1012&amp;"_"&amp;BasicInput!$D$7&amp;BasicInput!$D$8&amp;"_"&amp;CC1012&amp;".xuf"</f>
        <v>C:\PWWORKING\east01\d2591108\Basic\__2019EX_PM_.xuf</v>
      </c>
    </row>
    <row r="1013" spans="80:82" x14ac:dyDescent="0.2">
      <c r="CB1013" s="31" t="str">
        <f t="shared" si="38"/>
        <v xml:space="preserve">  </v>
      </c>
      <c r="CC1013" s="25" t="str">
        <f t="shared" si="39"/>
        <v/>
      </c>
      <c r="CD1013" s="25" t="str">
        <f>BasicInput!$D$13&amp;$CD$2&amp;B1013&amp;"_"&amp;C1013&amp;D1013&amp;"_"&amp;BasicInput!$D$7&amp;BasicInput!$D$8&amp;"_"&amp;CC1013&amp;".xuf"</f>
        <v>C:\PWWORKING\east01\d2591108\Basic\__2019EX_PM_.xuf</v>
      </c>
    </row>
    <row r="1014" spans="80:82" x14ac:dyDescent="0.2">
      <c r="CB1014" s="31" t="str">
        <f t="shared" si="38"/>
        <v xml:space="preserve">  </v>
      </c>
      <c r="CC1014" s="25" t="str">
        <f t="shared" si="39"/>
        <v/>
      </c>
      <c r="CD1014" s="25" t="str">
        <f>BasicInput!$D$13&amp;$CD$2&amp;B1014&amp;"_"&amp;C1014&amp;D1014&amp;"_"&amp;BasicInput!$D$7&amp;BasicInput!$D$8&amp;"_"&amp;CC1014&amp;".xuf"</f>
        <v>C:\PWWORKING\east01\d2591108\Basic\__2019EX_PM_.xuf</v>
      </c>
    </row>
    <row r="1015" spans="80:82" x14ac:dyDescent="0.2">
      <c r="CB1015" s="31" t="str">
        <f t="shared" si="38"/>
        <v xml:space="preserve">  </v>
      </c>
      <c r="CC1015" s="25" t="str">
        <f t="shared" si="39"/>
        <v/>
      </c>
      <c r="CD1015" s="25" t="str">
        <f>BasicInput!$D$13&amp;$CD$2&amp;B1015&amp;"_"&amp;C1015&amp;D1015&amp;"_"&amp;BasicInput!$D$7&amp;BasicInput!$D$8&amp;"_"&amp;CC1015&amp;".xuf"</f>
        <v>C:\PWWORKING\east01\d2591108\Basic\__2019EX_PM_.xuf</v>
      </c>
    </row>
    <row r="1016" spans="80:82" x14ac:dyDescent="0.2">
      <c r="CB1016" s="31" t="str">
        <f t="shared" si="38"/>
        <v xml:space="preserve">  </v>
      </c>
      <c r="CC1016" s="25" t="str">
        <f t="shared" si="39"/>
        <v/>
      </c>
      <c r="CD1016" s="25" t="str">
        <f>BasicInput!$D$13&amp;$CD$2&amp;B1016&amp;"_"&amp;C1016&amp;D1016&amp;"_"&amp;BasicInput!$D$7&amp;BasicInput!$D$8&amp;"_"&amp;CC1016&amp;".xuf"</f>
        <v>C:\PWWORKING\east01\d2591108\Basic\__2019EX_PM_.xuf</v>
      </c>
    </row>
    <row r="1017" spans="80:82" x14ac:dyDescent="0.2">
      <c r="CB1017" s="31" t="str">
        <f t="shared" si="38"/>
        <v xml:space="preserve">  </v>
      </c>
      <c r="CC1017" s="25" t="str">
        <f t="shared" si="39"/>
        <v/>
      </c>
      <c r="CD1017" s="25" t="str">
        <f>BasicInput!$D$13&amp;$CD$2&amp;B1017&amp;"_"&amp;C1017&amp;D1017&amp;"_"&amp;BasicInput!$D$7&amp;BasicInput!$D$8&amp;"_"&amp;CC1017&amp;".xuf"</f>
        <v>C:\PWWORKING\east01\d2591108\Basic\__2019EX_PM_.xuf</v>
      </c>
    </row>
    <row r="1018" spans="80:82" x14ac:dyDescent="0.2">
      <c r="CB1018" s="31" t="str">
        <f t="shared" si="38"/>
        <v xml:space="preserve">  </v>
      </c>
      <c r="CC1018" s="25" t="str">
        <f t="shared" si="39"/>
        <v/>
      </c>
      <c r="CD1018" s="25" t="str">
        <f>BasicInput!$D$13&amp;$CD$2&amp;B1018&amp;"_"&amp;C1018&amp;D1018&amp;"_"&amp;BasicInput!$D$7&amp;BasicInput!$D$8&amp;"_"&amp;CC1018&amp;".xuf"</f>
        <v>C:\PWWORKING\east01\d2591108\Basic\__2019EX_PM_.xuf</v>
      </c>
    </row>
    <row r="1019" spans="80:82" x14ac:dyDescent="0.2">
      <c r="CB1019" s="31" t="str">
        <f t="shared" si="38"/>
        <v xml:space="preserve">  </v>
      </c>
      <c r="CC1019" s="25" t="str">
        <f t="shared" si="39"/>
        <v/>
      </c>
      <c r="CD1019" s="25" t="str">
        <f>BasicInput!$D$13&amp;$CD$2&amp;B1019&amp;"_"&amp;C1019&amp;D1019&amp;"_"&amp;BasicInput!$D$7&amp;BasicInput!$D$8&amp;"_"&amp;CC1019&amp;".xuf"</f>
        <v>C:\PWWORKING\east01\d2591108\Basic\__2019EX_PM_.xuf</v>
      </c>
    </row>
    <row r="1020" spans="80:82" x14ac:dyDescent="0.2">
      <c r="CB1020" s="31" t="str">
        <f t="shared" si="38"/>
        <v xml:space="preserve">  </v>
      </c>
      <c r="CC1020" s="25" t="str">
        <f t="shared" si="39"/>
        <v/>
      </c>
      <c r="CD1020" s="25" t="str">
        <f>BasicInput!$D$13&amp;$CD$2&amp;B1020&amp;"_"&amp;C1020&amp;D1020&amp;"_"&amp;BasicInput!$D$7&amp;BasicInput!$D$8&amp;"_"&amp;CC1020&amp;".xuf"</f>
        <v>C:\PWWORKING\east01\d2591108\Basic\__2019EX_PM_.xuf</v>
      </c>
    </row>
    <row r="1021" spans="80:82" x14ac:dyDescent="0.2">
      <c r="CB1021" s="31" t="str">
        <f t="shared" si="38"/>
        <v xml:space="preserve">  </v>
      </c>
      <c r="CC1021" s="25" t="str">
        <f t="shared" si="39"/>
        <v/>
      </c>
      <c r="CD1021" s="25" t="str">
        <f>BasicInput!$D$13&amp;$CD$2&amp;B1021&amp;"_"&amp;C1021&amp;D1021&amp;"_"&amp;BasicInput!$D$7&amp;BasicInput!$D$8&amp;"_"&amp;CC1021&amp;".xuf"</f>
        <v>C:\PWWORKING\east01\d2591108\Basic\__2019EX_PM_.xuf</v>
      </c>
    </row>
    <row r="1022" spans="80:82" x14ac:dyDescent="0.2">
      <c r="CB1022" s="31" t="str">
        <f t="shared" si="38"/>
        <v xml:space="preserve">  </v>
      </c>
      <c r="CC1022" s="25" t="str">
        <f t="shared" si="39"/>
        <v/>
      </c>
      <c r="CD1022" s="25" t="str">
        <f>BasicInput!$D$13&amp;$CD$2&amp;B1022&amp;"_"&amp;C1022&amp;D1022&amp;"_"&amp;BasicInput!$D$7&amp;BasicInput!$D$8&amp;"_"&amp;CC1022&amp;".xuf"</f>
        <v>C:\PWWORKING\east01\d2591108\Basic\__2019EX_PM_.xuf</v>
      </c>
    </row>
    <row r="1023" spans="80:82" x14ac:dyDescent="0.2">
      <c r="CB1023" s="31" t="str">
        <f t="shared" si="38"/>
        <v xml:space="preserve">  </v>
      </c>
      <c r="CC1023" s="25" t="str">
        <f t="shared" si="39"/>
        <v/>
      </c>
      <c r="CD1023" s="25" t="str">
        <f>BasicInput!$D$13&amp;$CD$2&amp;B1023&amp;"_"&amp;C1023&amp;D1023&amp;"_"&amp;BasicInput!$D$7&amp;BasicInput!$D$8&amp;"_"&amp;CC1023&amp;".xuf"</f>
        <v>C:\PWWORKING\east01\d2591108\Basic\__2019EX_PM_.xuf</v>
      </c>
    </row>
    <row r="1024" spans="80:82" x14ac:dyDescent="0.2">
      <c r="CB1024" s="31" t="str">
        <f t="shared" si="38"/>
        <v xml:space="preserve">  </v>
      </c>
      <c r="CC1024" s="25" t="str">
        <f t="shared" si="39"/>
        <v/>
      </c>
      <c r="CD1024" s="25" t="str">
        <f>BasicInput!$D$13&amp;$CD$2&amp;B1024&amp;"_"&amp;C1024&amp;D1024&amp;"_"&amp;BasicInput!$D$7&amp;BasicInput!$D$8&amp;"_"&amp;CC1024&amp;".xuf"</f>
        <v>C:\PWWORKING\east01\d2591108\Basic\__2019EX_PM_.xuf</v>
      </c>
    </row>
    <row r="1025" spans="80:82" x14ac:dyDescent="0.2">
      <c r="CB1025" s="31" t="str">
        <f t="shared" si="38"/>
        <v xml:space="preserve">  </v>
      </c>
      <c r="CC1025" s="25" t="str">
        <f t="shared" si="39"/>
        <v/>
      </c>
      <c r="CD1025" s="25" t="str">
        <f>BasicInput!$D$13&amp;$CD$2&amp;B1025&amp;"_"&amp;C1025&amp;D1025&amp;"_"&amp;BasicInput!$D$7&amp;BasicInput!$D$8&amp;"_"&amp;CC1025&amp;".xuf"</f>
        <v>C:\PWWORKING\east01\d2591108\Basic\__2019EX_PM_.xuf</v>
      </c>
    </row>
    <row r="1026" spans="80:82" x14ac:dyDescent="0.2">
      <c r="CB1026" s="31" t="str">
        <f t="shared" si="38"/>
        <v xml:space="preserve">  </v>
      </c>
      <c r="CC1026" s="25" t="str">
        <f t="shared" si="39"/>
        <v/>
      </c>
      <c r="CD1026" s="25" t="str">
        <f>BasicInput!$D$13&amp;$CD$2&amp;B1026&amp;"_"&amp;C1026&amp;D1026&amp;"_"&amp;BasicInput!$D$7&amp;BasicInput!$D$8&amp;"_"&amp;CC1026&amp;".xuf"</f>
        <v>C:\PWWORKING\east01\d2591108\Basic\__2019EX_PM_.xuf</v>
      </c>
    </row>
    <row r="1027" spans="80:82" x14ac:dyDescent="0.2">
      <c r="CB1027" s="31" t="str">
        <f t="shared" si="38"/>
        <v xml:space="preserve">  </v>
      </c>
      <c r="CC1027" s="25" t="str">
        <f t="shared" si="39"/>
        <v/>
      </c>
      <c r="CD1027" s="25" t="str">
        <f>BasicInput!$D$13&amp;$CD$2&amp;B1027&amp;"_"&amp;C1027&amp;D1027&amp;"_"&amp;BasicInput!$D$7&amp;BasicInput!$D$8&amp;"_"&amp;CC1027&amp;".xuf"</f>
        <v>C:\PWWORKING\east01\d2591108\Basic\__2019EX_PM_.xuf</v>
      </c>
    </row>
    <row r="1028" spans="80:82" x14ac:dyDescent="0.2">
      <c r="CB1028" s="31" t="str">
        <f t="shared" si="38"/>
        <v xml:space="preserve">  </v>
      </c>
      <c r="CC1028" s="25" t="str">
        <f t="shared" si="39"/>
        <v/>
      </c>
      <c r="CD1028" s="25" t="str">
        <f>BasicInput!$D$13&amp;$CD$2&amp;B1028&amp;"_"&amp;C1028&amp;D1028&amp;"_"&amp;BasicInput!$D$7&amp;BasicInput!$D$8&amp;"_"&amp;CC1028&amp;".xuf"</f>
        <v>C:\PWWORKING\east01\d2591108\Basic\__2019EX_PM_.xuf</v>
      </c>
    </row>
    <row r="1029" spans="80:82" x14ac:dyDescent="0.2">
      <c r="CB1029" s="31" t="str">
        <f t="shared" si="38"/>
        <v xml:space="preserve">  </v>
      </c>
      <c r="CC1029" s="25" t="str">
        <f t="shared" si="39"/>
        <v/>
      </c>
      <c r="CD1029" s="25" t="str">
        <f>BasicInput!$D$13&amp;$CD$2&amp;B1029&amp;"_"&amp;C1029&amp;D1029&amp;"_"&amp;BasicInput!$D$7&amp;BasicInput!$D$8&amp;"_"&amp;CC1029&amp;".xuf"</f>
        <v>C:\PWWORKING\east01\d2591108\Basic\__2019EX_PM_.xuf</v>
      </c>
    </row>
    <row r="1030" spans="80:82" x14ac:dyDescent="0.2">
      <c r="CB1030" s="31" t="str">
        <f t="shared" si="38"/>
        <v xml:space="preserve">  </v>
      </c>
      <c r="CC1030" s="25" t="str">
        <f t="shared" si="39"/>
        <v/>
      </c>
      <c r="CD1030" s="25" t="str">
        <f>BasicInput!$D$13&amp;$CD$2&amp;B1030&amp;"_"&amp;C1030&amp;D1030&amp;"_"&amp;BasicInput!$D$7&amp;BasicInput!$D$8&amp;"_"&amp;CC1030&amp;".xuf"</f>
        <v>C:\PWWORKING\east01\d2591108\Basic\__2019EX_PM_.xuf</v>
      </c>
    </row>
    <row r="1031" spans="80:82" x14ac:dyDescent="0.2">
      <c r="CB1031" s="31" t="str">
        <f t="shared" si="38"/>
        <v xml:space="preserve">  </v>
      </c>
      <c r="CC1031" s="25" t="str">
        <f t="shared" si="39"/>
        <v/>
      </c>
      <c r="CD1031" s="25" t="str">
        <f>BasicInput!$D$13&amp;$CD$2&amp;B1031&amp;"_"&amp;C1031&amp;D1031&amp;"_"&amp;BasicInput!$D$7&amp;BasicInput!$D$8&amp;"_"&amp;CC1031&amp;".xuf"</f>
        <v>C:\PWWORKING\east01\d2591108\Basic\__2019EX_PM_.xuf</v>
      </c>
    </row>
    <row r="1032" spans="80:82" x14ac:dyDescent="0.2">
      <c r="CB1032" s="31" t="str">
        <f t="shared" si="38"/>
        <v xml:space="preserve">  </v>
      </c>
      <c r="CC1032" s="25" t="str">
        <f t="shared" si="39"/>
        <v/>
      </c>
      <c r="CD1032" s="25" t="str">
        <f>BasicInput!$D$13&amp;$CD$2&amp;B1032&amp;"_"&amp;C1032&amp;D1032&amp;"_"&amp;BasicInput!$D$7&amp;BasicInput!$D$8&amp;"_"&amp;CC1032&amp;".xuf"</f>
        <v>C:\PWWORKING\east01\d2591108\Basic\__2019EX_PM_.xuf</v>
      </c>
    </row>
    <row r="1033" spans="80:82" x14ac:dyDescent="0.2">
      <c r="CB1033" s="31" t="str">
        <f t="shared" si="38"/>
        <v xml:space="preserve">  </v>
      </c>
      <c r="CC1033" s="25" t="str">
        <f t="shared" si="39"/>
        <v/>
      </c>
      <c r="CD1033" s="25" t="str">
        <f>BasicInput!$D$13&amp;$CD$2&amp;B1033&amp;"_"&amp;C1033&amp;D1033&amp;"_"&amp;BasicInput!$D$7&amp;BasicInput!$D$8&amp;"_"&amp;CC1033&amp;".xuf"</f>
        <v>C:\PWWORKING\east01\d2591108\Basic\__2019EX_PM_.xuf</v>
      </c>
    </row>
    <row r="1034" spans="80:82" x14ac:dyDescent="0.2">
      <c r="CB1034" s="31" t="str">
        <f t="shared" si="38"/>
        <v xml:space="preserve">  </v>
      </c>
      <c r="CC1034" s="25" t="str">
        <f t="shared" si="39"/>
        <v/>
      </c>
      <c r="CD1034" s="25" t="str">
        <f>BasicInput!$D$13&amp;$CD$2&amp;B1034&amp;"_"&amp;C1034&amp;D1034&amp;"_"&amp;BasicInput!$D$7&amp;BasicInput!$D$8&amp;"_"&amp;CC1034&amp;".xuf"</f>
        <v>C:\PWWORKING\east01\d2591108\Basic\__2019EX_PM_.xuf</v>
      </c>
    </row>
    <row r="1035" spans="80:82" x14ac:dyDescent="0.2">
      <c r="CB1035" s="31" t="str">
        <f t="shared" si="38"/>
        <v xml:space="preserve">  </v>
      </c>
      <c r="CC1035" s="25" t="str">
        <f t="shared" si="39"/>
        <v/>
      </c>
      <c r="CD1035" s="25" t="str">
        <f>BasicInput!$D$13&amp;$CD$2&amp;B1035&amp;"_"&amp;C1035&amp;D1035&amp;"_"&amp;BasicInput!$D$7&amp;BasicInput!$D$8&amp;"_"&amp;CC1035&amp;".xuf"</f>
        <v>C:\PWWORKING\east01\d2591108\Basic\__2019EX_PM_.xuf</v>
      </c>
    </row>
    <row r="1036" spans="80:82" x14ac:dyDescent="0.2">
      <c r="CB1036" s="31" t="str">
        <f t="shared" si="38"/>
        <v xml:space="preserve">  </v>
      </c>
      <c r="CC1036" s="25" t="str">
        <f t="shared" si="39"/>
        <v/>
      </c>
      <c r="CD1036" s="25" t="str">
        <f>BasicInput!$D$13&amp;$CD$2&amp;B1036&amp;"_"&amp;C1036&amp;D1036&amp;"_"&amp;BasicInput!$D$7&amp;BasicInput!$D$8&amp;"_"&amp;CC1036&amp;".xuf"</f>
        <v>C:\PWWORKING\east01\d2591108\Basic\__2019EX_PM_.xuf</v>
      </c>
    </row>
    <row r="1037" spans="80:82" x14ac:dyDescent="0.2">
      <c r="CB1037" s="31" t="str">
        <f t="shared" si="38"/>
        <v xml:space="preserve">  </v>
      </c>
      <c r="CC1037" s="25" t="str">
        <f t="shared" si="39"/>
        <v/>
      </c>
      <c r="CD1037" s="25" t="str">
        <f>BasicInput!$D$13&amp;$CD$2&amp;B1037&amp;"_"&amp;C1037&amp;D1037&amp;"_"&amp;BasicInput!$D$7&amp;BasicInput!$D$8&amp;"_"&amp;CC1037&amp;".xuf"</f>
        <v>C:\PWWORKING\east01\d2591108\Basic\__2019EX_PM_.xuf</v>
      </c>
    </row>
    <row r="1038" spans="80:82" x14ac:dyDescent="0.2">
      <c r="CB1038" s="31" t="str">
        <f t="shared" si="38"/>
        <v xml:space="preserve">  </v>
      </c>
      <c r="CC1038" s="25" t="str">
        <f t="shared" si="39"/>
        <v/>
      </c>
      <c r="CD1038" s="25" t="str">
        <f>BasicInput!$D$13&amp;$CD$2&amp;B1038&amp;"_"&amp;C1038&amp;D1038&amp;"_"&amp;BasicInput!$D$7&amp;BasicInput!$D$8&amp;"_"&amp;CC1038&amp;".xuf"</f>
        <v>C:\PWWORKING\east01\d2591108\Basic\__2019EX_PM_.xuf</v>
      </c>
    </row>
    <row r="1039" spans="80:82" x14ac:dyDescent="0.2">
      <c r="CB1039" s="31" t="str">
        <f t="shared" si="38"/>
        <v xml:space="preserve">  </v>
      </c>
      <c r="CC1039" s="25" t="str">
        <f t="shared" si="39"/>
        <v/>
      </c>
      <c r="CD1039" s="25" t="str">
        <f>BasicInput!$D$13&amp;$CD$2&amp;B1039&amp;"_"&amp;C1039&amp;D1039&amp;"_"&amp;BasicInput!$D$7&amp;BasicInput!$D$8&amp;"_"&amp;CC1039&amp;".xuf"</f>
        <v>C:\PWWORKING\east01\d2591108\Basic\__2019EX_PM_.xuf</v>
      </c>
    </row>
    <row r="1040" spans="80:82" x14ac:dyDescent="0.2">
      <c r="CB1040" s="31" t="str">
        <f t="shared" si="38"/>
        <v xml:space="preserve">  </v>
      </c>
      <c r="CC1040" s="25" t="str">
        <f t="shared" si="39"/>
        <v/>
      </c>
      <c r="CD1040" s="25" t="str">
        <f>BasicInput!$D$13&amp;$CD$2&amp;B1040&amp;"_"&amp;C1040&amp;D1040&amp;"_"&amp;BasicInput!$D$7&amp;BasicInput!$D$8&amp;"_"&amp;CC1040&amp;".xuf"</f>
        <v>C:\PWWORKING\east01\d2591108\Basic\__2019EX_PM_.xuf</v>
      </c>
    </row>
    <row r="1041" spans="80:82" x14ac:dyDescent="0.2">
      <c r="CB1041" s="31" t="str">
        <f t="shared" ref="CB1041:CB1104" si="40">C1041&amp; " "&amp;D1041&amp;" " &amp;E1041</f>
        <v xml:space="preserve">  </v>
      </c>
      <c r="CC1041" s="25" t="str">
        <f t="shared" ref="CC1041:CC1104" si="41">SUBSTITUTE(E1041, "/", "_")</f>
        <v/>
      </c>
      <c r="CD1041" s="25" t="str">
        <f>BasicInput!$D$13&amp;$CD$2&amp;B1041&amp;"_"&amp;C1041&amp;D1041&amp;"_"&amp;BasicInput!$D$7&amp;BasicInput!$D$8&amp;"_"&amp;CC1041&amp;".xuf"</f>
        <v>C:\PWWORKING\east01\d2591108\Basic\__2019EX_PM_.xuf</v>
      </c>
    </row>
    <row r="1042" spans="80:82" x14ac:dyDescent="0.2">
      <c r="CB1042" s="31" t="str">
        <f t="shared" si="40"/>
        <v xml:space="preserve">  </v>
      </c>
      <c r="CC1042" s="25" t="str">
        <f t="shared" si="41"/>
        <v/>
      </c>
      <c r="CD1042" s="25" t="str">
        <f>BasicInput!$D$13&amp;$CD$2&amp;B1042&amp;"_"&amp;C1042&amp;D1042&amp;"_"&amp;BasicInput!$D$7&amp;BasicInput!$D$8&amp;"_"&amp;CC1042&amp;".xuf"</f>
        <v>C:\PWWORKING\east01\d2591108\Basic\__2019EX_PM_.xuf</v>
      </c>
    </row>
    <row r="1043" spans="80:82" x14ac:dyDescent="0.2">
      <c r="CB1043" s="31" t="str">
        <f t="shared" si="40"/>
        <v xml:space="preserve">  </v>
      </c>
      <c r="CC1043" s="25" t="str">
        <f t="shared" si="41"/>
        <v/>
      </c>
      <c r="CD1043" s="25" t="str">
        <f>BasicInput!$D$13&amp;$CD$2&amp;B1043&amp;"_"&amp;C1043&amp;D1043&amp;"_"&amp;BasicInput!$D$7&amp;BasicInput!$D$8&amp;"_"&amp;CC1043&amp;".xuf"</f>
        <v>C:\PWWORKING\east01\d2591108\Basic\__2019EX_PM_.xuf</v>
      </c>
    </row>
    <row r="1044" spans="80:82" x14ac:dyDescent="0.2">
      <c r="CB1044" s="31" t="str">
        <f t="shared" si="40"/>
        <v xml:space="preserve">  </v>
      </c>
      <c r="CC1044" s="25" t="str">
        <f t="shared" si="41"/>
        <v/>
      </c>
      <c r="CD1044" s="25" t="str">
        <f>BasicInput!$D$13&amp;$CD$2&amp;B1044&amp;"_"&amp;C1044&amp;D1044&amp;"_"&amp;BasicInput!$D$7&amp;BasicInput!$D$8&amp;"_"&amp;CC1044&amp;".xuf"</f>
        <v>C:\PWWORKING\east01\d2591108\Basic\__2019EX_PM_.xuf</v>
      </c>
    </row>
    <row r="1045" spans="80:82" x14ac:dyDescent="0.2">
      <c r="CB1045" s="31" t="str">
        <f t="shared" si="40"/>
        <v xml:space="preserve">  </v>
      </c>
      <c r="CC1045" s="25" t="str">
        <f t="shared" si="41"/>
        <v/>
      </c>
      <c r="CD1045" s="25" t="str">
        <f>BasicInput!$D$13&amp;$CD$2&amp;B1045&amp;"_"&amp;C1045&amp;D1045&amp;"_"&amp;BasicInput!$D$7&amp;BasicInput!$D$8&amp;"_"&amp;CC1045&amp;".xuf"</f>
        <v>C:\PWWORKING\east01\d2591108\Basic\__2019EX_PM_.xuf</v>
      </c>
    </row>
    <row r="1046" spans="80:82" x14ac:dyDescent="0.2">
      <c r="CB1046" s="31" t="str">
        <f t="shared" si="40"/>
        <v xml:space="preserve">  </v>
      </c>
      <c r="CC1046" s="25" t="str">
        <f t="shared" si="41"/>
        <v/>
      </c>
      <c r="CD1046" s="25" t="str">
        <f>BasicInput!$D$13&amp;$CD$2&amp;B1046&amp;"_"&amp;C1046&amp;D1046&amp;"_"&amp;BasicInput!$D$7&amp;BasicInput!$D$8&amp;"_"&amp;CC1046&amp;".xuf"</f>
        <v>C:\PWWORKING\east01\d2591108\Basic\__2019EX_PM_.xuf</v>
      </c>
    </row>
    <row r="1047" spans="80:82" x14ac:dyDescent="0.2">
      <c r="CB1047" s="31" t="str">
        <f t="shared" si="40"/>
        <v xml:space="preserve">  </v>
      </c>
      <c r="CC1047" s="25" t="str">
        <f t="shared" si="41"/>
        <v/>
      </c>
      <c r="CD1047" s="25" t="str">
        <f>BasicInput!$D$13&amp;$CD$2&amp;B1047&amp;"_"&amp;C1047&amp;D1047&amp;"_"&amp;BasicInput!$D$7&amp;BasicInput!$D$8&amp;"_"&amp;CC1047&amp;".xuf"</f>
        <v>C:\PWWORKING\east01\d2591108\Basic\__2019EX_PM_.xuf</v>
      </c>
    </row>
    <row r="1048" spans="80:82" x14ac:dyDescent="0.2">
      <c r="CB1048" s="31" t="str">
        <f t="shared" si="40"/>
        <v xml:space="preserve">  </v>
      </c>
      <c r="CC1048" s="25" t="str">
        <f t="shared" si="41"/>
        <v/>
      </c>
      <c r="CD1048" s="25" t="str">
        <f>BasicInput!$D$13&amp;$CD$2&amp;B1048&amp;"_"&amp;C1048&amp;D1048&amp;"_"&amp;BasicInput!$D$7&amp;BasicInput!$D$8&amp;"_"&amp;CC1048&amp;".xuf"</f>
        <v>C:\PWWORKING\east01\d2591108\Basic\__2019EX_PM_.xuf</v>
      </c>
    </row>
    <row r="1049" spans="80:82" x14ac:dyDescent="0.2">
      <c r="CB1049" s="31" t="str">
        <f t="shared" si="40"/>
        <v xml:space="preserve">  </v>
      </c>
      <c r="CC1049" s="25" t="str">
        <f t="shared" si="41"/>
        <v/>
      </c>
      <c r="CD1049" s="25" t="str">
        <f>BasicInput!$D$13&amp;$CD$2&amp;B1049&amp;"_"&amp;C1049&amp;D1049&amp;"_"&amp;BasicInput!$D$7&amp;BasicInput!$D$8&amp;"_"&amp;CC1049&amp;".xuf"</f>
        <v>C:\PWWORKING\east01\d2591108\Basic\__2019EX_PM_.xuf</v>
      </c>
    </row>
    <row r="1050" spans="80:82" x14ac:dyDescent="0.2">
      <c r="CB1050" s="31" t="str">
        <f t="shared" si="40"/>
        <v xml:space="preserve">  </v>
      </c>
      <c r="CC1050" s="25" t="str">
        <f t="shared" si="41"/>
        <v/>
      </c>
      <c r="CD1050" s="25" t="str">
        <f>BasicInput!$D$13&amp;$CD$2&amp;B1050&amp;"_"&amp;C1050&amp;D1050&amp;"_"&amp;BasicInput!$D$7&amp;BasicInput!$D$8&amp;"_"&amp;CC1050&amp;".xuf"</f>
        <v>C:\PWWORKING\east01\d2591108\Basic\__2019EX_PM_.xuf</v>
      </c>
    </row>
    <row r="1051" spans="80:82" x14ac:dyDescent="0.2">
      <c r="CB1051" s="31" t="str">
        <f t="shared" si="40"/>
        <v xml:space="preserve">  </v>
      </c>
      <c r="CC1051" s="25" t="str">
        <f t="shared" si="41"/>
        <v/>
      </c>
      <c r="CD1051" s="25" t="str">
        <f>BasicInput!$D$13&amp;$CD$2&amp;B1051&amp;"_"&amp;C1051&amp;D1051&amp;"_"&amp;BasicInput!$D$7&amp;BasicInput!$D$8&amp;"_"&amp;CC1051&amp;".xuf"</f>
        <v>C:\PWWORKING\east01\d2591108\Basic\__2019EX_PM_.xuf</v>
      </c>
    </row>
    <row r="1052" spans="80:82" x14ac:dyDescent="0.2">
      <c r="CB1052" s="31" t="str">
        <f t="shared" si="40"/>
        <v xml:space="preserve">  </v>
      </c>
      <c r="CC1052" s="25" t="str">
        <f t="shared" si="41"/>
        <v/>
      </c>
      <c r="CD1052" s="25" t="str">
        <f>BasicInput!$D$13&amp;$CD$2&amp;B1052&amp;"_"&amp;C1052&amp;D1052&amp;"_"&amp;BasicInput!$D$7&amp;BasicInput!$D$8&amp;"_"&amp;CC1052&amp;".xuf"</f>
        <v>C:\PWWORKING\east01\d2591108\Basic\__2019EX_PM_.xuf</v>
      </c>
    </row>
    <row r="1053" spans="80:82" x14ac:dyDescent="0.2">
      <c r="CB1053" s="31" t="str">
        <f t="shared" si="40"/>
        <v xml:space="preserve">  </v>
      </c>
      <c r="CC1053" s="25" t="str">
        <f t="shared" si="41"/>
        <v/>
      </c>
      <c r="CD1053" s="25" t="str">
        <f>BasicInput!$D$13&amp;$CD$2&amp;B1053&amp;"_"&amp;C1053&amp;D1053&amp;"_"&amp;BasicInput!$D$7&amp;BasicInput!$D$8&amp;"_"&amp;CC1053&amp;".xuf"</f>
        <v>C:\PWWORKING\east01\d2591108\Basic\__2019EX_PM_.xuf</v>
      </c>
    </row>
    <row r="1054" spans="80:82" x14ac:dyDescent="0.2">
      <c r="CB1054" s="31" t="str">
        <f t="shared" si="40"/>
        <v xml:space="preserve">  </v>
      </c>
      <c r="CC1054" s="25" t="str">
        <f t="shared" si="41"/>
        <v/>
      </c>
      <c r="CD1054" s="25" t="str">
        <f>BasicInput!$D$13&amp;$CD$2&amp;B1054&amp;"_"&amp;C1054&amp;D1054&amp;"_"&amp;BasicInput!$D$7&amp;BasicInput!$D$8&amp;"_"&amp;CC1054&amp;".xuf"</f>
        <v>C:\PWWORKING\east01\d2591108\Basic\__2019EX_PM_.xuf</v>
      </c>
    </row>
    <row r="1055" spans="80:82" x14ac:dyDescent="0.2">
      <c r="CB1055" s="31" t="str">
        <f t="shared" si="40"/>
        <v xml:space="preserve">  </v>
      </c>
      <c r="CC1055" s="25" t="str">
        <f t="shared" si="41"/>
        <v/>
      </c>
      <c r="CD1055" s="25" t="str">
        <f>BasicInput!$D$13&amp;$CD$2&amp;B1055&amp;"_"&amp;C1055&amp;D1055&amp;"_"&amp;BasicInput!$D$7&amp;BasicInput!$D$8&amp;"_"&amp;CC1055&amp;".xuf"</f>
        <v>C:\PWWORKING\east01\d2591108\Basic\__2019EX_PM_.xuf</v>
      </c>
    </row>
    <row r="1056" spans="80:82" x14ac:dyDescent="0.2">
      <c r="CB1056" s="31" t="str">
        <f t="shared" si="40"/>
        <v xml:space="preserve">  </v>
      </c>
      <c r="CC1056" s="25" t="str">
        <f t="shared" si="41"/>
        <v/>
      </c>
      <c r="CD1056" s="25" t="str">
        <f>BasicInput!$D$13&amp;$CD$2&amp;B1056&amp;"_"&amp;C1056&amp;D1056&amp;"_"&amp;BasicInput!$D$7&amp;BasicInput!$D$8&amp;"_"&amp;CC1056&amp;".xuf"</f>
        <v>C:\PWWORKING\east01\d2591108\Basic\__2019EX_PM_.xuf</v>
      </c>
    </row>
    <row r="1057" spans="80:82" x14ac:dyDescent="0.2">
      <c r="CB1057" s="31" t="str">
        <f t="shared" si="40"/>
        <v xml:space="preserve">  </v>
      </c>
      <c r="CC1057" s="25" t="str">
        <f t="shared" si="41"/>
        <v/>
      </c>
      <c r="CD1057" s="25" t="str">
        <f>BasicInput!$D$13&amp;$CD$2&amp;B1057&amp;"_"&amp;C1057&amp;D1057&amp;"_"&amp;BasicInput!$D$7&amp;BasicInput!$D$8&amp;"_"&amp;CC1057&amp;".xuf"</f>
        <v>C:\PWWORKING\east01\d2591108\Basic\__2019EX_PM_.xuf</v>
      </c>
    </row>
    <row r="1058" spans="80:82" x14ac:dyDescent="0.2">
      <c r="CB1058" s="31" t="str">
        <f t="shared" si="40"/>
        <v xml:space="preserve">  </v>
      </c>
      <c r="CC1058" s="25" t="str">
        <f t="shared" si="41"/>
        <v/>
      </c>
      <c r="CD1058" s="25" t="str">
        <f>BasicInput!$D$13&amp;$CD$2&amp;B1058&amp;"_"&amp;C1058&amp;D1058&amp;"_"&amp;BasicInput!$D$7&amp;BasicInput!$D$8&amp;"_"&amp;CC1058&amp;".xuf"</f>
        <v>C:\PWWORKING\east01\d2591108\Basic\__2019EX_PM_.xuf</v>
      </c>
    </row>
    <row r="1059" spans="80:82" x14ac:dyDescent="0.2">
      <c r="CB1059" s="31" t="str">
        <f t="shared" si="40"/>
        <v xml:space="preserve">  </v>
      </c>
      <c r="CC1059" s="25" t="str">
        <f t="shared" si="41"/>
        <v/>
      </c>
      <c r="CD1059" s="25" t="str">
        <f>BasicInput!$D$13&amp;$CD$2&amp;B1059&amp;"_"&amp;C1059&amp;D1059&amp;"_"&amp;BasicInput!$D$7&amp;BasicInput!$D$8&amp;"_"&amp;CC1059&amp;".xuf"</f>
        <v>C:\PWWORKING\east01\d2591108\Basic\__2019EX_PM_.xuf</v>
      </c>
    </row>
    <row r="1060" spans="80:82" x14ac:dyDescent="0.2">
      <c r="CB1060" s="31" t="str">
        <f t="shared" si="40"/>
        <v xml:space="preserve">  </v>
      </c>
      <c r="CC1060" s="25" t="str">
        <f t="shared" si="41"/>
        <v/>
      </c>
      <c r="CD1060" s="25" t="str">
        <f>BasicInput!$D$13&amp;$CD$2&amp;B1060&amp;"_"&amp;C1060&amp;D1060&amp;"_"&amp;BasicInput!$D$7&amp;BasicInput!$D$8&amp;"_"&amp;CC1060&amp;".xuf"</f>
        <v>C:\PWWORKING\east01\d2591108\Basic\__2019EX_PM_.xuf</v>
      </c>
    </row>
    <row r="1061" spans="80:82" x14ac:dyDescent="0.2">
      <c r="CB1061" s="31" t="str">
        <f t="shared" si="40"/>
        <v xml:space="preserve">  </v>
      </c>
      <c r="CC1061" s="25" t="str">
        <f t="shared" si="41"/>
        <v/>
      </c>
      <c r="CD1061" s="25" t="str">
        <f>BasicInput!$D$13&amp;$CD$2&amp;B1061&amp;"_"&amp;C1061&amp;D1061&amp;"_"&amp;BasicInput!$D$7&amp;BasicInput!$D$8&amp;"_"&amp;CC1061&amp;".xuf"</f>
        <v>C:\PWWORKING\east01\d2591108\Basic\__2019EX_PM_.xuf</v>
      </c>
    </row>
    <row r="1062" spans="80:82" x14ac:dyDescent="0.2">
      <c r="CB1062" s="31" t="str">
        <f t="shared" si="40"/>
        <v xml:space="preserve">  </v>
      </c>
      <c r="CC1062" s="25" t="str">
        <f t="shared" si="41"/>
        <v/>
      </c>
      <c r="CD1062" s="25" t="str">
        <f>BasicInput!$D$13&amp;$CD$2&amp;B1062&amp;"_"&amp;C1062&amp;D1062&amp;"_"&amp;BasicInput!$D$7&amp;BasicInput!$D$8&amp;"_"&amp;CC1062&amp;".xuf"</f>
        <v>C:\PWWORKING\east01\d2591108\Basic\__2019EX_PM_.xuf</v>
      </c>
    </row>
    <row r="1063" spans="80:82" x14ac:dyDescent="0.2">
      <c r="CB1063" s="31" t="str">
        <f t="shared" si="40"/>
        <v xml:space="preserve">  </v>
      </c>
      <c r="CC1063" s="25" t="str">
        <f t="shared" si="41"/>
        <v/>
      </c>
      <c r="CD1063" s="25" t="str">
        <f>BasicInput!$D$13&amp;$CD$2&amp;B1063&amp;"_"&amp;C1063&amp;D1063&amp;"_"&amp;BasicInput!$D$7&amp;BasicInput!$D$8&amp;"_"&amp;CC1063&amp;".xuf"</f>
        <v>C:\PWWORKING\east01\d2591108\Basic\__2019EX_PM_.xuf</v>
      </c>
    </row>
    <row r="1064" spans="80:82" x14ac:dyDescent="0.2">
      <c r="CB1064" s="31" t="str">
        <f t="shared" si="40"/>
        <v xml:space="preserve">  </v>
      </c>
      <c r="CC1064" s="25" t="str">
        <f t="shared" si="41"/>
        <v/>
      </c>
      <c r="CD1064" s="25" t="str">
        <f>BasicInput!$D$13&amp;$CD$2&amp;B1064&amp;"_"&amp;C1064&amp;D1064&amp;"_"&amp;BasicInput!$D$7&amp;BasicInput!$D$8&amp;"_"&amp;CC1064&amp;".xuf"</f>
        <v>C:\PWWORKING\east01\d2591108\Basic\__2019EX_PM_.xuf</v>
      </c>
    </row>
    <row r="1065" spans="80:82" x14ac:dyDescent="0.2">
      <c r="CB1065" s="31" t="str">
        <f t="shared" si="40"/>
        <v xml:space="preserve">  </v>
      </c>
      <c r="CC1065" s="25" t="str">
        <f t="shared" si="41"/>
        <v/>
      </c>
      <c r="CD1065" s="25" t="str">
        <f>BasicInput!$D$13&amp;$CD$2&amp;B1065&amp;"_"&amp;C1065&amp;D1065&amp;"_"&amp;BasicInput!$D$7&amp;BasicInput!$D$8&amp;"_"&amp;CC1065&amp;".xuf"</f>
        <v>C:\PWWORKING\east01\d2591108\Basic\__2019EX_PM_.xuf</v>
      </c>
    </row>
    <row r="1066" spans="80:82" x14ac:dyDescent="0.2">
      <c r="CB1066" s="31" t="str">
        <f t="shared" si="40"/>
        <v xml:space="preserve">  </v>
      </c>
      <c r="CC1066" s="25" t="str">
        <f t="shared" si="41"/>
        <v/>
      </c>
      <c r="CD1066" s="25" t="str">
        <f>BasicInput!$D$13&amp;$CD$2&amp;B1066&amp;"_"&amp;C1066&amp;D1066&amp;"_"&amp;BasicInput!$D$7&amp;BasicInput!$D$8&amp;"_"&amp;CC1066&amp;".xuf"</f>
        <v>C:\PWWORKING\east01\d2591108\Basic\__2019EX_PM_.xuf</v>
      </c>
    </row>
    <row r="1067" spans="80:82" x14ac:dyDescent="0.2">
      <c r="CB1067" s="31" t="str">
        <f t="shared" si="40"/>
        <v xml:space="preserve">  </v>
      </c>
      <c r="CC1067" s="25" t="str">
        <f t="shared" si="41"/>
        <v/>
      </c>
      <c r="CD1067" s="25" t="str">
        <f>BasicInput!$D$13&amp;$CD$2&amp;B1067&amp;"_"&amp;C1067&amp;D1067&amp;"_"&amp;BasicInput!$D$7&amp;BasicInput!$D$8&amp;"_"&amp;CC1067&amp;".xuf"</f>
        <v>C:\PWWORKING\east01\d2591108\Basic\__2019EX_PM_.xuf</v>
      </c>
    </row>
    <row r="1068" spans="80:82" x14ac:dyDescent="0.2">
      <c r="CB1068" s="31" t="str">
        <f t="shared" si="40"/>
        <v xml:space="preserve">  </v>
      </c>
      <c r="CC1068" s="25" t="str">
        <f t="shared" si="41"/>
        <v/>
      </c>
      <c r="CD1068" s="25" t="str">
        <f>BasicInput!$D$13&amp;$CD$2&amp;B1068&amp;"_"&amp;C1068&amp;D1068&amp;"_"&amp;BasicInput!$D$7&amp;BasicInput!$D$8&amp;"_"&amp;CC1068&amp;".xuf"</f>
        <v>C:\PWWORKING\east01\d2591108\Basic\__2019EX_PM_.xuf</v>
      </c>
    </row>
    <row r="1069" spans="80:82" x14ac:dyDescent="0.2">
      <c r="CB1069" s="31" t="str">
        <f t="shared" si="40"/>
        <v xml:space="preserve">  </v>
      </c>
      <c r="CC1069" s="25" t="str">
        <f t="shared" si="41"/>
        <v/>
      </c>
      <c r="CD1069" s="25" t="str">
        <f>BasicInput!$D$13&amp;$CD$2&amp;B1069&amp;"_"&amp;C1069&amp;D1069&amp;"_"&amp;BasicInput!$D$7&amp;BasicInput!$D$8&amp;"_"&amp;CC1069&amp;".xuf"</f>
        <v>C:\PWWORKING\east01\d2591108\Basic\__2019EX_PM_.xuf</v>
      </c>
    </row>
    <row r="1070" spans="80:82" x14ac:dyDescent="0.2">
      <c r="CB1070" s="31" t="str">
        <f t="shared" si="40"/>
        <v xml:space="preserve">  </v>
      </c>
      <c r="CC1070" s="25" t="str">
        <f t="shared" si="41"/>
        <v/>
      </c>
      <c r="CD1070" s="25" t="str">
        <f>BasicInput!$D$13&amp;$CD$2&amp;B1070&amp;"_"&amp;C1070&amp;D1070&amp;"_"&amp;BasicInput!$D$7&amp;BasicInput!$D$8&amp;"_"&amp;CC1070&amp;".xuf"</f>
        <v>C:\PWWORKING\east01\d2591108\Basic\__2019EX_PM_.xuf</v>
      </c>
    </row>
    <row r="1071" spans="80:82" x14ac:dyDescent="0.2">
      <c r="CB1071" s="31" t="str">
        <f t="shared" si="40"/>
        <v xml:space="preserve">  </v>
      </c>
      <c r="CC1071" s="25" t="str">
        <f t="shared" si="41"/>
        <v/>
      </c>
      <c r="CD1071" s="25" t="str">
        <f>BasicInput!$D$13&amp;$CD$2&amp;B1071&amp;"_"&amp;C1071&amp;D1071&amp;"_"&amp;BasicInput!$D$7&amp;BasicInput!$D$8&amp;"_"&amp;CC1071&amp;".xuf"</f>
        <v>C:\PWWORKING\east01\d2591108\Basic\__2019EX_PM_.xuf</v>
      </c>
    </row>
    <row r="1072" spans="80:82" x14ac:dyDescent="0.2">
      <c r="CB1072" s="31" t="str">
        <f t="shared" si="40"/>
        <v xml:space="preserve">  </v>
      </c>
      <c r="CC1072" s="25" t="str">
        <f t="shared" si="41"/>
        <v/>
      </c>
      <c r="CD1072" s="25" t="str">
        <f>BasicInput!$D$13&amp;$CD$2&amp;B1072&amp;"_"&amp;C1072&amp;D1072&amp;"_"&amp;BasicInput!$D$7&amp;BasicInput!$D$8&amp;"_"&amp;CC1072&amp;".xuf"</f>
        <v>C:\PWWORKING\east01\d2591108\Basic\__2019EX_PM_.xuf</v>
      </c>
    </row>
    <row r="1073" spans="80:82" x14ac:dyDescent="0.2">
      <c r="CB1073" s="31" t="str">
        <f t="shared" si="40"/>
        <v xml:space="preserve">  </v>
      </c>
      <c r="CC1073" s="25" t="str">
        <f t="shared" si="41"/>
        <v/>
      </c>
      <c r="CD1073" s="25" t="str">
        <f>BasicInput!$D$13&amp;$CD$2&amp;B1073&amp;"_"&amp;C1073&amp;D1073&amp;"_"&amp;BasicInput!$D$7&amp;BasicInput!$D$8&amp;"_"&amp;CC1073&amp;".xuf"</f>
        <v>C:\PWWORKING\east01\d2591108\Basic\__2019EX_PM_.xuf</v>
      </c>
    </row>
    <row r="1074" spans="80:82" x14ac:dyDescent="0.2">
      <c r="CB1074" s="31" t="str">
        <f t="shared" si="40"/>
        <v xml:space="preserve">  </v>
      </c>
      <c r="CC1074" s="25" t="str">
        <f t="shared" si="41"/>
        <v/>
      </c>
      <c r="CD1074" s="25" t="str">
        <f>BasicInput!$D$13&amp;$CD$2&amp;B1074&amp;"_"&amp;C1074&amp;D1074&amp;"_"&amp;BasicInput!$D$7&amp;BasicInput!$D$8&amp;"_"&amp;CC1074&amp;".xuf"</f>
        <v>C:\PWWORKING\east01\d2591108\Basic\__2019EX_PM_.xuf</v>
      </c>
    </row>
    <row r="1075" spans="80:82" x14ac:dyDescent="0.2">
      <c r="CB1075" s="31" t="str">
        <f t="shared" si="40"/>
        <v xml:space="preserve">  </v>
      </c>
      <c r="CC1075" s="25" t="str">
        <f t="shared" si="41"/>
        <v/>
      </c>
      <c r="CD1075" s="25" t="str">
        <f>BasicInput!$D$13&amp;$CD$2&amp;B1075&amp;"_"&amp;C1075&amp;D1075&amp;"_"&amp;BasicInput!$D$7&amp;BasicInput!$D$8&amp;"_"&amp;CC1075&amp;".xuf"</f>
        <v>C:\PWWORKING\east01\d2591108\Basic\__2019EX_PM_.xuf</v>
      </c>
    </row>
    <row r="1076" spans="80:82" x14ac:dyDescent="0.2">
      <c r="CB1076" s="31" t="str">
        <f t="shared" si="40"/>
        <v xml:space="preserve">  </v>
      </c>
      <c r="CC1076" s="25" t="str">
        <f t="shared" si="41"/>
        <v/>
      </c>
      <c r="CD1076" s="25" t="str">
        <f>BasicInput!$D$13&amp;$CD$2&amp;B1076&amp;"_"&amp;C1076&amp;D1076&amp;"_"&amp;BasicInput!$D$7&amp;BasicInput!$D$8&amp;"_"&amp;CC1076&amp;".xuf"</f>
        <v>C:\PWWORKING\east01\d2591108\Basic\__2019EX_PM_.xuf</v>
      </c>
    </row>
    <row r="1077" spans="80:82" x14ac:dyDescent="0.2">
      <c r="CB1077" s="31" t="str">
        <f t="shared" si="40"/>
        <v xml:space="preserve">  </v>
      </c>
      <c r="CC1077" s="25" t="str">
        <f t="shared" si="41"/>
        <v/>
      </c>
      <c r="CD1077" s="25" t="str">
        <f>BasicInput!$D$13&amp;$CD$2&amp;B1077&amp;"_"&amp;C1077&amp;D1077&amp;"_"&amp;BasicInput!$D$7&amp;BasicInput!$D$8&amp;"_"&amp;CC1077&amp;".xuf"</f>
        <v>C:\PWWORKING\east01\d2591108\Basic\__2019EX_PM_.xuf</v>
      </c>
    </row>
    <row r="1078" spans="80:82" x14ac:dyDescent="0.2">
      <c r="CB1078" s="31" t="str">
        <f t="shared" si="40"/>
        <v xml:space="preserve">  </v>
      </c>
      <c r="CC1078" s="25" t="str">
        <f t="shared" si="41"/>
        <v/>
      </c>
      <c r="CD1078" s="25" t="str">
        <f>BasicInput!$D$13&amp;$CD$2&amp;B1078&amp;"_"&amp;C1078&amp;D1078&amp;"_"&amp;BasicInput!$D$7&amp;BasicInput!$D$8&amp;"_"&amp;CC1078&amp;".xuf"</f>
        <v>C:\PWWORKING\east01\d2591108\Basic\__2019EX_PM_.xuf</v>
      </c>
    </row>
    <row r="1079" spans="80:82" x14ac:dyDescent="0.2">
      <c r="CB1079" s="31" t="str">
        <f t="shared" si="40"/>
        <v xml:space="preserve">  </v>
      </c>
      <c r="CC1079" s="25" t="str">
        <f t="shared" si="41"/>
        <v/>
      </c>
      <c r="CD1079" s="25" t="str">
        <f>BasicInput!$D$13&amp;$CD$2&amp;B1079&amp;"_"&amp;C1079&amp;D1079&amp;"_"&amp;BasicInput!$D$7&amp;BasicInput!$D$8&amp;"_"&amp;CC1079&amp;".xuf"</f>
        <v>C:\PWWORKING\east01\d2591108\Basic\__2019EX_PM_.xuf</v>
      </c>
    </row>
    <row r="1080" spans="80:82" x14ac:dyDescent="0.2">
      <c r="CB1080" s="31" t="str">
        <f t="shared" si="40"/>
        <v xml:space="preserve">  </v>
      </c>
      <c r="CC1080" s="25" t="str">
        <f t="shared" si="41"/>
        <v/>
      </c>
      <c r="CD1080" s="25" t="str">
        <f>BasicInput!$D$13&amp;$CD$2&amp;B1080&amp;"_"&amp;C1080&amp;D1080&amp;"_"&amp;BasicInput!$D$7&amp;BasicInput!$D$8&amp;"_"&amp;CC1080&amp;".xuf"</f>
        <v>C:\PWWORKING\east01\d2591108\Basic\__2019EX_PM_.xuf</v>
      </c>
    </row>
    <row r="1081" spans="80:82" x14ac:dyDescent="0.2">
      <c r="CB1081" s="31" t="str">
        <f t="shared" si="40"/>
        <v xml:space="preserve">  </v>
      </c>
      <c r="CC1081" s="25" t="str">
        <f t="shared" si="41"/>
        <v/>
      </c>
      <c r="CD1081" s="25" t="str">
        <f>BasicInput!$D$13&amp;$CD$2&amp;B1081&amp;"_"&amp;C1081&amp;D1081&amp;"_"&amp;BasicInput!$D$7&amp;BasicInput!$D$8&amp;"_"&amp;CC1081&amp;".xuf"</f>
        <v>C:\PWWORKING\east01\d2591108\Basic\__2019EX_PM_.xuf</v>
      </c>
    </row>
    <row r="1082" spans="80:82" x14ac:dyDescent="0.2">
      <c r="CB1082" s="31" t="str">
        <f t="shared" si="40"/>
        <v xml:space="preserve">  </v>
      </c>
      <c r="CC1082" s="25" t="str">
        <f t="shared" si="41"/>
        <v/>
      </c>
      <c r="CD1082" s="25" t="str">
        <f>BasicInput!$D$13&amp;$CD$2&amp;B1082&amp;"_"&amp;C1082&amp;D1082&amp;"_"&amp;BasicInput!$D$7&amp;BasicInput!$D$8&amp;"_"&amp;CC1082&amp;".xuf"</f>
        <v>C:\PWWORKING\east01\d2591108\Basic\__2019EX_PM_.xuf</v>
      </c>
    </row>
    <row r="1083" spans="80:82" x14ac:dyDescent="0.2">
      <c r="CB1083" s="31" t="str">
        <f t="shared" si="40"/>
        <v xml:space="preserve">  </v>
      </c>
      <c r="CC1083" s="25" t="str">
        <f t="shared" si="41"/>
        <v/>
      </c>
      <c r="CD1083" s="25" t="str">
        <f>BasicInput!$D$13&amp;$CD$2&amp;B1083&amp;"_"&amp;C1083&amp;D1083&amp;"_"&amp;BasicInput!$D$7&amp;BasicInput!$D$8&amp;"_"&amp;CC1083&amp;".xuf"</f>
        <v>C:\PWWORKING\east01\d2591108\Basic\__2019EX_PM_.xuf</v>
      </c>
    </row>
    <row r="1084" spans="80:82" x14ac:dyDescent="0.2">
      <c r="CB1084" s="31" t="str">
        <f t="shared" si="40"/>
        <v xml:space="preserve">  </v>
      </c>
      <c r="CC1084" s="25" t="str">
        <f t="shared" si="41"/>
        <v/>
      </c>
      <c r="CD1084" s="25" t="str">
        <f>BasicInput!$D$13&amp;$CD$2&amp;B1084&amp;"_"&amp;C1084&amp;D1084&amp;"_"&amp;BasicInput!$D$7&amp;BasicInput!$D$8&amp;"_"&amp;CC1084&amp;".xuf"</f>
        <v>C:\PWWORKING\east01\d2591108\Basic\__2019EX_PM_.xuf</v>
      </c>
    </row>
    <row r="1085" spans="80:82" x14ac:dyDescent="0.2">
      <c r="CB1085" s="31" t="str">
        <f t="shared" si="40"/>
        <v xml:space="preserve">  </v>
      </c>
      <c r="CC1085" s="25" t="str">
        <f t="shared" si="41"/>
        <v/>
      </c>
      <c r="CD1085" s="25" t="str">
        <f>BasicInput!$D$13&amp;$CD$2&amp;B1085&amp;"_"&amp;C1085&amp;D1085&amp;"_"&amp;BasicInput!$D$7&amp;BasicInput!$D$8&amp;"_"&amp;CC1085&amp;".xuf"</f>
        <v>C:\PWWORKING\east01\d2591108\Basic\__2019EX_PM_.xuf</v>
      </c>
    </row>
    <row r="1086" spans="80:82" x14ac:dyDescent="0.2">
      <c r="CB1086" s="31" t="str">
        <f t="shared" si="40"/>
        <v xml:space="preserve">  </v>
      </c>
      <c r="CC1086" s="25" t="str">
        <f t="shared" si="41"/>
        <v/>
      </c>
      <c r="CD1086" s="25" t="str">
        <f>BasicInput!$D$13&amp;$CD$2&amp;B1086&amp;"_"&amp;C1086&amp;D1086&amp;"_"&amp;BasicInput!$D$7&amp;BasicInput!$D$8&amp;"_"&amp;CC1086&amp;".xuf"</f>
        <v>C:\PWWORKING\east01\d2591108\Basic\__2019EX_PM_.xuf</v>
      </c>
    </row>
    <row r="1087" spans="80:82" x14ac:dyDescent="0.2">
      <c r="CB1087" s="31" t="str">
        <f t="shared" si="40"/>
        <v xml:space="preserve">  </v>
      </c>
      <c r="CC1087" s="25" t="str">
        <f t="shared" si="41"/>
        <v/>
      </c>
      <c r="CD1087" s="25" t="str">
        <f>BasicInput!$D$13&amp;$CD$2&amp;B1087&amp;"_"&amp;C1087&amp;D1087&amp;"_"&amp;BasicInput!$D$7&amp;BasicInput!$D$8&amp;"_"&amp;CC1087&amp;".xuf"</f>
        <v>C:\PWWORKING\east01\d2591108\Basic\__2019EX_PM_.xuf</v>
      </c>
    </row>
    <row r="1088" spans="80:82" x14ac:dyDescent="0.2">
      <c r="CB1088" s="31" t="str">
        <f t="shared" si="40"/>
        <v xml:space="preserve">  </v>
      </c>
      <c r="CC1088" s="25" t="str">
        <f t="shared" si="41"/>
        <v/>
      </c>
      <c r="CD1088" s="25" t="str">
        <f>BasicInput!$D$13&amp;$CD$2&amp;B1088&amp;"_"&amp;C1088&amp;D1088&amp;"_"&amp;BasicInput!$D$7&amp;BasicInput!$D$8&amp;"_"&amp;CC1088&amp;".xuf"</f>
        <v>C:\PWWORKING\east01\d2591108\Basic\__2019EX_PM_.xuf</v>
      </c>
    </row>
    <row r="1089" spans="80:82" x14ac:dyDescent="0.2">
      <c r="CB1089" s="31" t="str">
        <f t="shared" si="40"/>
        <v xml:space="preserve">  </v>
      </c>
      <c r="CC1089" s="25" t="str">
        <f t="shared" si="41"/>
        <v/>
      </c>
      <c r="CD1089" s="25" t="str">
        <f>BasicInput!$D$13&amp;$CD$2&amp;B1089&amp;"_"&amp;C1089&amp;D1089&amp;"_"&amp;BasicInput!$D$7&amp;BasicInput!$D$8&amp;"_"&amp;CC1089&amp;".xuf"</f>
        <v>C:\PWWORKING\east01\d2591108\Basic\__2019EX_PM_.xuf</v>
      </c>
    </row>
    <row r="1090" spans="80:82" x14ac:dyDescent="0.2">
      <c r="CB1090" s="31" t="str">
        <f t="shared" si="40"/>
        <v xml:space="preserve">  </v>
      </c>
      <c r="CC1090" s="25" t="str">
        <f t="shared" si="41"/>
        <v/>
      </c>
      <c r="CD1090" s="25" t="str">
        <f>BasicInput!$D$13&amp;$CD$2&amp;B1090&amp;"_"&amp;C1090&amp;D1090&amp;"_"&amp;BasicInput!$D$7&amp;BasicInput!$D$8&amp;"_"&amp;CC1090&amp;".xuf"</f>
        <v>C:\PWWORKING\east01\d2591108\Basic\__2019EX_PM_.xuf</v>
      </c>
    </row>
    <row r="1091" spans="80:82" x14ac:dyDescent="0.2">
      <c r="CB1091" s="31" t="str">
        <f t="shared" si="40"/>
        <v xml:space="preserve">  </v>
      </c>
      <c r="CC1091" s="25" t="str">
        <f t="shared" si="41"/>
        <v/>
      </c>
      <c r="CD1091" s="25" t="str">
        <f>BasicInput!$D$13&amp;$CD$2&amp;B1091&amp;"_"&amp;C1091&amp;D1091&amp;"_"&amp;BasicInput!$D$7&amp;BasicInput!$D$8&amp;"_"&amp;CC1091&amp;".xuf"</f>
        <v>C:\PWWORKING\east01\d2591108\Basic\__2019EX_PM_.xuf</v>
      </c>
    </row>
    <row r="1092" spans="80:82" x14ac:dyDescent="0.2">
      <c r="CB1092" s="31" t="str">
        <f t="shared" si="40"/>
        <v xml:space="preserve">  </v>
      </c>
      <c r="CC1092" s="25" t="str">
        <f t="shared" si="41"/>
        <v/>
      </c>
      <c r="CD1092" s="25" t="str">
        <f>BasicInput!$D$13&amp;$CD$2&amp;B1092&amp;"_"&amp;C1092&amp;D1092&amp;"_"&amp;BasicInput!$D$7&amp;BasicInput!$D$8&amp;"_"&amp;CC1092&amp;".xuf"</f>
        <v>C:\PWWORKING\east01\d2591108\Basic\__2019EX_PM_.xuf</v>
      </c>
    </row>
    <row r="1093" spans="80:82" x14ac:dyDescent="0.2">
      <c r="CB1093" s="31" t="str">
        <f t="shared" si="40"/>
        <v xml:space="preserve">  </v>
      </c>
      <c r="CC1093" s="25" t="str">
        <f t="shared" si="41"/>
        <v/>
      </c>
      <c r="CD1093" s="25" t="str">
        <f>BasicInput!$D$13&amp;$CD$2&amp;B1093&amp;"_"&amp;C1093&amp;D1093&amp;"_"&amp;BasicInput!$D$7&amp;BasicInput!$D$8&amp;"_"&amp;CC1093&amp;".xuf"</f>
        <v>C:\PWWORKING\east01\d2591108\Basic\__2019EX_PM_.xuf</v>
      </c>
    </row>
    <row r="1094" spans="80:82" x14ac:dyDescent="0.2">
      <c r="CB1094" s="31" t="str">
        <f t="shared" si="40"/>
        <v xml:space="preserve">  </v>
      </c>
      <c r="CC1094" s="25" t="str">
        <f t="shared" si="41"/>
        <v/>
      </c>
      <c r="CD1094" s="25" t="str">
        <f>BasicInput!$D$13&amp;$CD$2&amp;B1094&amp;"_"&amp;C1094&amp;D1094&amp;"_"&amp;BasicInput!$D$7&amp;BasicInput!$D$8&amp;"_"&amp;CC1094&amp;".xuf"</f>
        <v>C:\PWWORKING\east01\d2591108\Basic\__2019EX_PM_.xuf</v>
      </c>
    </row>
    <row r="1095" spans="80:82" x14ac:dyDescent="0.2">
      <c r="CB1095" s="31" t="str">
        <f t="shared" si="40"/>
        <v xml:space="preserve">  </v>
      </c>
      <c r="CC1095" s="25" t="str">
        <f t="shared" si="41"/>
        <v/>
      </c>
      <c r="CD1095" s="25" t="str">
        <f>BasicInput!$D$13&amp;$CD$2&amp;B1095&amp;"_"&amp;C1095&amp;D1095&amp;"_"&amp;BasicInput!$D$7&amp;BasicInput!$D$8&amp;"_"&amp;CC1095&amp;".xuf"</f>
        <v>C:\PWWORKING\east01\d2591108\Basic\__2019EX_PM_.xuf</v>
      </c>
    </row>
    <row r="1096" spans="80:82" x14ac:dyDescent="0.2">
      <c r="CB1096" s="31" t="str">
        <f t="shared" si="40"/>
        <v xml:space="preserve">  </v>
      </c>
      <c r="CC1096" s="25" t="str">
        <f t="shared" si="41"/>
        <v/>
      </c>
      <c r="CD1096" s="25" t="str">
        <f>BasicInput!$D$13&amp;$CD$2&amp;B1096&amp;"_"&amp;C1096&amp;D1096&amp;"_"&amp;BasicInput!$D$7&amp;BasicInput!$D$8&amp;"_"&amp;CC1096&amp;".xuf"</f>
        <v>C:\PWWORKING\east01\d2591108\Basic\__2019EX_PM_.xuf</v>
      </c>
    </row>
    <row r="1097" spans="80:82" x14ac:dyDescent="0.2">
      <c r="CB1097" s="31" t="str">
        <f t="shared" si="40"/>
        <v xml:space="preserve">  </v>
      </c>
      <c r="CC1097" s="25" t="str">
        <f t="shared" si="41"/>
        <v/>
      </c>
      <c r="CD1097" s="25" t="str">
        <f>BasicInput!$D$13&amp;$CD$2&amp;B1097&amp;"_"&amp;C1097&amp;D1097&amp;"_"&amp;BasicInput!$D$7&amp;BasicInput!$D$8&amp;"_"&amp;CC1097&amp;".xuf"</f>
        <v>C:\PWWORKING\east01\d2591108\Basic\__2019EX_PM_.xuf</v>
      </c>
    </row>
    <row r="1098" spans="80:82" x14ac:dyDescent="0.2">
      <c r="CB1098" s="31" t="str">
        <f t="shared" si="40"/>
        <v xml:space="preserve">  </v>
      </c>
      <c r="CC1098" s="25" t="str">
        <f t="shared" si="41"/>
        <v/>
      </c>
      <c r="CD1098" s="25" t="str">
        <f>BasicInput!$D$13&amp;$CD$2&amp;B1098&amp;"_"&amp;C1098&amp;D1098&amp;"_"&amp;BasicInput!$D$7&amp;BasicInput!$D$8&amp;"_"&amp;CC1098&amp;".xuf"</f>
        <v>C:\PWWORKING\east01\d2591108\Basic\__2019EX_PM_.xuf</v>
      </c>
    </row>
    <row r="1099" spans="80:82" x14ac:dyDescent="0.2">
      <c r="CB1099" s="31" t="str">
        <f t="shared" si="40"/>
        <v xml:space="preserve">  </v>
      </c>
      <c r="CC1099" s="25" t="str">
        <f t="shared" si="41"/>
        <v/>
      </c>
      <c r="CD1099" s="25" t="str">
        <f>BasicInput!$D$13&amp;$CD$2&amp;B1099&amp;"_"&amp;C1099&amp;D1099&amp;"_"&amp;BasicInput!$D$7&amp;BasicInput!$D$8&amp;"_"&amp;CC1099&amp;".xuf"</f>
        <v>C:\PWWORKING\east01\d2591108\Basic\__2019EX_PM_.xuf</v>
      </c>
    </row>
    <row r="1100" spans="80:82" x14ac:dyDescent="0.2">
      <c r="CB1100" s="31" t="str">
        <f t="shared" si="40"/>
        <v xml:space="preserve">  </v>
      </c>
      <c r="CC1100" s="25" t="str">
        <f t="shared" si="41"/>
        <v/>
      </c>
      <c r="CD1100" s="25" t="str">
        <f>BasicInput!$D$13&amp;$CD$2&amp;B1100&amp;"_"&amp;C1100&amp;D1100&amp;"_"&amp;BasicInput!$D$7&amp;BasicInput!$D$8&amp;"_"&amp;CC1100&amp;".xuf"</f>
        <v>C:\PWWORKING\east01\d2591108\Basic\__2019EX_PM_.xuf</v>
      </c>
    </row>
    <row r="1101" spans="80:82" x14ac:dyDescent="0.2">
      <c r="CB1101" s="31" t="str">
        <f t="shared" si="40"/>
        <v xml:space="preserve">  </v>
      </c>
      <c r="CC1101" s="25" t="str">
        <f t="shared" si="41"/>
        <v/>
      </c>
      <c r="CD1101" s="25" t="str">
        <f>BasicInput!$D$13&amp;$CD$2&amp;B1101&amp;"_"&amp;C1101&amp;D1101&amp;"_"&amp;BasicInput!$D$7&amp;BasicInput!$D$8&amp;"_"&amp;CC1101&amp;".xuf"</f>
        <v>C:\PWWORKING\east01\d2591108\Basic\__2019EX_PM_.xuf</v>
      </c>
    </row>
    <row r="1102" spans="80:82" x14ac:dyDescent="0.2">
      <c r="CB1102" s="31" t="str">
        <f t="shared" si="40"/>
        <v xml:space="preserve">  </v>
      </c>
      <c r="CC1102" s="25" t="str">
        <f t="shared" si="41"/>
        <v/>
      </c>
      <c r="CD1102" s="25" t="str">
        <f>BasicInput!$D$13&amp;$CD$2&amp;B1102&amp;"_"&amp;C1102&amp;D1102&amp;"_"&amp;BasicInput!$D$7&amp;BasicInput!$D$8&amp;"_"&amp;CC1102&amp;".xuf"</f>
        <v>C:\PWWORKING\east01\d2591108\Basic\__2019EX_PM_.xuf</v>
      </c>
    </row>
    <row r="1103" spans="80:82" x14ac:dyDescent="0.2">
      <c r="CB1103" s="31" t="str">
        <f t="shared" si="40"/>
        <v xml:space="preserve">  </v>
      </c>
      <c r="CC1103" s="25" t="str">
        <f t="shared" si="41"/>
        <v/>
      </c>
      <c r="CD1103" s="25" t="str">
        <f>BasicInput!$D$13&amp;$CD$2&amp;B1103&amp;"_"&amp;C1103&amp;D1103&amp;"_"&amp;BasicInput!$D$7&amp;BasicInput!$D$8&amp;"_"&amp;CC1103&amp;".xuf"</f>
        <v>C:\PWWORKING\east01\d2591108\Basic\__2019EX_PM_.xuf</v>
      </c>
    </row>
    <row r="1104" spans="80:82" x14ac:dyDescent="0.2">
      <c r="CB1104" s="31" t="str">
        <f t="shared" si="40"/>
        <v xml:space="preserve">  </v>
      </c>
      <c r="CC1104" s="25" t="str">
        <f t="shared" si="41"/>
        <v/>
      </c>
      <c r="CD1104" s="25" t="str">
        <f>BasicInput!$D$13&amp;$CD$2&amp;B1104&amp;"_"&amp;C1104&amp;D1104&amp;"_"&amp;BasicInput!$D$7&amp;BasicInput!$D$8&amp;"_"&amp;CC1104&amp;".xuf"</f>
        <v>C:\PWWORKING\east01\d2591108\Basic\__2019EX_PM_.xuf</v>
      </c>
    </row>
    <row r="1105" spans="80:82" x14ac:dyDescent="0.2">
      <c r="CB1105" s="31" t="str">
        <f t="shared" ref="CB1105:CB1168" si="42">C1105&amp; " "&amp;D1105&amp;" " &amp;E1105</f>
        <v xml:space="preserve">  </v>
      </c>
      <c r="CC1105" s="25" t="str">
        <f t="shared" ref="CC1105:CC1168" si="43">SUBSTITUTE(E1105, "/", "_")</f>
        <v/>
      </c>
      <c r="CD1105" s="25" t="str">
        <f>BasicInput!$D$13&amp;$CD$2&amp;B1105&amp;"_"&amp;C1105&amp;D1105&amp;"_"&amp;BasicInput!$D$7&amp;BasicInput!$D$8&amp;"_"&amp;CC1105&amp;".xuf"</f>
        <v>C:\PWWORKING\east01\d2591108\Basic\__2019EX_PM_.xuf</v>
      </c>
    </row>
    <row r="1106" spans="80:82" x14ac:dyDescent="0.2">
      <c r="CB1106" s="31" t="str">
        <f t="shared" si="42"/>
        <v xml:space="preserve">  </v>
      </c>
      <c r="CC1106" s="25" t="str">
        <f t="shared" si="43"/>
        <v/>
      </c>
      <c r="CD1106" s="25" t="str">
        <f>BasicInput!$D$13&amp;$CD$2&amp;B1106&amp;"_"&amp;C1106&amp;D1106&amp;"_"&amp;BasicInput!$D$7&amp;BasicInput!$D$8&amp;"_"&amp;CC1106&amp;".xuf"</f>
        <v>C:\PWWORKING\east01\d2591108\Basic\__2019EX_PM_.xuf</v>
      </c>
    </row>
    <row r="1107" spans="80:82" x14ac:dyDescent="0.2">
      <c r="CB1107" s="31" t="str">
        <f t="shared" si="42"/>
        <v xml:space="preserve">  </v>
      </c>
      <c r="CC1107" s="25" t="str">
        <f t="shared" si="43"/>
        <v/>
      </c>
      <c r="CD1107" s="25" t="str">
        <f>BasicInput!$D$13&amp;$CD$2&amp;B1107&amp;"_"&amp;C1107&amp;D1107&amp;"_"&amp;BasicInput!$D$7&amp;BasicInput!$D$8&amp;"_"&amp;CC1107&amp;".xuf"</f>
        <v>C:\PWWORKING\east01\d2591108\Basic\__2019EX_PM_.xuf</v>
      </c>
    </row>
    <row r="1108" spans="80:82" x14ac:dyDescent="0.2">
      <c r="CB1108" s="31" t="str">
        <f t="shared" si="42"/>
        <v xml:space="preserve">  </v>
      </c>
      <c r="CC1108" s="25" t="str">
        <f t="shared" si="43"/>
        <v/>
      </c>
      <c r="CD1108" s="25" t="str">
        <f>BasicInput!$D$13&amp;$CD$2&amp;B1108&amp;"_"&amp;C1108&amp;D1108&amp;"_"&amp;BasicInput!$D$7&amp;BasicInput!$D$8&amp;"_"&amp;CC1108&amp;".xuf"</f>
        <v>C:\PWWORKING\east01\d2591108\Basic\__2019EX_PM_.xuf</v>
      </c>
    </row>
    <row r="1109" spans="80:82" x14ac:dyDescent="0.2">
      <c r="CB1109" s="31" t="str">
        <f t="shared" si="42"/>
        <v xml:space="preserve">  </v>
      </c>
      <c r="CC1109" s="25" t="str">
        <f t="shared" si="43"/>
        <v/>
      </c>
      <c r="CD1109" s="25" t="str">
        <f>BasicInput!$D$13&amp;$CD$2&amp;B1109&amp;"_"&amp;C1109&amp;D1109&amp;"_"&amp;BasicInput!$D$7&amp;BasicInput!$D$8&amp;"_"&amp;CC1109&amp;".xuf"</f>
        <v>C:\PWWORKING\east01\d2591108\Basic\__2019EX_PM_.xuf</v>
      </c>
    </row>
    <row r="1110" spans="80:82" x14ac:dyDescent="0.2">
      <c r="CB1110" s="31" t="str">
        <f t="shared" si="42"/>
        <v xml:space="preserve">  </v>
      </c>
      <c r="CC1110" s="25" t="str">
        <f t="shared" si="43"/>
        <v/>
      </c>
      <c r="CD1110" s="25" t="str">
        <f>BasicInput!$D$13&amp;$CD$2&amp;B1110&amp;"_"&amp;C1110&amp;D1110&amp;"_"&amp;BasicInput!$D$7&amp;BasicInput!$D$8&amp;"_"&amp;CC1110&amp;".xuf"</f>
        <v>C:\PWWORKING\east01\d2591108\Basic\__2019EX_PM_.xuf</v>
      </c>
    </row>
    <row r="1111" spans="80:82" x14ac:dyDescent="0.2">
      <c r="CB1111" s="31" t="str">
        <f t="shared" si="42"/>
        <v xml:space="preserve">  </v>
      </c>
      <c r="CC1111" s="25" t="str">
        <f t="shared" si="43"/>
        <v/>
      </c>
      <c r="CD1111" s="25" t="str">
        <f>BasicInput!$D$13&amp;$CD$2&amp;B1111&amp;"_"&amp;C1111&amp;D1111&amp;"_"&amp;BasicInput!$D$7&amp;BasicInput!$D$8&amp;"_"&amp;CC1111&amp;".xuf"</f>
        <v>C:\PWWORKING\east01\d2591108\Basic\__2019EX_PM_.xuf</v>
      </c>
    </row>
    <row r="1112" spans="80:82" x14ac:dyDescent="0.2">
      <c r="CB1112" s="31" t="str">
        <f t="shared" si="42"/>
        <v xml:space="preserve">  </v>
      </c>
      <c r="CC1112" s="25" t="str">
        <f t="shared" si="43"/>
        <v/>
      </c>
      <c r="CD1112" s="25" t="str">
        <f>BasicInput!$D$13&amp;$CD$2&amp;B1112&amp;"_"&amp;C1112&amp;D1112&amp;"_"&amp;BasicInput!$D$7&amp;BasicInput!$D$8&amp;"_"&amp;CC1112&amp;".xuf"</f>
        <v>C:\PWWORKING\east01\d2591108\Basic\__2019EX_PM_.xuf</v>
      </c>
    </row>
    <row r="1113" spans="80:82" x14ac:dyDescent="0.2">
      <c r="CB1113" s="31" t="str">
        <f t="shared" si="42"/>
        <v xml:space="preserve">  </v>
      </c>
      <c r="CC1113" s="25" t="str">
        <f t="shared" si="43"/>
        <v/>
      </c>
      <c r="CD1113" s="25" t="str">
        <f>BasicInput!$D$13&amp;$CD$2&amp;B1113&amp;"_"&amp;C1113&amp;D1113&amp;"_"&amp;BasicInput!$D$7&amp;BasicInput!$D$8&amp;"_"&amp;CC1113&amp;".xuf"</f>
        <v>C:\PWWORKING\east01\d2591108\Basic\__2019EX_PM_.xuf</v>
      </c>
    </row>
    <row r="1114" spans="80:82" x14ac:dyDescent="0.2">
      <c r="CB1114" s="31" t="str">
        <f t="shared" si="42"/>
        <v xml:space="preserve">  </v>
      </c>
      <c r="CC1114" s="25" t="str">
        <f t="shared" si="43"/>
        <v/>
      </c>
      <c r="CD1114" s="25" t="str">
        <f>BasicInput!$D$13&amp;$CD$2&amp;B1114&amp;"_"&amp;C1114&amp;D1114&amp;"_"&amp;BasicInput!$D$7&amp;BasicInput!$D$8&amp;"_"&amp;CC1114&amp;".xuf"</f>
        <v>C:\PWWORKING\east01\d2591108\Basic\__2019EX_PM_.xuf</v>
      </c>
    </row>
    <row r="1115" spans="80:82" x14ac:dyDescent="0.2">
      <c r="CB1115" s="31" t="str">
        <f t="shared" si="42"/>
        <v xml:space="preserve">  </v>
      </c>
      <c r="CC1115" s="25" t="str">
        <f t="shared" si="43"/>
        <v/>
      </c>
      <c r="CD1115" s="25" t="str">
        <f>BasicInput!$D$13&amp;$CD$2&amp;B1115&amp;"_"&amp;C1115&amp;D1115&amp;"_"&amp;BasicInput!$D$7&amp;BasicInput!$D$8&amp;"_"&amp;CC1115&amp;".xuf"</f>
        <v>C:\PWWORKING\east01\d2591108\Basic\__2019EX_PM_.xuf</v>
      </c>
    </row>
    <row r="1116" spans="80:82" x14ac:dyDescent="0.2">
      <c r="CB1116" s="31" t="str">
        <f t="shared" si="42"/>
        <v xml:space="preserve">  </v>
      </c>
      <c r="CC1116" s="25" t="str">
        <f t="shared" si="43"/>
        <v/>
      </c>
      <c r="CD1116" s="25" t="str">
        <f>BasicInput!$D$13&amp;$CD$2&amp;B1116&amp;"_"&amp;C1116&amp;D1116&amp;"_"&amp;BasicInput!$D$7&amp;BasicInput!$D$8&amp;"_"&amp;CC1116&amp;".xuf"</f>
        <v>C:\PWWORKING\east01\d2591108\Basic\__2019EX_PM_.xuf</v>
      </c>
    </row>
    <row r="1117" spans="80:82" x14ac:dyDescent="0.2">
      <c r="CB1117" s="31" t="str">
        <f t="shared" si="42"/>
        <v xml:space="preserve">  </v>
      </c>
      <c r="CC1117" s="25" t="str">
        <f t="shared" si="43"/>
        <v/>
      </c>
      <c r="CD1117" s="25" t="str">
        <f>BasicInput!$D$13&amp;$CD$2&amp;B1117&amp;"_"&amp;C1117&amp;D1117&amp;"_"&amp;BasicInput!$D$7&amp;BasicInput!$D$8&amp;"_"&amp;CC1117&amp;".xuf"</f>
        <v>C:\PWWORKING\east01\d2591108\Basic\__2019EX_PM_.xuf</v>
      </c>
    </row>
    <row r="1118" spans="80:82" x14ac:dyDescent="0.2">
      <c r="CB1118" s="31" t="str">
        <f t="shared" si="42"/>
        <v xml:space="preserve">  </v>
      </c>
      <c r="CC1118" s="25" t="str">
        <f t="shared" si="43"/>
        <v/>
      </c>
      <c r="CD1118" s="25" t="str">
        <f>BasicInput!$D$13&amp;$CD$2&amp;B1118&amp;"_"&amp;C1118&amp;D1118&amp;"_"&amp;BasicInput!$D$7&amp;BasicInput!$D$8&amp;"_"&amp;CC1118&amp;".xuf"</f>
        <v>C:\PWWORKING\east01\d2591108\Basic\__2019EX_PM_.xuf</v>
      </c>
    </row>
    <row r="1119" spans="80:82" x14ac:dyDescent="0.2">
      <c r="CB1119" s="31" t="str">
        <f t="shared" si="42"/>
        <v xml:space="preserve">  </v>
      </c>
      <c r="CC1119" s="25" t="str">
        <f t="shared" si="43"/>
        <v/>
      </c>
      <c r="CD1119" s="25" t="str">
        <f>BasicInput!$D$13&amp;$CD$2&amp;B1119&amp;"_"&amp;C1119&amp;D1119&amp;"_"&amp;BasicInput!$D$7&amp;BasicInput!$D$8&amp;"_"&amp;CC1119&amp;".xuf"</f>
        <v>C:\PWWORKING\east01\d2591108\Basic\__2019EX_PM_.xuf</v>
      </c>
    </row>
    <row r="1120" spans="80:82" x14ac:dyDescent="0.2">
      <c r="CB1120" s="31" t="str">
        <f t="shared" si="42"/>
        <v xml:space="preserve">  </v>
      </c>
      <c r="CC1120" s="25" t="str">
        <f t="shared" si="43"/>
        <v/>
      </c>
      <c r="CD1120" s="25" t="str">
        <f>BasicInput!$D$13&amp;$CD$2&amp;B1120&amp;"_"&amp;C1120&amp;D1120&amp;"_"&amp;BasicInput!$D$7&amp;BasicInput!$D$8&amp;"_"&amp;CC1120&amp;".xuf"</f>
        <v>C:\PWWORKING\east01\d2591108\Basic\__2019EX_PM_.xuf</v>
      </c>
    </row>
    <row r="1121" spans="80:82" x14ac:dyDescent="0.2">
      <c r="CB1121" s="31" t="str">
        <f t="shared" si="42"/>
        <v xml:space="preserve">  </v>
      </c>
      <c r="CC1121" s="25" t="str">
        <f t="shared" si="43"/>
        <v/>
      </c>
      <c r="CD1121" s="25" t="str">
        <f>BasicInput!$D$13&amp;$CD$2&amp;B1121&amp;"_"&amp;C1121&amp;D1121&amp;"_"&amp;BasicInput!$D$7&amp;BasicInput!$D$8&amp;"_"&amp;CC1121&amp;".xuf"</f>
        <v>C:\PWWORKING\east01\d2591108\Basic\__2019EX_PM_.xuf</v>
      </c>
    </row>
    <row r="1122" spans="80:82" x14ac:dyDescent="0.2">
      <c r="CB1122" s="31" t="str">
        <f t="shared" si="42"/>
        <v xml:space="preserve">  </v>
      </c>
      <c r="CC1122" s="25" t="str">
        <f t="shared" si="43"/>
        <v/>
      </c>
      <c r="CD1122" s="25" t="str">
        <f>BasicInput!$D$13&amp;$CD$2&amp;B1122&amp;"_"&amp;C1122&amp;D1122&amp;"_"&amp;BasicInput!$D$7&amp;BasicInput!$D$8&amp;"_"&amp;CC1122&amp;".xuf"</f>
        <v>C:\PWWORKING\east01\d2591108\Basic\__2019EX_PM_.xuf</v>
      </c>
    </row>
    <row r="1123" spans="80:82" x14ac:dyDescent="0.2">
      <c r="CB1123" s="31" t="str">
        <f t="shared" si="42"/>
        <v xml:space="preserve">  </v>
      </c>
      <c r="CC1123" s="25" t="str">
        <f t="shared" si="43"/>
        <v/>
      </c>
      <c r="CD1123" s="25" t="str">
        <f>BasicInput!$D$13&amp;$CD$2&amp;B1123&amp;"_"&amp;C1123&amp;D1123&amp;"_"&amp;BasicInput!$D$7&amp;BasicInput!$D$8&amp;"_"&amp;CC1123&amp;".xuf"</f>
        <v>C:\PWWORKING\east01\d2591108\Basic\__2019EX_PM_.xuf</v>
      </c>
    </row>
    <row r="1124" spans="80:82" x14ac:dyDescent="0.2">
      <c r="CB1124" s="31" t="str">
        <f t="shared" si="42"/>
        <v xml:space="preserve">  </v>
      </c>
      <c r="CC1124" s="25" t="str">
        <f t="shared" si="43"/>
        <v/>
      </c>
      <c r="CD1124" s="25" t="str">
        <f>BasicInput!$D$13&amp;$CD$2&amp;B1124&amp;"_"&amp;C1124&amp;D1124&amp;"_"&amp;BasicInput!$D$7&amp;BasicInput!$D$8&amp;"_"&amp;CC1124&amp;".xuf"</f>
        <v>C:\PWWORKING\east01\d2591108\Basic\__2019EX_PM_.xuf</v>
      </c>
    </row>
    <row r="1125" spans="80:82" x14ac:dyDescent="0.2">
      <c r="CB1125" s="31" t="str">
        <f t="shared" si="42"/>
        <v xml:space="preserve">  </v>
      </c>
      <c r="CC1125" s="25" t="str">
        <f t="shared" si="43"/>
        <v/>
      </c>
      <c r="CD1125" s="25" t="str">
        <f>BasicInput!$D$13&amp;$CD$2&amp;B1125&amp;"_"&amp;C1125&amp;D1125&amp;"_"&amp;BasicInput!$D$7&amp;BasicInput!$D$8&amp;"_"&amp;CC1125&amp;".xuf"</f>
        <v>C:\PWWORKING\east01\d2591108\Basic\__2019EX_PM_.xuf</v>
      </c>
    </row>
    <row r="1126" spans="80:82" x14ac:dyDescent="0.2">
      <c r="CB1126" s="31" t="str">
        <f t="shared" si="42"/>
        <v xml:space="preserve">  </v>
      </c>
      <c r="CC1126" s="25" t="str">
        <f t="shared" si="43"/>
        <v/>
      </c>
      <c r="CD1126" s="25" t="str">
        <f>BasicInput!$D$13&amp;$CD$2&amp;B1126&amp;"_"&amp;C1126&amp;D1126&amp;"_"&amp;BasicInput!$D$7&amp;BasicInput!$D$8&amp;"_"&amp;CC1126&amp;".xuf"</f>
        <v>C:\PWWORKING\east01\d2591108\Basic\__2019EX_PM_.xuf</v>
      </c>
    </row>
    <row r="1127" spans="80:82" x14ac:dyDescent="0.2">
      <c r="CB1127" s="31" t="str">
        <f t="shared" si="42"/>
        <v xml:space="preserve">  </v>
      </c>
      <c r="CC1127" s="25" t="str">
        <f t="shared" si="43"/>
        <v/>
      </c>
      <c r="CD1127" s="25" t="str">
        <f>BasicInput!$D$13&amp;$CD$2&amp;B1127&amp;"_"&amp;C1127&amp;D1127&amp;"_"&amp;BasicInput!$D$7&amp;BasicInput!$D$8&amp;"_"&amp;CC1127&amp;".xuf"</f>
        <v>C:\PWWORKING\east01\d2591108\Basic\__2019EX_PM_.xuf</v>
      </c>
    </row>
    <row r="1128" spans="80:82" x14ac:dyDescent="0.2">
      <c r="CB1128" s="31" t="str">
        <f t="shared" si="42"/>
        <v xml:space="preserve">  </v>
      </c>
      <c r="CC1128" s="25" t="str">
        <f t="shared" si="43"/>
        <v/>
      </c>
      <c r="CD1128" s="25" t="str">
        <f>BasicInput!$D$13&amp;$CD$2&amp;B1128&amp;"_"&amp;C1128&amp;D1128&amp;"_"&amp;BasicInput!$D$7&amp;BasicInput!$D$8&amp;"_"&amp;CC1128&amp;".xuf"</f>
        <v>C:\PWWORKING\east01\d2591108\Basic\__2019EX_PM_.xuf</v>
      </c>
    </row>
    <row r="1129" spans="80:82" x14ac:dyDescent="0.2">
      <c r="CB1129" s="31" t="str">
        <f t="shared" si="42"/>
        <v xml:space="preserve">  </v>
      </c>
      <c r="CC1129" s="25" t="str">
        <f t="shared" si="43"/>
        <v/>
      </c>
      <c r="CD1129" s="25" t="str">
        <f>BasicInput!$D$13&amp;$CD$2&amp;B1129&amp;"_"&amp;C1129&amp;D1129&amp;"_"&amp;BasicInput!$D$7&amp;BasicInput!$D$8&amp;"_"&amp;CC1129&amp;".xuf"</f>
        <v>C:\PWWORKING\east01\d2591108\Basic\__2019EX_PM_.xuf</v>
      </c>
    </row>
    <row r="1130" spans="80:82" x14ac:dyDescent="0.2">
      <c r="CB1130" s="31" t="str">
        <f t="shared" si="42"/>
        <v xml:space="preserve">  </v>
      </c>
      <c r="CC1130" s="25" t="str">
        <f t="shared" si="43"/>
        <v/>
      </c>
      <c r="CD1130" s="25" t="str">
        <f>BasicInput!$D$13&amp;$CD$2&amp;B1130&amp;"_"&amp;C1130&amp;D1130&amp;"_"&amp;BasicInput!$D$7&amp;BasicInput!$D$8&amp;"_"&amp;CC1130&amp;".xuf"</f>
        <v>C:\PWWORKING\east01\d2591108\Basic\__2019EX_PM_.xuf</v>
      </c>
    </row>
    <row r="1131" spans="80:82" x14ac:dyDescent="0.2">
      <c r="CB1131" s="31" t="str">
        <f t="shared" si="42"/>
        <v xml:space="preserve">  </v>
      </c>
      <c r="CC1131" s="25" t="str">
        <f t="shared" si="43"/>
        <v/>
      </c>
      <c r="CD1131" s="25" t="str">
        <f>BasicInput!$D$13&amp;$CD$2&amp;B1131&amp;"_"&amp;C1131&amp;D1131&amp;"_"&amp;BasicInput!$D$7&amp;BasicInput!$D$8&amp;"_"&amp;CC1131&amp;".xuf"</f>
        <v>C:\PWWORKING\east01\d2591108\Basic\__2019EX_PM_.xuf</v>
      </c>
    </row>
    <row r="1132" spans="80:82" x14ac:dyDescent="0.2">
      <c r="CB1132" s="31" t="str">
        <f t="shared" si="42"/>
        <v xml:space="preserve">  </v>
      </c>
      <c r="CC1132" s="25" t="str">
        <f t="shared" si="43"/>
        <v/>
      </c>
      <c r="CD1132" s="25" t="str">
        <f>BasicInput!$D$13&amp;$CD$2&amp;B1132&amp;"_"&amp;C1132&amp;D1132&amp;"_"&amp;BasicInput!$D$7&amp;BasicInput!$D$8&amp;"_"&amp;CC1132&amp;".xuf"</f>
        <v>C:\PWWORKING\east01\d2591108\Basic\__2019EX_PM_.xuf</v>
      </c>
    </row>
    <row r="1133" spans="80:82" x14ac:dyDescent="0.2">
      <c r="CB1133" s="31" t="str">
        <f t="shared" si="42"/>
        <v xml:space="preserve">  </v>
      </c>
      <c r="CC1133" s="25" t="str">
        <f t="shared" si="43"/>
        <v/>
      </c>
      <c r="CD1133" s="25" t="str">
        <f>BasicInput!$D$13&amp;$CD$2&amp;B1133&amp;"_"&amp;C1133&amp;D1133&amp;"_"&amp;BasicInput!$D$7&amp;BasicInput!$D$8&amp;"_"&amp;CC1133&amp;".xuf"</f>
        <v>C:\PWWORKING\east01\d2591108\Basic\__2019EX_PM_.xuf</v>
      </c>
    </row>
    <row r="1134" spans="80:82" x14ac:dyDescent="0.2">
      <c r="CB1134" s="31" t="str">
        <f t="shared" si="42"/>
        <v xml:space="preserve">  </v>
      </c>
      <c r="CC1134" s="25" t="str">
        <f t="shared" si="43"/>
        <v/>
      </c>
      <c r="CD1134" s="25" t="str">
        <f>BasicInput!$D$13&amp;$CD$2&amp;B1134&amp;"_"&amp;C1134&amp;D1134&amp;"_"&amp;BasicInput!$D$7&amp;BasicInput!$D$8&amp;"_"&amp;CC1134&amp;".xuf"</f>
        <v>C:\PWWORKING\east01\d2591108\Basic\__2019EX_PM_.xuf</v>
      </c>
    </row>
    <row r="1135" spans="80:82" x14ac:dyDescent="0.2">
      <c r="CB1135" s="31" t="str">
        <f t="shared" si="42"/>
        <v xml:space="preserve">  </v>
      </c>
      <c r="CC1135" s="25" t="str">
        <f t="shared" si="43"/>
        <v/>
      </c>
      <c r="CD1135" s="25" t="str">
        <f>BasicInput!$D$13&amp;$CD$2&amp;B1135&amp;"_"&amp;C1135&amp;D1135&amp;"_"&amp;BasicInput!$D$7&amp;BasicInput!$D$8&amp;"_"&amp;CC1135&amp;".xuf"</f>
        <v>C:\PWWORKING\east01\d2591108\Basic\__2019EX_PM_.xuf</v>
      </c>
    </row>
    <row r="1136" spans="80:82" x14ac:dyDescent="0.2">
      <c r="CB1136" s="31" t="str">
        <f t="shared" si="42"/>
        <v xml:space="preserve">  </v>
      </c>
      <c r="CC1136" s="25" t="str">
        <f t="shared" si="43"/>
        <v/>
      </c>
      <c r="CD1136" s="25" t="str">
        <f>BasicInput!$D$13&amp;$CD$2&amp;B1136&amp;"_"&amp;C1136&amp;D1136&amp;"_"&amp;BasicInput!$D$7&amp;BasicInput!$D$8&amp;"_"&amp;CC1136&amp;".xuf"</f>
        <v>C:\PWWORKING\east01\d2591108\Basic\__2019EX_PM_.xuf</v>
      </c>
    </row>
    <row r="1137" spans="80:82" x14ac:dyDescent="0.2">
      <c r="CB1137" s="31" t="str">
        <f t="shared" si="42"/>
        <v xml:space="preserve">  </v>
      </c>
      <c r="CC1137" s="25" t="str">
        <f t="shared" si="43"/>
        <v/>
      </c>
      <c r="CD1137" s="25" t="str">
        <f>BasicInput!$D$13&amp;$CD$2&amp;B1137&amp;"_"&amp;C1137&amp;D1137&amp;"_"&amp;BasicInput!$D$7&amp;BasicInput!$D$8&amp;"_"&amp;CC1137&amp;".xuf"</f>
        <v>C:\PWWORKING\east01\d2591108\Basic\__2019EX_PM_.xuf</v>
      </c>
    </row>
    <row r="1138" spans="80:82" x14ac:dyDescent="0.2">
      <c r="CB1138" s="31" t="str">
        <f t="shared" si="42"/>
        <v xml:space="preserve">  </v>
      </c>
      <c r="CC1138" s="25" t="str">
        <f t="shared" si="43"/>
        <v/>
      </c>
      <c r="CD1138" s="25" t="str">
        <f>BasicInput!$D$13&amp;$CD$2&amp;B1138&amp;"_"&amp;C1138&amp;D1138&amp;"_"&amp;BasicInput!$D$7&amp;BasicInput!$D$8&amp;"_"&amp;CC1138&amp;".xuf"</f>
        <v>C:\PWWORKING\east01\d2591108\Basic\__2019EX_PM_.xuf</v>
      </c>
    </row>
    <row r="1139" spans="80:82" x14ac:dyDescent="0.2">
      <c r="CB1139" s="31" t="str">
        <f t="shared" si="42"/>
        <v xml:space="preserve">  </v>
      </c>
      <c r="CC1139" s="25" t="str">
        <f t="shared" si="43"/>
        <v/>
      </c>
      <c r="CD1139" s="25" t="str">
        <f>BasicInput!$D$13&amp;$CD$2&amp;B1139&amp;"_"&amp;C1139&amp;D1139&amp;"_"&amp;BasicInput!$D$7&amp;BasicInput!$D$8&amp;"_"&amp;CC1139&amp;".xuf"</f>
        <v>C:\PWWORKING\east01\d2591108\Basic\__2019EX_PM_.xuf</v>
      </c>
    </row>
    <row r="1140" spans="80:82" x14ac:dyDescent="0.2">
      <c r="CB1140" s="31" t="str">
        <f t="shared" si="42"/>
        <v xml:space="preserve">  </v>
      </c>
      <c r="CC1140" s="25" t="str">
        <f t="shared" si="43"/>
        <v/>
      </c>
      <c r="CD1140" s="25" t="str">
        <f>BasicInput!$D$13&amp;$CD$2&amp;B1140&amp;"_"&amp;C1140&amp;D1140&amp;"_"&amp;BasicInput!$D$7&amp;BasicInput!$D$8&amp;"_"&amp;CC1140&amp;".xuf"</f>
        <v>C:\PWWORKING\east01\d2591108\Basic\__2019EX_PM_.xuf</v>
      </c>
    </row>
    <row r="1141" spans="80:82" x14ac:dyDescent="0.2">
      <c r="CB1141" s="31" t="str">
        <f t="shared" si="42"/>
        <v xml:space="preserve">  </v>
      </c>
      <c r="CC1141" s="25" t="str">
        <f t="shared" si="43"/>
        <v/>
      </c>
      <c r="CD1141" s="25" t="str">
        <f>BasicInput!$D$13&amp;$CD$2&amp;B1141&amp;"_"&amp;C1141&amp;D1141&amp;"_"&amp;BasicInput!$D$7&amp;BasicInput!$D$8&amp;"_"&amp;CC1141&amp;".xuf"</f>
        <v>C:\PWWORKING\east01\d2591108\Basic\__2019EX_PM_.xuf</v>
      </c>
    </row>
    <row r="1142" spans="80:82" x14ac:dyDescent="0.2">
      <c r="CB1142" s="31" t="str">
        <f t="shared" si="42"/>
        <v xml:space="preserve">  </v>
      </c>
      <c r="CC1142" s="25" t="str">
        <f t="shared" si="43"/>
        <v/>
      </c>
      <c r="CD1142" s="25" t="str">
        <f>BasicInput!$D$13&amp;$CD$2&amp;B1142&amp;"_"&amp;C1142&amp;D1142&amp;"_"&amp;BasicInput!$D$7&amp;BasicInput!$D$8&amp;"_"&amp;CC1142&amp;".xuf"</f>
        <v>C:\PWWORKING\east01\d2591108\Basic\__2019EX_PM_.xuf</v>
      </c>
    </row>
    <row r="1143" spans="80:82" x14ac:dyDescent="0.2">
      <c r="CB1143" s="31" t="str">
        <f t="shared" si="42"/>
        <v xml:space="preserve">  </v>
      </c>
      <c r="CC1143" s="25" t="str">
        <f t="shared" si="43"/>
        <v/>
      </c>
      <c r="CD1143" s="25" t="str">
        <f>BasicInput!$D$13&amp;$CD$2&amp;B1143&amp;"_"&amp;C1143&amp;D1143&amp;"_"&amp;BasicInput!$D$7&amp;BasicInput!$D$8&amp;"_"&amp;CC1143&amp;".xuf"</f>
        <v>C:\PWWORKING\east01\d2591108\Basic\__2019EX_PM_.xuf</v>
      </c>
    </row>
    <row r="1144" spans="80:82" x14ac:dyDescent="0.2">
      <c r="CB1144" s="31" t="str">
        <f t="shared" si="42"/>
        <v xml:space="preserve">  </v>
      </c>
      <c r="CC1144" s="25" t="str">
        <f t="shared" si="43"/>
        <v/>
      </c>
      <c r="CD1144" s="25" t="str">
        <f>BasicInput!$D$13&amp;$CD$2&amp;B1144&amp;"_"&amp;C1144&amp;D1144&amp;"_"&amp;BasicInput!$D$7&amp;BasicInput!$D$8&amp;"_"&amp;CC1144&amp;".xuf"</f>
        <v>C:\PWWORKING\east01\d2591108\Basic\__2019EX_PM_.xuf</v>
      </c>
    </row>
    <row r="1145" spans="80:82" x14ac:dyDescent="0.2">
      <c r="CB1145" s="31" t="str">
        <f t="shared" si="42"/>
        <v xml:space="preserve">  </v>
      </c>
      <c r="CC1145" s="25" t="str">
        <f t="shared" si="43"/>
        <v/>
      </c>
      <c r="CD1145" s="25" t="str">
        <f>BasicInput!$D$13&amp;$CD$2&amp;B1145&amp;"_"&amp;C1145&amp;D1145&amp;"_"&amp;BasicInput!$D$7&amp;BasicInput!$D$8&amp;"_"&amp;CC1145&amp;".xuf"</f>
        <v>C:\PWWORKING\east01\d2591108\Basic\__2019EX_PM_.xuf</v>
      </c>
    </row>
    <row r="1146" spans="80:82" x14ac:dyDescent="0.2">
      <c r="CB1146" s="31" t="str">
        <f t="shared" si="42"/>
        <v xml:space="preserve">  </v>
      </c>
      <c r="CC1146" s="25" t="str">
        <f t="shared" si="43"/>
        <v/>
      </c>
      <c r="CD1146" s="25" t="str">
        <f>BasicInput!$D$13&amp;$CD$2&amp;B1146&amp;"_"&amp;C1146&amp;D1146&amp;"_"&amp;BasicInput!$D$7&amp;BasicInput!$D$8&amp;"_"&amp;CC1146&amp;".xuf"</f>
        <v>C:\PWWORKING\east01\d2591108\Basic\__2019EX_PM_.xuf</v>
      </c>
    </row>
    <row r="1147" spans="80:82" x14ac:dyDescent="0.2">
      <c r="CB1147" s="31" t="str">
        <f t="shared" si="42"/>
        <v xml:space="preserve">  </v>
      </c>
      <c r="CC1147" s="25" t="str">
        <f t="shared" si="43"/>
        <v/>
      </c>
      <c r="CD1147" s="25" t="str">
        <f>BasicInput!$D$13&amp;$CD$2&amp;B1147&amp;"_"&amp;C1147&amp;D1147&amp;"_"&amp;BasicInput!$D$7&amp;BasicInput!$D$8&amp;"_"&amp;CC1147&amp;".xuf"</f>
        <v>C:\PWWORKING\east01\d2591108\Basic\__2019EX_PM_.xuf</v>
      </c>
    </row>
    <row r="1148" spans="80:82" x14ac:dyDescent="0.2">
      <c r="CB1148" s="31" t="str">
        <f t="shared" si="42"/>
        <v xml:space="preserve">  </v>
      </c>
      <c r="CC1148" s="25" t="str">
        <f t="shared" si="43"/>
        <v/>
      </c>
      <c r="CD1148" s="25" t="str">
        <f>BasicInput!$D$13&amp;$CD$2&amp;B1148&amp;"_"&amp;C1148&amp;D1148&amp;"_"&amp;BasicInput!$D$7&amp;BasicInput!$D$8&amp;"_"&amp;CC1148&amp;".xuf"</f>
        <v>C:\PWWORKING\east01\d2591108\Basic\__2019EX_PM_.xuf</v>
      </c>
    </row>
    <row r="1149" spans="80:82" x14ac:dyDescent="0.2">
      <c r="CB1149" s="31" t="str">
        <f t="shared" si="42"/>
        <v xml:space="preserve">  </v>
      </c>
      <c r="CC1149" s="25" t="str">
        <f t="shared" si="43"/>
        <v/>
      </c>
      <c r="CD1149" s="25" t="str">
        <f>BasicInput!$D$13&amp;$CD$2&amp;B1149&amp;"_"&amp;C1149&amp;D1149&amp;"_"&amp;BasicInput!$D$7&amp;BasicInput!$D$8&amp;"_"&amp;CC1149&amp;".xuf"</f>
        <v>C:\PWWORKING\east01\d2591108\Basic\__2019EX_PM_.xuf</v>
      </c>
    </row>
    <row r="1150" spans="80:82" x14ac:dyDescent="0.2">
      <c r="CB1150" s="31" t="str">
        <f t="shared" si="42"/>
        <v xml:space="preserve">  </v>
      </c>
      <c r="CC1150" s="25" t="str">
        <f t="shared" si="43"/>
        <v/>
      </c>
      <c r="CD1150" s="25" t="str">
        <f>BasicInput!$D$13&amp;$CD$2&amp;B1150&amp;"_"&amp;C1150&amp;D1150&amp;"_"&amp;BasicInput!$D$7&amp;BasicInput!$D$8&amp;"_"&amp;CC1150&amp;".xuf"</f>
        <v>C:\PWWORKING\east01\d2591108\Basic\__2019EX_PM_.xuf</v>
      </c>
    </row>
    <row r="1151" spans="80:82" x14ac:dyDescent="0.2">
      <c r="CB1151" s="31" t="str">
        <f t="shared" si="42"/>
        <v xml:space="preserve">  </v>
      </c>
      <c r="CC1151" s="25" t="str">
        <f t="shared" si="43"/>
        <v/>
      </c>
      <c r="CD1151" s="25" t="str">
        <f>BasicInput!$D$13&amp;$CD$2&amp;B1151&amp;"_"&amp;C1151&amp;D1151&amp;"_"&amp;BasicInput!$D$7&amp;BasicInput!$D$8&amp;"_"&amp;CC1151&amp;".xuf"</f>
        <v>C:\PWWORKING\east01\d2591108\Basic\__2019EX_PM_.xuf</v>
      </c>
    </row>
    <row r="1152" spans="80:82" x14ac:dyDescent="0.2">
      <c r="CB1152" s="31" t="str">
        <f t="shared" si="42"/>
        <v xml:space="preserve">  </v>
      </c>
      <c r="CC1152" s="25" t="str">
        <f t="shared" si="43"/>
        <v/>
      </c>
      <c r="CD1152" s="25" t="str">
        <f>BasicInput!$D$13&amp;$CD$2&amp;B1152&amp;"_"&amp;C1152&amp;D1152&amp;"_"&amp;BasicInput!$D$7&amp;BasicInput!$D$8&amp;"_"&amp;CC1152&amp;".xuf"</f>
        <v>C:\PWWORKING\east01\d2591108\Basic\__2019EX_PM_.xuf</v>
      </c>
    </row>
    <row r="1153" spans="80:82" x14ac:dyDescent="0.2">
      <c r="CB1153" s="31" t="str">
        <f t="shared" si="42"/>
        <v xml:space="preserve">  </v>
      </c>
      <c r="CC1153" s="25" t="str">
        <f t="shared" si="43"/>
        <v/>
      </c>
      <c r="CD1153" s="25" t="str">
        <f>BasicInput!$D$13&amp;$CD$2&amp;B1153&amp;"_"&amp;C1153&amp;D1153&amp;"_"&amp;BasicInput!$D$7&amp;BasicInput!$D$8&amp;"_"&amp;CC1153&amp;".xuf"</f>
        <v>C:\PWWORKING\east01\d2591108\Basic\__2019EX_PM_.xuf</v>
      </c>
    </row>
    <row r="1154" spans="80:82" x14ac:dyDescent="0.2">
      <c r="CB1154" s="31" t="str">
        <f t="shared" si="42"/>
        <v xml:space="preserve">  </v>
      </c>
      <c r="CC1154" s="25" t="str">
        <f t="shared" si="43"/>
        <v/>
      </c>
      <c r="CD1154" s="25" t="str">
        <f>BasicInput!$D$13&amp;$CD$2&amp;B1154&amp;"_"&amp;C1154&amp;D1154&amp;"_"&amp;BasicInput!$D$7&amp;BasicInput!$D$8&amp;"_"&amp;CC1154&amp;".xuf"</f>
        <v>C:\PWWORKING\east01\d2591108\Basic\__2019EX_PM_.xuf</v>
      </c>
    </row>
    <row r="1155" spans="80:82" x14ac:dyDescent="0.2">
      <c r="CB1155" s="31" t="str">
        <f t="shared" si="42"/>
        <v xml:space="preserve">  </v>
      </c>
      <c r="CC1155" s="25" t="str">
        <f t="shared" si="43"/>
        <v/>
      </c>
      <c r="CD1155" s="25" t="str">
        <f>BasicInput!$D$13&amp;$CD$2&amp;B1155&amp;"_"&amp;C1155&amp;D1155&amp;"_"&amp;BasicInput!$D$7&amp;BasicInput!$D$8&amp;"_"&amp;CC1155&amp;".xuf"</f>
        <v>C:\PWWORKING\east01\d2591108\Basic\__2019EX_PM_.xuf</v>
      </c>
    </row>
    <row r="1156" spans="80:82" x14ac:dyDescent="0.2">
      <c r="CB1156" s="31" t="str">
        <f t="shared" si="42"/>
        <v xml:space="preserve">  </v>
      </c>
      <c r="CC1156" s="25" t="str">
        <f t="shared" si="43"/>
        <v/>
      </c>
      <c r="CD1156" s="25" t="str">
        <f>BasicInput!$D$13&amp;$CD$2&amp;B1156&amp;"_"&amp;C1156&amp;D1156&amp;"_"&amp;BasicInput!$D$7&amp;BasicInput!$D$8&amp;"_"&amp;CC1156&amp;".xuf"</f>
        <v>C:\PWWORKING\east01\d2591108\Basic\__2019EX_PM_.xuf</v>
      </c>
    </row>
    <row r="1157" spans="80:82" x14ac:dyDescent="0.2">
      <c r="CB1157" s="31" t="str">
        <f t="shared" si="42"/>
        <v xml:space="preserve">  </v>
      </c>
      <c r="CC1157" s="25" t="str">
        <f t="shared" si="43"/>
        <v/>
      </c>
      <c r="CD1157" s="25" t="str">
        <f>BasicInput!$D$13&amp;$CD$2&amp;B1157&amp;"_"&amp;C1157&amp;D1157&amp;"_"&amp;BasicInput!$D$7&amp;BasicInput!$D$8&amp;"_"&amp;CC1157&amp;".xuf"</f>
        <v>C:\PWWORKING\east01\d2591108\Basic\__2019EX_PM_.xuf</v>
      </c>
    </row>
    <row r="1158" spans="80:82" x14ac:dyDescent="0.2">
      <c r="CB1158" s="31" t="str">
        <f t="shared" si="42"/>
        <v xml:space="preserve">  </v>
      </c>
      <c r="CC1158" s="25" t="str">
        <f t="shared" si="43"/>
        <v/>
      </c>
      <c r="CD1158" s="25" t="str">
        <f>BasicInput!$D$13&amp;$CD$2&amp;B1158&amp;"_"&amp;C1158&amp;D1158&amp;"_"&amp;BasicInput!$D$7&amp;BasicInput!$D$8&amp;"_"&amp;CC1158&amp;".xuf"</f>
        <v>C:\PWWORKING\east01\d2591108\Basic\__2019EX_PM_.xuf</v>
      </c>
    </row>
    <row r="1159" spans="80:82" x14ac:dyDescent="0.2">
      <c r="CB1159" s="31" t="str">
        <f t="shared" si="42"/>
        <v xml:space="preserve">  </v>
      </c>
      <c r="CC1159" s="25" t="str">
        <f t="shared" si="43"/>
        <v/>
      </c>
      <c r="CD1159" s="25" t="str">
        <f>BasicInput!$D$13&amp;$CD$2&amp;B1159&amp;"_"&amp;C1159&amp;D1159&amp;"_"&amp;BasicInput!$D$7&amp;BasicInput!$D$8&amp;"_"&amp;CC1159&amp;".xuf"</f>
        <v>C:\PWWORKING\east01\d2591108\Basic\__2019EX_PM_.xuf</v>
      </c>
    </row>
    <row r="1160" spans="80:82" x14ac:dyDescent="0.2">
      <c r="CB1160" s="31" t="str">
        <f t="shared" si="42"/>
        <v xml:space="preserve">  </v>
      </c>
      <c r="CC1160" s="25" t="str">
        <f t="shared" si="43"/>
        <v/>
      </c>
      <c r="CD1160" s="25" t="str">
        <f>BasicInput!$D$13&amp;$CD$2&amp;B1160&amp;"_"&amp;C1160&amp;D1160&amp;"_"&amp;BasicInput!$D$7&amp;BasicInput!$D$8&amp;"_"&amp;CC1160&amp;".xuf"</f>
        <v>C:\PWWORKING\east01\d2591108\Basic\__2019EX_PM_.xuf</v>
      </c>
    </row>
    <row r="1161" spans="80:82" x14ac:dyDescent="0.2">
      <c r="CB1161" s="31" t="str">
        <f t="shared" si="42"/>
        <v xml:space="preserve">  </v>
      </c>
      <c r="CC1161" s="25" t="str">
        <f t="shared" si="43"/>
        <v/>
      </c>
      <c r="CD1161" s="25" t="str">
        <f>BasicInput!$D$13&amp;$CD$2&amp;B1161&amp;"_"&amp;C1161&amp;D1161&amp;"_"&amp;BasicInput!$D$7&amp;BasicInput!$D$8&amp;"_"&amp;CC1161&amp;".xuf"</f>
        <v>C:\PWWORKING\east01\d2591108\Basic\__2019EX_PM_.xuf</v>
      </c>
    </row>
    <row r="1162" spans="80:82" x14ac:dyDescent="0.2">
      <c r="CB1162" s="31" t="str">
        <f t="shared" si="42"/>
        <v xml:space="preserve">  </v>
      </c>
      <c r="CC1162" s="25" t="str">
        <f t="shared" si="43"/>
        <v/>
      </c>
      <c r="CD1162" s="25" t="str">
        <f>BasicInput!$D$13&amp;$CD$2&amp;B1162&amp;"_"&amp;C1162&amp;D1162&amp;"_"&amp;BasicInput!$D$7&amp;BasicInput!$D$8&amp;"_"&amp;CC1162&amp;".xuf"</f>
        <v>C:\PWWORKING\east01\d2591108\Basic\__2019EX_PM_.xuf</v>
      </c>
    </row>
    <row r="1163" spans="80:82" x14ac:dyDescent="0.2">
      <c r="CB1163" s="31" t="str">
        <f t="shared" si="42"/>
        <v xml:space="preserve">  </v>
      </c>
      <c r="CC1163" s="25" t="str">
        <f t="shared" si="43"/>
        <v/>
      </c>
      <c r="CD1163" s="25" t="str">
        <f>BasicInput!$D$13&amp;$CD$2&amp;B1163&amp;"_"&amp;C1163&amp;D1163&amp;"_"&amp;BasicInput!$D$7&amp;BasicInput!$D$8&amp;"_"&amp;CC1163&amp;".xuf"</f>
        <v>C:\PWWORKING\east01\d2591108\Basic\__2019EX_PM_.xuf</v>
      </c>
    </row>
    <row r="1164" spans="80:82" x14ac:dyDescent="0.2">
      <c r="CB1164" s="31" t="str">
        <f t="shared" si="42"/>
        <v xml:space="preserve">  </v>
      </c>
      <c r="CC1164" s="25" t="str">
        <f t="shared" si="43"/>
        <v/>
      </c>
      <c r="CD1164" s="25" t="str">
        <f>BasicInput!$D$13&amp;$CD$2&amp;B1164&amp;"_"&amp;C1164&amp;D1164&amp;"_"&amp;BasicInput!$D$7&amp;BasicInput!$D$8&amp;"_"&amp;CC1164&amp;".xuf"</f>
        <v>C:\PWWORKING\east01\d2591108\Basic\__2019EX_PM_.xuf</v>
      </c>
    </row>
    <row r="1165" spans="80:82" x14ac:dyDescent="0.2">
      <c r="CB1165" s="31" t="str">
        <f t="shared" si="42"/>
        <v xml:space="preserve">  </v>
      </c>
      <c r="CC1165" s="25" t="str">
        <f t="shared" si="43"/>
        <v/>
      </c>
      <c r="CD1165" s="25" t="str">
        <f>BasicInput!$D$13&amp;$CD$2&amp;B1165&amp;"_"&amp;C1165&amp;D1165&amp;"_"&amp;BasicInput!$D$7&amp;BasicInput!$D$8&amp;"_"&amp;CC1165&amp;".xuf"</f>
        <v>C:\PWWORKING\east01\d2591108\Basic\__2019EX_PM_.xuf</v>
      </c>
    </row>
    <row r="1166" spans="80:82" x14ac:dyDescent="0.2">
      <c r="CB1166" s="31" t="str">
        <f t="shared" si="42"/>
        <v xml:space="preserve">  </v>
      </c>
      <c r="CC1166" s="25" t="str">
        <f t="shared" si="43"/>
        <v/>
      </c>
      <c r="CD1166" s="25" t="str">
        <f>BasicInput!$D$13&amp;$CD$2&amp;B1166&amp;"_"&amp;C1166&amp;D1166&amp;"_"&amp;BasicInput!$D$7&amp;BasicInput!$D$8&amp;"_"&amp;CC1166&amp;".xuf"</f>
        <v>C:\PWWORKING\east01\d2591108\Basic\__2019EX_PM_.xuf</v>
      </c>
    </row>
    <row r="1167" spans="80:82" x14ac:dyDescent="0.2">
      <c r="CB1167" s="31" t="str">
        <f t="shared" si="42"/>
        <v xml:space="preserve">  </v>
      </c>
      <c r="CC1167" s="25" t="str">
        <f t="shared" si="43"/>
        <v/>
      </c>
      <c r="CD1167" s="25" t="str">
        <f>BasicInput!$D$13&amp;$CD$2&amp;B1167&amp;"_"&amp;C1167&amp;D1167&amp;"_"&amp;BasicInput!$D$7&amp;BasicInput!$D$8&amp;"_"&amp;CC1167&amp;".xuf"</f>
        <v>C:\PWWORKING\east01\d2591108\Basic\__2019EX_PM_.xuf</v>
      </c>
    </row>
    <row r="1168" spans="80:82" x14ac:dyDescent="0.2">
      <c r="CB1168" s="31" t="str">
        <f t="shared" si="42"/>
        <v xml:space="preserve">  </v>
      </c>
      <c r="CC1168" s="25" t="str">
        <f t="shared" si="43"/>
        <v/>
      </c>
      <c r="CD1168" s="25" t="str">
        <f>BasicInput!$D$13&amp;$CD$2&amp;B1168&amp;"_"&amp;C1168&amp;D1168&amp;"_"&amp;BasicInput!$D$7&amp;BasicInput!$D$8&amp;"_"&amp;CC1168&amp;".xuf"</f>
        <v>C:\PWWORKING\east01\d2591108\Basic\__2019EX_PM_.xuf</v>
      </c>
    </row>
    <row r="1169" spans="80:82" x14ac:dyDescent="0.2">
      <c r="CB1169" s="31" t="str">
        <f t="shared" ref="CB1169:CB1207" si="44">C1169&amp; " "&amp;D1169&amp;" " &amp;E1169</f>
        <v xml:space="preserve">  </v>
      </c>
      <c r="CC1169" s="25" t="str">
        <f t="shared" ref="CC1169:CC1207" si="45">SUBSTITUTE(E1169, "/", "_")</f>
        <v/>
      </c>
      <c r="CD1169" s="25" t="str">
        <f>BasicInput!$D$13&amp;$CD$2&amp;B1169&amp;"_"&amp;C1169&amp;D1169&amp;"_"&amp;BasicInput!$D$7&amp;BasicInput!$D$8&amp;"_"&amp;CC1169&amp;".xuf"</f>
        <v>C:\PWWORKING\east01\d2591108\Basic\__2019EX_PM_.xuf</v>
      </c>
    </row>
    <row r="1170" spans="80:82" x14ac:dyDescent="0.2">
      <c r="CB1170" s="31" t="str">
        <f t="shared" si="44"/>
        <v xml:space="preserve">  </v>
      </c>
      <c r="CC1170" s="25" t="str">
        <f t="shared" si="45"/>
        <v/>
      </c>
      <c r="CD1170" s="25" t="str">
        <f>BasicInput!$D$13&amp;$CD$2&amp;B1170&amp;"_"&amp;C1170&amp;D1170&amp;"_"&amp;BasicInput!$D$7&amp;BasicInput!$D$8&amp;"_"&amp;CC1170&amp;".xuf"</f>
        <v>C:\PWWORKING\east01\d2591108\Basic\__2019EX_PM_.xuf</v>
      </c>
    </row>
    <row r="1171" spans="80:82" x14ac:dyDescent="0.2">
      <c r="CB1171" s="31" t="str">
        <f t="shared" si="44"/>
        <v xml:space="preserve">  </v>
      </c>
      <c r="CC1171" s="25" t="str">
        <f t="shared" si="45"/>
        <v/>
      </c>
      <c r="CD1171" s="25" t="str">
        <f>BasicInput!$D$13&amp;$CD$2&amp;B1171&amp;"_"&amp;C1171&amp;D1171&amp;"_"&amp;BasicInput!$D$7&amp;BasicInput!$D$8&amp;"_"&amp;CC1171&amp;".xuf"</f>
        <v>C:\PWWORKING\east01\d2591108\Basic\__2019EX_PM_.xuf</v>
      </c>
    </row>
    <row r="1172" spans="80:82" x14ac:dyDescent="0.2">
      <c r="CB1172" s="31" t="str">
        <f t="shared" si="44"/>
        <v xml:space="preserve">  </v>
      </c>
      <c r="CC1172" s="25" t="str">
        <f t="shared" si="45"/>
        <v/>
      </c>
      <c r="CD1172" s="25" t="str">
        <f>BasicInput!$D$13&amp;$CD$2&amp;B1172&amp;"_"&amp;C1172&amp;D1172&amp;"_"&amp;BasicInput!$D$7&amp;BasicInput!$D$8&amp;"_"&amp;CC1172&amp;".xuf"</f>
        <v>C:\PWWORKING\east01\d2591108\Basic\__2019EX_PM_.xuf</v>
      </c>
    </row>
    <row r="1173" spans="80:82" x14ac:dyDescent="0.2">
      <c r="CB1173" s="31" t="str">
        <f t="shared" si="44"/>
        <v xml:space="preserve">  </v>
      </c>
      <c r="CC1173" s="25" t="str">
        <f t="shared" si="45"/>
        <v/>
      </c>
      <c r="CD1173" s="25" t="str">
        <f>BasicInput!$D$13&amp;$CD$2&amp;B1173&amp;"_"&amp;C1173&amp;D1173&amp;"_"&amp;BasicInput!$D$7&amp;BasicInput!$D$8&amp;"_"&amp;CC1173&amp;".xuf"</f>
        <v>C:\PWWORKING\east01\d2591108\Basic\__2019EX_PM_.xuf</v>
      </c>
    </row>
    <row r="1174" spans="80:82" x14ac:dyDescent="0.2">
      <c r="CB1174" s="31" t="str">
        <f t="shared" si="44"/>
        <v xml:space="preserve">  </v>
      </c>
      <c r="CC1174" s="25" t="str">
        <f t="shared" si="45"/>
        <v/>
      </c>
      <c r="CD1174" s="25" t="str">
        <f>BasicInput!$D$13&amp;$CD$2&amp;B1174&amp;"_"&amp;C1174&amp;D1174&amp;"_"&amp;BasicInput!$D$7&amp;BasicInput!$D$8&amp;"_"&amp;CC1174&amp;".xuf"</f>
        <v>C:\PWWORKING\east01\d2591108\Basic\__2019EX_PM_.xuf</v>
      </c>
    </row>
    <row r="1175" spans="80:82" x14ac:dyDescent="0.2">
      <c r="CB1175" s="31" t="str">
        <f t="shared" si="44"/>
        <v xml:space="preserve">  </v>
      </c>
      <c r="CC1175" s="25" t="str">
        <f t="shared" si="45"/>
        <v/>
      </c>
      <c r="CD1175" s="25" t="str">
        <f>BasicInput!$D$13&amp;$CD$2&amp;B1175&amp;"_"&amp;C1175&amp;D1175&amp;"_"&amp;BasicInput!$D$7&amp;BasicInput!$D$8&amp;"_"&amp;CC1175&amp;".xuf"</f>
        <v>C:\PWWORKING\east01\d2591108\Basic\__2019EX_PM_.xuf</v>
      </c>
    </row>
    <row r="1176" spans="80:82" x14ac:dyDescent="0.2">
      <c r="CB1176" s="31" t="str">
        <f t="shared" si="44"/>
        <v xml:space="preserve">  </v>
      </c>
      <c r="CC1176" s="25" t="str">
        <f t="shared" si="45"/>
        <v/>
      </c>
      <c r="CD1176" s="25" t="str">
        <f>BasicInput!$D$13&amp;$CD$2&amp;B1176&amp;"_"&amp;C1176&amp;D1176&amp;"_"&amp;BasicInput!$D$7&amp;BasicInput!$D$8&amp;"_"&amp;CC1176&amp;".xuf"</f>
        <v>C:\PWWORKING\east01\d2591108\Basic\__2019EX_PM_.xuf</v>
      </c>
    </row>
    <row r="1177" spans="80:82" x14ac:dyDescent="0.2">
      <c r="CB1177" s="31" t="str">
        <f t="shared" si="44"/>
        <v xml:space="preserve">  </v>
      </c>
      <c r="CC1177" s="25" t="str">
        <f t="shared" si="45"/>
        <v/>
      </c>
      <c r="CD1177" s="25" t="str">
        <f>BasicInput!$D$13&amp;$CD$2&amp;B1177&amp;"_"&amp;C1177&amp;D1177&amp;"_"&amp;BasicInput!$D$7&amp;BasicInput!$D$8&amp;"_"&amp;CC1177&amp;".xuf"</f>
        <v>C:\PWWORKING\east01\d2591108\Basic\__2019EX_PM_.xuf</v>
      </c>
    </row>
    <row r="1178" spans="80:82" x14ac:dyDescent="0.2">
      <c r="CB1178" s="31" t="str">
        <f t="shared" si="44"/>
        <v xml:space="preserve">  </v>
      </c>
      <c r="CC1178" s="25" t="str">
        <f t="shared" si="45"/>
        <v/>
      </c>
      <c r="CD1178" s="25" t="str">
        <f>BasicInput!$D$13&amp;$CD$2&amp;B1178&amp;"_"&amp;C1178&amp;D1178&amp;"_"&amp;BasicInput!$D$7&amp;BasicInput!$D$8&amp;"_"&amp;CC1178&amp;".xuf"</f>
        <v>C:\PWWORKING\east01\d2591108\Basic\__2019EX_PM_.xuf</v>
      </c>
    </row>
    <row r="1179" spans="80:82" x14ac:dyDescent="0.2">
      <c r="CB1179" s="31" t="str">
        <f t="shared" si="44"/>
        <v xml:space="preserve">  </v>
      </c>
      <c r="CC1179" s="25" t="str">
        <f t="shared" si="45"/>
        <v/>
      </c>
      <c r="CD1179" s="25" t="str">
        <f>BasicInput!$D$13&amp;$CD$2&amp;B1179&amp;"_"&amp;C1179&amp;D1179&amp;"_"&amp;BasicInput!$D$7&amp;BasicInput!$D$8&amp;"_"&amp;CC1179&amp;".xuf"</f>
        <v>C:\PWWORKING\east01\d2591108\Basic\__2019EX_PM_.xuf</v>
      </c>
    </row>
    <row r="1180" spans="80:82" x14ac:dyDescent="0.2">
      <c r="CB1180" s="31" t="str">
        <f t="shared" si="44"/>
        <v xml:space="preserve">  </v>
      </c>
      <c r="CC1180" s="25" t="str">
        <f t="shared" si="45"/>
        <v/>
      </c>
      <c r="CD1180" s="25" t="str">
        <f>BasicInput!$D$13&amp;$CD$2&amp;B1180&amp;"_"&amp;C1180&amp;D1180&amp;"_"&amp;BasicInput!$D$7&amp;BasicInput!$D$8&amp;"_"&amp;CC1180&amp;".xuf"</f>
        <v>C:\PWWORKING\east01\d2591108\Basic\__2019EX_PM_.xuf</v>
      </c>
    </row>
    <row r="1181" spans="80:82" x14ac:dyDescent="0.2">
      <c r="CB1181" s="31" t="str">
        <f t="shared" si="44"/>
        <v xml:space="preserve">  </v>
      </c>
      <c r="CC1181" s="25" t="str">
        <f t="shared" si="45"/>
        <v/>
      </c>
      <c r="CD1181" s="25" t="str">
        <f>BasicInput!$D$13&amp;$CD$2&amp;B1181&amp;"_"&amp;C1181&amp;D1181&amp;"_"&amp;BasicInput!$D$7&amp;BasicInput!$D$8&amp;"_"&amp;CC1181&amp;".xuf"</f>
        <v>C:\PWWORKING\east01\d2591108\Basic\__2019EX_PM_.xuf</v>
      </c>
    </row>
    <row r="1182" spans="80:82" x14ac:dyDescent="0.2">
      <c r="CB1182" s="31" t="str">
        <f t="shared" si="44"/>
        <v xml:space="preserve">  </v>
      </c>
      <c r="CC1182" s="25" t="str">
        <f t="shared" si="45"/>
        <v/>
      </c>
      <c r="CD1182" s="25" t="str">
        <f>BasicInput!$D$13&amp;$CD$2&amp;B1182&amp;"_"&amp;C1182&amp;D1182&amp;"_"&amp;BasicInput!$D$7&amp;BasicInput!$D$8&amp;"_"&amp;CC1182&amp;".xuf"</f>
        <v>C:\PWWORKING\east01\d2591108\Basic\__2019EX_PM_.xuf</v>
      </c>
    </row>
    <row r="1183" spans="80:82" x14ac:dyDescent="0.2">
      <c r="CB1183" s="31" t="str">
        <f t="shared" si="44"/>
        <v xml:space="preserve">  </v>
      </c>
      <c r="CC1183" s="25" t="str">
        <f t="shared" si="45"/>
        <v/>
      </c>
      <c r="CD1183" s="25" t="str">
        <f>BasicInput!$D$13&amp;$CD$2&amp;B1183&amp;"_"&amp;C1183&amp;D1183&amp;"_"&amp;BasicInput!$D$7&amp;BasicInput!$D$8&amp;"_"&amp;CC1183&amp;".xuf"</f>
        <v>C:\PWWORKING\east01\d2591108\Basic\__2019EX_PM_.xuf</v>
      </c>
    </row>
    <row r="1184" spans="80:82" x14ac:dyDescent="0.2">
      <c r="CB1184" s="31" t="str">
        <f t="shared" si="44"/>
        <v xml:space="preserve">  </v>
      </c>
      <c r="CC1184" s="25" t="str">
        <f t="shared" si="45"/>
        <v/>
      </c>
      <c r="CD1184" s="25" t="str">
        <f>BasicInput!$D$13&amp;$CD$2&amp;B1184&amp;"_"&amp;C1184&amp;D1184&amp;"_"&amp;BasicInput!$D$7&amp;BasicInput!$D$8&amp;"_"&amp;CC1184&amp;".xuf"</f>
        <v>C:\PWWORKING\east01\d2591108\Basic\__2019EX_PM_.xuf</v>
      </c>
    </row>
    <row r="1185" spans="80:82" x14ac:dyDescent="0.2">
      <c r="CB1185" s="31" t="str">
        <f t="shared" si="44"/>
        <v xml:space="preserve">  </v>
      </c>
      <c r="CC1185" s="25" t="str">
        <f t="shared" si="45"/>
        <v/>
      </c>
      <c r="CD1185" s="25" t="str">
        <f>BasicInput!$D$13&amp;$CD$2&amp;B1185&amp;"_"&amp;C1185&amp;D1185&amp;"_"&amp;BasicInput!$D$7&amp;BasicInput!$D$8&amp;"_"&amp;CC1185&amp;".xuf"</f>
        <v>C:\PWWORKING\east01\d2591108\Basic\__2019EX_PM_.xuf</v>
      </c>
    </row>
    <row r="1186" spans="80:82" x14ac:dyDescent="0.2">
      <c r="CB1186" s="31" t="str">
        <f t="shared" si="44"/>
        <v xml:space="preserve">  </v>
      </c>
      <c r="CC1186" s="25" t="str">
        <f t="shared" si="45"/>
        <v/>
      </c>
      <c r="CD1186" s="25" t="str">
        <f>BasicInput!$D$13&amp;$CD$2&amp;B1186&amp;"_"&amp;C1186&amp;D1186&amp;"_"&amp;BasicInput!$D$7&amp;BasicInput!$D$8&amp;"_"&amp;CC1186&amp;".xuf"</f>
        <v>C:\PWWORKING\east01\d2591108\Basic\__2019EX_PM_.xuf</v>
      </c>
    </row>
    <row r="1187" spans="80:82" x14ac:dyDescent="0.2">
      <c r="CB1187" s="31" t="str">
        <f t="shared" si="44"/>
        <v xml:space="preserve">  </v>
      </c>
      <c r="CC1187" s="25" t="str">
        <f t="shared" si="45"/>
        <v/>
      </c>
      <c r="CD1187" s="25" t="str">
        <f>BasicInput!$D$13&amp;$CD$2&amp;B1187&amp;"_"&amp;C1187&amp;D1187&amp;"_"&amp;BasicInput!$D$7&amp;BasicInput!$D$8&amp;"_"&amp;CC1187&amp;".xuf"</f>
        <v>C:\PWWORKING\east01\d2591108\Basic\__2019EX_PM_.xuf</v>
      </c>
    </row>
    <row r="1188" spans="80:82" x14ac:dyDescent="0.2">
      <c r="CB1188" s="31" t="str">
        <f t="shared" si="44"/>
        <v xml:space="preserve">  </v>
      </c>
      <c r="CC1188" s="25" t="str">
        <f t="shared" si="45"/>
        <v/>
      </c>
      <c r="CD1188" s="25" t="str">
        <f>BasicInput!$D$13&amp;$CD$2&amp;B1188&amp;"_"&amp;C1188&amp;D1188&amp;"_"&amp;BasicInput!$D$7&amp;BasicInput!$D$8&amp;"_"&amp;CC1188&amp;".xuf"</f>
        <v>C:\PWWORKING\east01\d2591108\Basic\__2019EX_PM_.xuf</v>
      </c>
    </row>
    <row r="1189" spans="80:82" x14ac:dyDescent="0.2">
      <c r="CB1189" s="31" t="str">
        <f t="shared" si="44"/>
        <v xml:space="preserve">  </v>
      </c>
      <c r="CC1189" s="25" t="str">
        <f t="shared" si="45"/>
        <v/>
      </c>
      <c r="CD1189" s="25" t="str">
        <f>BasicInput!$D$13&amp;$CD$2&amp;B1189&amp;"_"&amp;C1189&amp;D1189&amp;"_"&amp;BasicInput!$D$7&amp;BasicInput!$D$8&amp;"_"&amp;CC1189&amp;".xuf"</f>
        <v>C:\PWWORKING\east01\d2591108\Basic\__2019EX_PM_.xuf</v>
      </c>
    </row>
    <row r="1190" spans="80:82" x14ac:dyDescent="0.2">
      <c r="CB1190" s="31" t="str">
        <f t="shared" si="44"/>
        <v xml:space="preserve">  </v>
      </c>
      <c r="CC1190" s="25" t="str">
        <f t="shared" si="45"/>
        <v/>
      </c>
      <c r="CD1190" s="25" t="str">
        <f>BasicInput!$D$13&amp;$CD$2&amp;B1190&amp;"_"&amp;C1190&amp;D1190&amp;"_"&amp;BasicInput!$D$7&amp;BasicInput!$D$8&amp;"_"&amp;CC1190&amp;".xuf"</f>
        <v>C:\PWWORKING\east01\d2591108\Basic\__2019EX_PM_.xuf</v>
      </c>
    </row>
    <row r="1191" spans="80:82" x14ac:dyDescent="0.2">
      <c r="CB1191" s="31" t="str">
        <f t="shared" si="44"/>
        <v xml:space="preserve">  </v>
      </c>
      <c r="CC1191" s="25" t="str">
        <f t="shared" si="45"/>
        <v/>
      </c>
      <c r="CD1191" s="25" t="str">
        <f>BasicInput!$D$13&amp;$CD$2&amp;B1191&amp;"_"&amp;C1191&amp;D1191&amp;"_"&amp;BasicInput!$D$7&amp;BasicInput!$D$8&amp;"_"&amp;CC1191&amp;".xuf"</f>
        <v>C:\PWWORKING\east01\d2591108\Basic\__2019EX_PM_.xuf</v>
      </c>
    </row>
    <row r="1192" spans="80:82" x14ac:dyDescent="0.2">
      <c r="CB1192" s="31" t="str">
        <f t="shared" si="44"/>
        <v xml:space="preserve">  </v>
      </c>
      <c r="CC1192" s="25" t="str">
        <f t="shared" si="45"/>
        <v/>
      </c>
      <c r="CD1192" s="25" t="str">
        <f>BasicInput!$D$13&amp;$CD$2&amp;B1192&amp;"_"&amp;C1192&amp;D1192&amp;"_"&amp;BasicInput!$D$7&amp;BasicInput!$D$8&amp;"_"&amp;CC1192&amp;".xuf"</f>
        <v>C:\PWWORKING\east01\d2591108\Basic\__2019EX_PM_.xuf</v>
      </c>
    </row>
    <row r="1193" spans="80:82" x14ac:dyDescent="0.2">
      <c r="CB1193" s="31" t="str">
        <f t="shared" si="44"/>
        <v xml:space="preserve">  </v>
      </c>
      <c r="CC1193" s="25" t="str">
        <f t="shared" si="45"/>
        <v/>
      </c>
      <c r="CD1193" s="25" t="str">
        <f>BasicInput!$D$13&amp;$CD$2&amp;B1193&amp;"_"&amp;C1193&amp;D1193&amp;"_"&amp;BasicInput!$D$7&amp;BasicInput!$D$8&amp;"_"&amp;CC1193&amp;".xuf"</f>
        <v>C:\PWWORKING\east01\d2591108\Basic\__2019EX_PM_.xuf</v>
      </c>
    </row>
    <row r="1194" spans="80:82" x14ac:dyDescent="0.2">
      <c r="CB1194" s="31" t="str">
        <f t="shared" si="44"/>
        <v xml:space="preserve">  </v>
      </c>
      <c r="CC1194" s="25" t="str">
        <f t="shared" si="45"/>
        <v/>
      </c>
      <c r="CD1194" s="25" t="str">
        <f>BasicInput!$D$13&amp;$CD$2&amp;B1194&amp;"_"&amp;C1194&amp;D1194&amp;"_"&amp;BasicInput!$D$7&amp;BasicInput!$D$8&amp;"_"&amp;CC1194&amp;".xuf"</f>
        <v>C:\PWWORKING\east01\d2591108\Basic\__2019EX_PM_.xuf</v>
      </c>
    </row>
    <row r="1195" spans="80:82" x14ac:dyDescent="0.2">
      <c r="CB1195" s="31" t="str">
        <f t="shared" si="44"/>
        <v xml:space="preserve">  </v>
      </c>
      <c r="CC1195" s="25" t="str">
        <f t="shared" si="45"/>
        <v/>
      </c>
      <c r="CD1195" s="25" t="str">
        <f>BasicInput!$D$13&amp;$CD$2&amp;B1195&amp;"_"&amp;C1195&amp;D1195&amp;"_"&amp;BasicInput!$D$7&amp;BasicInput!$D$8&amp;"_"&amp;CC1195&amp;".xuf"</f>
        <v>C:\PWWORKING\east01\d2591108\Basic\__2019EX_PM_.xuf</v>
      </c>
    </row>
    <row r="1196" spans="80:82" x14ac:dyDescent="0.2">
      <c r="CB1196" s="31" t="str">
        <f t="shared" si="44"/>
        <v xml:space="preserve">  </v>
      </c>
      <c r="CC1196" s="25" t="str">
        <f t="shared" si="45"/>
        <v/>
      </c>
      <c r="CD1196" s="25" t="str">
        <f>BasicInput!$D$13&amp;$CD$2&amp;B1196&amp;"_"&amp;C1196&amp;D1196&amp;"_"&amp;BasicInput!$D$7&amp;BasicInput!$D$8&amp;"_"&amp;CC1196&amp;".xuf"</f>
        <v>C:\PWWORKING\east01\d2591108\Basic\__2019EX_PM_.xuf</v>
      </c>
    </row>
    <row r="1197" spans="80:82" x14ac:dyDescent="0.2">
      <c r="CB1197" s="31" t="str">
        <f t="shared" si="44"/>
        <v xml:space="preserve">  </v>
      </c>
      <c r="CC1197" s="25" t="str">
        <f t="shared" si="45"/>
        <v/>
      </c>
      <c r="CD1197" s="25" t="str">
        <f>BasicInput!$D$13&amp;$CD$2&amp;B1197&amp;"_"&amp;C1197&amp;D1197&amp;"_"&amp;BasicInput!$D$7&amp;BasicInput!$D$8&amp;"_"&amp;CC1197&amp;".xuf"</f>
        <v>C:\PWWORKING\east01\d2591108\Basic\__2019EX_PM_.xuf</v>
      </c>
    </row>
    <row r="1198" spans="80:82" x14ac:dyDescent="0.2">
      <c r="CB1198" s="31" t="str">
        <f t="shared" si="44"/>
        <v xml:space="preserve">  </v>
      </c>
      <c r="CC1198" s="25" t="str">
        <f t="shared" si="45"/>
        <v/>
      </c>
      <c r="CD1198" s="25" t="str">
        <f>BasicInput!$D$13&amp;$CD$2&amp;B1198&amp;"_"&amp;C1198&amp;D1198&amp;"_"&amp;BasicInput!$D$7&amp;BasicInput!$D$8&amp;"_"&amp;CC1198&amp;".xuf"</f>
        <v>C:\PWWORKING\east01\d2591108\Basic\__2019EX_PM_.xuf</v>
      </c>
    </row>
    <row r="1199" spans="80:82" x14ac:dyDescent="0.2">
      <c r="CB1199" s="31" t="str">
        <f t="shared" si="44"/>
        <v xml:space="preserve">  </v>
      </c>
      <c r="CC1199" s="25" t="str">
        <f t="shared" si="45"/>
        <v/>
      </c>
      <c r="CD1199" s="25" t="str">
        <f>BasicInput!$D$13&amp;$CD$2&amp;B1199&amp;"_"&amp;C1199&amp;D1199&amp;"_"&amp;BasicInput!$D$7&amp;BasicInput!$D$8&amp;"_"&amp;CC1199&amp;".xuf"</f>
        <v>C:\PWWORKING\east01\d2591108\Basic\__2019EX_PM_.xuf</v>
      </c>
    </row>
    <row r="1200" spans="80:82" x14ac:dyDescent="0.2">
      <c r="CB1200" s="31" t="str">
        <f t="shared" si="44"/>
        <v xml:space="preserve">  </v>
      </c>
      <c r="CC1200" s="25" t="str">
        <f t="shared" si="45"/>
        <v/>
      </c>
      <c r="CD1200" s="25" t="str">
        <f>BasicInput!$D$13&amp;$CD$2&amp;B1200&amp;"_"&amp;C1200&amp;D1200&amp;"_"&amp;BasicInput!$D$7&amp;BasicInput!$D$8&amp;"_"&amp;CC1200&amp;".xuf"</f>
        <v>C:\PWWORKING\east01\d2591108\Basic\__2019EX_PM_.xuf</v>
      </c>
    </row>
    <row r="1201" spans="80:82" x14ac:dyDescent="0.2">
      <c r="CB1201" s="31" t="str">
        <f t="shared" si="44"/>
        <v xml:space="preserve">  </v>
      </c>
      <c r="CC1201" s="25" t="str">
        <f t="shared" si="45"/>
        <v/>
      </c>
      <c r="CD1201" s="25" t="str">
        <f>BasicInput!$D$13&amp;$CD$2&amp;B1201&amp;"_"&amp;C1201&amp;D1201&amp;"_"&amp;BasicInput!$D$7&amp;BasicInput!$D$8&amp;"_"&amp;CC1201&amp;".xuf"</f>
        <v>C:\PWWORKING\east01\d2591108\Basic\__2019EX_PM_.xuf</v>
      </c>
    </row>
    <row r="1202" spans="80:82" x14ac:dyDescent="0.2">
      <c r="CB1202" s="31" t="str">
        <f t="shared" si="44"/>
        <v xml:space="preserve">  </v>
      </c>
      <c r="CC1202" s="25" t="str">
        <f t="shared" si="45"/>
        <v/>
      </c>
      <c r="CD1202" s="25" t="str">
        <f>BasicInput!$D$13&amp;$CD$2&amp;B1202&amp;"_"&amp;C1202&amp;D1202&amp;"_"&amp;BasicInput!$D$7&amp;BasicInput!$D$8&amp;"_"&amp;CC1202&amp;".xuf"</f>
        <v>C:\PWWORKING\east01\d2591108\Basic\__2019EX_PM_.xuf</v>
      </c>
    </row>
    <row r="1203" spans="80:82" x14ac:dyDescent="0.2">
      <c r="CB1203" s="31" t="str">
        <f t="shared" si="44"/>
        <v xml:space="preserve">  </v>
      </c>
      <c r="CC1203" s="25" t="str">
        <f t="shared" si="45"/>
        <v/>
      </c>
      <c r="CD1203" s="25" t="str">
        <f>BasicInput!$D$13&amp;$CD$2&amp;B1203&amp;"_"&amp;C1203&amp;D1203&amp;"_"&amp;BasicInput!$D$7&amp;BasicInput!$D$8&amp;"_"&amp;CC1203&amp;".xuf"</f>
        <v>C:\PWWORKING\east01\d2591108\Basic\__2019EX_PM_.xuf</v>
      </c>
    </row>
    <row r="1204" spans="80:82" x14ac:dyDescent="0.2">
      <c r="CB1204" s="31" t="str">
        <f t="shared" si="44"/>
        <v xml:space="preserve">  </v>
      </c>
      <c r="CC1204" s="25" t="str">
        <f t="shared" si="45"/>
        <v/>
      </c>
      <c r="CD1204" s="25" t="str">
        <f>BasicInput!$D$13&amp;$CD$2&amp;B1204&amp;"_"&amp;C1204&amp;D1204&amp;"_"&amp;BasicInput!$D$7&amp;BasicInput!$D$8&amp;"_"&amp;CC1204&amp;".xuf"</f>
        <v>C:\PWWORKING\east01\d2591108\Basic\__2019EX_PM_.xuf</v>
      </c>
    </row>
    <row r="1205" spans="80:82" x14ac:dyDescent="0.2">
      <c r="CB1205" s="31" t="str">
        <f t="shared" si="44"/>
        <v xml:space="preserve">  </v>
      </c>
      <c r="CC1205" s="25" t="str">
        <f t="shared" si="45"/>
        <v/>
      </c>
      <c r="CD1205" s="25" t="str">
        <f>BasicInput!$D$13&amp;$CD$2&amp;B1205&amp;"_"&amp;C1205&amp;D1205&amp;"_"&amp;BasicInput!$D$7&amp;BasicInput!$D$8&amp;"_"&amp;CC1205&amp;".xuf"</f>
        <v>C:\PWWORKING\east01\d2591108\Basic\__2019EX_PM_.xuf</v>
      </c>
    </row>
    <row r="1206" spans="80:82" x14ac:dyDescent="0.2">
      <c r="CB1206" s="31" t="str">
        <f t="shared" si="44"/>
        <v xml:space="preserve">  </v>
      </c>
      <c r="CC1206" s="25" t="str">
        <f t="shared" si="45"/>
        <v/>
      </c>
      <c r="CD1206" s="25" t="str">
        <f>BasicInput!$D$13&amp;$CD$2&amp;B1206&amp;"_"&amp;C1206&amp;D1206&amp;"_"&amp;BasicInput!$D$7&amp;BasicInput!$D$8&amp;"_"&amp;CC1206&amp;".xuf"</f>
        <v>C:\PWWORKING\east01\d2591108\Basic\__2019EX_PM_.xuf</v>
      </c>
    </row>
    <row r="1207" spans="80:82" x14ac:dyDescent="0.2">
      <c r="CB1207" s="31" t="str">
        <f t="shared" si="44"/>
        <v xml:space="preserve">  </v>
      </c>
      <c r="CC1207" s="25" t="str">
        <f t="shared" si="45"/>
        <v/>
      </c>
      <c r="CD1207" s="25" t="str">
        <f>BasicInput!$D$13&amp;$CD$2&amp;B1207&amp;"_"&amp;C1207&amp;D1207&amp;"_"&amp;BasicInput!$D$7&amp;BasicInput!$D$8&amp;"_"&amp;CC1207&amp;".xuf"</f>
        <v>C:\PWWORKING\east01\d2591108\Basic\__2019EX_PM_.xuf</v>
      </c>
    </row>
  </sheetData>
  <mergeCells count="11">
    <mergeCell ref="AL4:BB4"/>
    <mergeCell ref="AS5:AW5"/>
    <mergeCell ref="AY5:BB5"/>
    <mergeCell ref="BD5:BJ5"/>
    <mergeCell ref="AL5:AQ5"/>
    <mergeCell ref="BM5:BR5"/>
    <mergeCell ref="BT5:BY5"/>
    <mergeCell ref="F5:J5"/>
    <mergeCell ref="L5:V5"/>
    <mergeCell ref="X5:AB5"/>
    <mergeCell ref="AD5:AJ5"/>
  </mergeCells>
  <phoneticPr fontId="28" type="noConversion"/>
  <conditionalFormatting sqref="N7:N9 N11:N2922">
    <cfRule type="expression" dxfId="54" priority="41">
      <formula>$M7="No"</formula>
    </cfRule>
  </conditionalFormatting>
  <conditionalFormatting sqref="AL7:AQ9 AS7:AW9 AY7:BB9 AY11:BB19 AS11:AW19 AL11:AQ19">
    <cfRule type="expression" dxfId="53" priority="38">
      <formula>$V7&lt;&gt;"Yes"</formula>
    </cfRule>
  </conditionalFormatting>
  <conditionalFormatting sqref="BD7:BJ9 BD11:BJ19">
    <cfRule type="expression" dxfId="52" priority="33">
      <formula>$AJ7&lt;&gt;"Yes"</formula>
    </cfRule>
  </conditionalFormatting>
  <conditionalFormatting sqref="Z7:AA9 R7:S9 R11:S18 Z11:AA18">
    <cfRule type="expression" dxfId="51" priority="17">
      <formula>$Q7&lt;&gt;"Grade"</formula>
    </cfRule>
  </conditionalFormatting>
  <conditionalFormatting sqref="AP7:AQ9 AP11:AQ19">
    <cfRule type="expression" dxfId="50" priority="16">
      <formula>$AO7&lt;&gt;"Grade"</formula>
    </cfRule>
  </conditionalFormatting>
  <conditionalFormatting sqref="AU7:AV9 AU11:AV19">
    <cfRule type="expression" dxfId="49" priority="14">
      <formula>$AO7&lt;&gt;"Grade"</formula>
    </cfRule>
  </conditionalFormatting>
  <conditionalFormatting sqref="N10">
    <cfRule type="expression" dxfId="48" priority="6">
      <formula>$M10="No"</formula>
    </cfRule>
  </conditionalFormatting>
  <conditionalFormatting sqref="AL10:AQ10 AS10:AW10 AY10:BB10">
    <cfRule type="expression" dxfId="47" priority="5">
      <formula>$V10&lt;&gt;"Yes"</formula>
    </cfRule>
  </conditionalFormatting>
  <conditionalFormatting sqref="BD10:BJ10">
    <cfRule type="expression" dxfId="46" priority="4">
      <formula>$AJ10&lt;&gt;"Yes"</formula>
    </cfRule>
  </conditionalFormatting>
  <conditionalFormatting sqref="Z10:AA10 R10:S10">
    <cfRule type="expression" dxfId="45" priority="3">
      <formula>$Q10&lt;&gt;"Grade"</formula>
    </cfRule>
  </conditionalFormatting>
  <conditionalFormatting sqref="AP10:AQ10">
    <cfRule type="expression" dxfId="44" priority="2">
      <formula>$AO10&lt;&gt;"Grade"</formula>
    </cfRule>
  </conditionalFormatting>
  <conditionalFormatting sqref="AU10:AV10">
    <cfRule type="expression" dxfId="43" priority="1">
      <formula>$AO10&lt;&gt;"Grade"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CompileBasic_Click">
                <anchor moveWithCells="1" sizeWithCells="1">
                  <from>
                    <xdr:col>1</xdr:col>
                    <xdr:colOff>409575</xdr:colOff>
                    <xdr:row>0</xdr:row>
                    <xdr:rowOff>133350</xdr:rowOff>
                  </from>
                  <to>
                    <xdr:col>4</xdr:col>
                    <xdr:colOff>76200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000000-0002-0000-0100-000000000000}">
          <x14:formula1>
            <xm:f>DropDowns!$B$2:$B$3</xm:f>
          </x14:formula1>
          <xm:sqref>AJ7:AJ19 M7:M19 V7:V18</xm:sqref>
        </x14:dataValidation>
        <x14:dataValidation type="list" allowBlank="1" showInputMessage="1" showErrorMessage="1" xr:uid="{00000000-0002-0000-0100-000001000000}">
          <x14:formula1>
            <xm:f>DropDowns!$B$7:$B$9</xm:f>
          </x14:formula1>
          <xm:sqref>AO7:AO19 Q7:Q18</xm:sqref>
        </x14:dataValidation>
        <x14:dataValidation type="list" allowBlank="1" showInputMessage="1" showErrorMessage="1" xr:uid="{00000000-0002-0000-0100-000002000000}">
          <x14:formula1>
            <xm:f>DropDowns!$D$7:$D$11</xm:f>
          </x14:formula1>
          <xm:sqref>AD7:AD19 AY7:AY19</xm:sqref>
        </x14:dataValidation>
        <x14:dataValidation type="list" allowBlank="1" showInputMessage="1" showErrorMessage="1" xr:uid="{00000000-0002-0000-0100-000003000000}">
          <x14:formula1>
            <xm:f>DropDowns!$G$7:$G$17</xm:f>
          </x14:formula1>
          <xm:sqref>AE7:AE19</xm:sqref>
        </x14:dataValidation>
        <x14:dataValidation type="list" allowBlank="1" showInputMessage="1" showErrorMessage="1" xr:uid="{00000000-0002-0000-0100-000004000000}">
          <x14:formula1>
            <xm:f>DropDowns!$I$7:$I$8</xm:f>
          </x14:formula1>
          <xm:sqref>AF7:AF19</xm:sqref>
        </x14:dataValidation>
        <x14:dataValidation type="list" allowBlank="1" showInputMessage="1" showErrorMessage="1" xr:uid="{00000000-0002-0000-0100-000005000000}">
          <x14:formula1>
            <xm:f>DropDowns!$B$20:$B$22</xm:f>
          </x14:formula1>
          <xm:sqref>AM7:AM19</xm:sqref>
        </x14:dataValidation>
        <x14:dataValidation type="list" allowBlank="1" showInputMessage="1" showErrorMessage="1" xr:uid="{00000000-0002-0000-0100-000006000000}">
          <x14:formula1>
            <xm:f>DropDowns!$B$25</xm:f>
          </x14:formula1>
          <xm:sqref>BD7:BD19</xm:sqref>
        </x14:dataValidation>
        <x14:dataValidation type="list" allowBlank="1" showInputMessage="1" showErrorMessage="1" xr:uid="{00000000-0002-0000-0100-000007000000}">
          <x14:formula1>
            <xm:f>DropDowns!$D$25:$D$26</xm:f>
          </x14:formula1>
          <xm:sqref>BE7:BE19</xm:sqref>
        </x14:dataValidation>
        <x14:dataValidation type="list" allowBlank="1" showInputMessage="1" showErrorMessage="1" xr:uid="{00000000-0002-0000-0100-000008000000}">
          <x14:formula1>
            <xm:f>DropDowns!$F$25:$F$26</xm:f>
          </x14:formula1>
          <xm:sqref>BF7:BF19</xm:sqref>
        </x14:dataValidation>
        <x14:dataValidation type="list" allowBlank="1" showInputMessage="1" showErrorMessage="1" xr:uid="{00000000-0002-0000-0100-000009000000}">
          <x14:formula1>
            <xm:f>DropDowns!$H$25:$H$26</xm:f>
          </x14:formula1>
          <xm:sqref>BH7:BH19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L945"/>
  <sheetViews>
    <sheetView showGridLines="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N25" sqref="N25"/>
    </sheetView>
  </sheetViews>
  <sheetFormatPr defaultColWidth="9.140625" defaultRowHeight="12.75" x14ac:dyDescent="0.2"/>
  <cols>
    <col min="1" max="1" width="2.5703125" style="13" customWidth="1"/>
    <col min="2" max="4" width="6.85546875" style="14" customWidth="1"/>
    <col min="5" max="5" width="27.42578125" style="13" customWidth="1"/>
    <col min="6" max="10" width="0" style="13" hidden="1" customWidth="1"/>
    <col min="11" max="11" width="1.5703125" style="17" customWidth="1"/>
    <col min="12" max="12" width="8.42578125" style="14" customWidth="1"/>
    <col min="13" max="13" width="10.85546875" style="14" customWidth="1"/>
    <col min="14" max="14" width="9" style="14" customWidth="1"/>
    <col min="15" max="15" width="9.28515625" style="14" customWidth="1"/>
    <col min="16" max="16" width="8.28515625" style="14" customWidth="1"/>
    <col min="17" max="17" width="8.7109375" style="14" customWidth="1"/>
    <col min="18" max="18" width="10.85546875" style="14" customWidth="1"/>
    <col min="19" max="19" width="1.7109375" style="18" customWidth="1"/>
    <col min="20" max="20" width="7.140625" style="14" customWidth="1"/>
    <col min="21" max="23" width="8.140625" style="14" customWidth="1"/>
    <col min="24" max="24" width="6" style="14" customWidth="1"/>
    <col min="25" max="25" width="2.140625" style="18" customWidth="1"/>
    <col min="26" max="26" width="8.28515625" style="14" bestFit="1" customWidth="1"/>
    <col min="27" max="27" width="15.5703125" style="14" bestFit="1" customWidth="1"/>
    <col min="28" max="31" width="9.140625" style="14" customWidth="1"/>
    <col min="32" max="32" width="2.140625" style="18" customWidth="1"/>
    <col min="33" max="33" width="7.85546875" style="14" customWidth="1"/>
    <col min="34" max="34" width="12.85546875" style="14" customWidth="1"/>
    <col min="35" max="35" width="9.5703125" style="14" customWidth="1"/>
    <col min="36" max="36" width="7.85546875" style="14" customWidth="1"/>
    <col min="37" max="37" width="9" style="14" customWidth="1"/>
    <col min="38" max="38" width="8.42578125" style="14" customWidth="1"/>
    <col min="39" max="39" width="1.7109375" style="14" customWidth="1"/>
    <col min="40" max="41" width="7.140625" style="14" customWidth="1"/>
    <col min="42" max="42" width="7.85546875" style="14" customWidth="1"/>
    <col min="43" max="43" width="8.28515625" style="14" customWidth="1"/>
    <col min="44" max="44" width="7.140625" style="14" customWidth="1"/>
    <col min="45" max="45" width="1.85546875" style="14" customWidth="1"/>
    <col min="46" max="49" width="8.7109375" style="14" customWidth="1"/>
    <col min="50" max="50" width="2.5703125" style="13" customWidth="1"/>
    <col min="51" max="52" width="11.42578125" style="20" customWidth="1"/>
    <col min="53" max="53" width="6.85546875" style="14" customWidth="1"/>
    <col min="54" max="54" width="6" style="14" customWidth="1"/>
    <col min="55" max="55" width="8" style="14" customWidth="1"/>
    <col min="56" max="60" width="9.140625" style="14"/>
    <col min="61" max="61" width="1.85546875" style="14" customWidth="1"/>
    <col min="62" max="63" width="7.140625" style="14" customWidth="1"/>
    <col min="64" max="64" width="8.140625" style="14" customWidth="1"/>
    <col min="65" max="65" width="8.7109375" style="14" customWidth="1"/>
    <col min="66" max="66" width="7.140625" style="14" customWidth="1"/>
    <col min="67" max="67" width="1.85546875" style="14" customWidth="1"/>
    <col min="68" max="68" width="8" style="14" bestFit="1" customWidth="1"/>
    <col min="69" max="71" width="8.140625" style="14" bestFit="1" customWidth="1"/>
    <col min="72" max="72" width="1.85546875" style="14" customWidth="1"/>
    <col min="73" max="73" width="8.28515625" style="14" customWidth="1"/>
    <col min="74" max="74" width="8.85546875" style="14" customWidth="1"/>
    <col min="75" max="75" width="7" style="14" customWidth="1"/>
    <col min="76" max="76" width="6.7109375" style="14" customWidth="1"/>
    <col min="77" max="77" width="6.5703125" style="14" customWidth="1"/>
    <col min="78" max="78" width="6.140625" style="14" customWidth="1"/>
    <col min="79" max="79" width="1.85546875" style="14" customWidth="1"/>
    <col min="80" max="80" width="9.42578125" style="14" customWidth="1"/>
    <col min="81" max="81" width="8.85546875" style="14" customWidth="1"/>
    <col min="82" max="82" width="7" style="14" customWidth="1"/>
    <col min="83" max="83" width="6.7109375" style="14" customWidth="1"/>
    <col min="84" max="84" width="6.5703125" style="14" customWidth="1"/>
    <col min="85" max="85" width="6.140625" style="14" customWidth="1"/>
    <col min="86" max="86" width="1.85546875" style="14" customWidth="1"/>
    <col min="87" max="87" width="9.140625" style="14" customWidth="1"/>
    <col min="88" max="89" width="9.140625" style="14"/>
    <col min="90" max="90" width="2" style="36" customWidth="1"/>
    <col min="91" max="93" width="9.140625" style="14"/>
    <col min="94" max="94" width="2.42578125" style="14" customWidth="1"/>
    <col min="95" max="95" width="9.7109375" style="14" customWidth="1"/>
    <col min="96" max="96" width="9.42578125" style="14" customWidth="1"/>
    <col min="97" max="97" width="7" style="14" customWidth="1"/>
    <col min="98" max="98" width="9.5703125" style="14" customWidth="1"/>
    <col min="99" max="99" width="8.140625" style="14" customWidth="1"/>
    <col min="100" max="100" width="6.140625" style="14" customWidth="1"/>
    <col min="101" max="101" width="3" style="13" customWidth="1"/>
    <col min="102" max="102" width="8.85546875" style="13" customWidth="1"/>
    <col min="103" max="103" width="8" style="13" customWidth="1"/>
    <col min="104" max="104" width="5.5703125" style="13" customWidth="1"/>
    <col min="105" max="105" width="8.28515625" style="13" customWidth="1"/>
    <col min="106" max="106" width="7.7109375" style="13" customWidth="1"/>
    <col min="107" max="107" width="5.7109375" style="13" customWidth="1"/>
    <col min="108" max="108" width="5.140625" style="13" customWidth="1"/>
    <col min="109" max="16384" width="9.140625" style="13"/>
  </cols>
  <sheetData>
    <row r="1" spans="1:116" x14ac:dyDescent="0.2">
      <c r="A1" s="20"/>
      <c r="B1" s="21"/>
      <c r="C1" s="21"/>
      <c r="D1" s="21"/>
      <c r="E1" s="20"/>
      <c r="F1" s="20"/>
      <c r="G1" s="20"/>
      <c r="H1" s="20"/>
      <c r="I1" s="20"/>
      <c r="J1" s="20"/>
      <c r="K1" s="20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I1" s="21"/>
      <c r="BO1" s="21"/>
      <c r="BT1" s="21"/>
      <c r="CA1" s="21"/>
      <c r="CH1" s="21"/>
    </row>
    <row r="2" spans="1:116" x14ac:dyDescent="0.2">
      <c r="A2" s="20"/>
      <c r="B2" s="21"/>
      <c r="C2" s="21"/>
      <c r="D2" s="21"/>
      <c r="E2" s="20"/>
      <c r="F2" s="20"/>
      <c r="G2" s="20"/>
      <c r="H2" s="20"/>
      <c r="I2" s="20"/>
      <c r="J2" s="20"/>
      <c r="K2" s="20"/>
      <c r="L2" s="27" t="s">
        <v>83</v>
      </c>
      <c r="M2" s="27" t="s">
        <v>80</v>
      </c>
      <c r="N2" s="27" t="s">
        <v>161</v>
      </c>
      <c r="O2" s="27" t="s">
        <v>81</v>
      </c>
      <c r="P2" s="27" t="s">
        <v>266</v>
      </c>
      <c r="Q2" s="27" t="s">
        <v>269</v>
      </c>
      <c r="R2" s="27" t="s">
        <v>101</v>
      </c>
      <c r="S2" s="27"/>
      <c r="T2" s="27" t="s">
        <v>82</v>
      </c>
      <c r="U2" s="27" t="s">
        <v>85</v>
      </c>
      <c r="V2" s="27" t="s">
        <v>272</v>
      </c>
      <c r="W2" s="27" t="s">
        <v>273</v>
      </c>
      <c r="X2" s="27" t="s">
        <v>84</v>
      </c>
      <c r="Y2" s="27"/>
      <c r="Z2" s="27" t="s">
        <v>102</v>
      </c>
      <c r="AA2" s="27" t="s">
        <v>86</v>
      </c>
      <c r="AB2" s="27" t="s">
        <v>87</v>
      </c>
      <c r="AC2" s="27" t="s">
        <v>99</v>
      </c>
      <c r="AD2" s="27" t="s">
        <v>98</v>
      </c>
      <c r="AE2" s="27" t="s">
        <v>100</v>
      </c>
      <c r="AF2" s="27"/>
      <c r="AG2" s="27" t="s">
        <v>83</v>
      </c>
      <c r="AH2" s="27" t="s">
        <v>103</v>
      </c>
      <c r="AI2" s="27" t="s">
        <v>80</v>
      </c>
      <c r="AJ2" s="27" t="s">
        <v>81</v>
      </c>
      <c r="AK2" s="27" t="s">
        <v>266</v>
      </c>
      <c r="AL2" s="27" t="s">
        <v>269</v>
      </c>
      <c r="AM2" s="27"/>
      <c r="AN2" s="27" t="s">
        <v>82</v>
      </c>
      <c r="AO2" s="27" t="s">
        <v>85</v>
      </c>
      <c r="AP2" s="27" t="s">
        <v>272</v>
      </c>
      <c r="AQ2" s="27" t="s">
        <v>273</v>
      </c>
      <c r="AR2" s="27" t="s">
        <v>84</v>
      </c>
      <c r="AS2" s="27"/>
      <c r="AT2" s="27" t="s">
        <v>102</v>
      </c>
      <c r="AU2" s="27" t="s">
        <v>100</v>
      </c>
      <c r="AV2" s="27" t="s">
        <v>99</v>
      </c>
      <c r="AW2" s="27" t="s">
        <v>98</v>
      </c>
      <c r="AX2" s="27"/>
      <c r="AY2" s="27" t="s">
        <v>162</v>
      </c>
      <c r="AZ2" s="27" t="s">
        <v>167</v>
      </c>
      <c r="BA2" s="27" t="s">
        <v>83</v>
      </c>
      <c r="BB2" s="27" t="s">
        <v>80</v>
      </c>
      <c r="BC2" s="27" t="s">
        <v>163</v>
      </c>
      <c r="BD2" s="27" t="s">
        <v>81</v>
      </c>
      <c r="BE2" s="27" t="s">
        <v>266</v>
      </c>
      <c r="BF2" s="27" t="s">
        <v>269</v>
      </c>
      <c r="BG2" s="27" t="s">
        <v>164</v>
      </c>
      <c r="BH2" s="27" t="s">
        <v>165</v>
      </c>
      <c r="BI2" s="27"/>
      <c r="BJ2" s="27" t="s">
        <v>82</v>
      </c>
      <c r="BK2" s="27" t="s">
        <v>85</v>
      </c>
      <c r="BL2" s="27" t="s">
        <v>272</v>
      </c>
      <c r="BM2" s="27" t="s">
        <v>273</v>
      </c>
      <c r="BN2" s="27" t="s">
        <v>84</v>
      </c>
      <c r="BO2" s="27"/>
      <c r="BP2" s="27" t="s">
        <v>102</v>
      </c>
      <c r="BQ2" s="27" t="s">
        <v>99</v>
      </c>
      <c r="BR2" s="27" t="s">
        <v>98</v>
      </c>
      <c r="BS2" s="27" t="s">
        <v>100</v>
      </c>
      <c r="BT2" s="27"/>
      <c r="BU2" s="27" t="s">
        <v>168</v>
      </c>
      <c r="BV2" s="27" t="s">
        <v>170</v>
      </c>
      <c r="BW2" s="27" t="s">
        <v>172</v>
      </c>
      <c r="BX2" s="27" t="s">
        <v>174</v>
      </c>
      <c r="BY2" s="27" t="s">
        <v>175</v>
      </c>
      <c r="BZ2" s="27" t="s">
        <v>176</v>
      </c>
      <c r="CA2" s="27"/>
      <c r="CB2" s="27" t="s">
        <v>169</v>
      </c>
      <c r="CC2" s="27" t="s">
        <v>171</v>
      </c>
      <c r="CD2" s="27" t="s">
        <v>173</v>
      </c>
      <c r="CE2" s="27" t="s">
        <v>177</v>
      </c>
      <c r="CF2" s="27" t="s">
        <v>178</v>
      </c>
      <c r="CG2" s="27" t="s">
        <v>179</v>
      </c>
      <c r="CH2" s="27"/>
      <c r="CI2" s="27" t="s">
        <v>94</v>
      </c>
      <c r="CJ2" s="27" t="s">
        <v>180</v>
      </c>
      <c r="CK2" s="27" t="s">
        <v>92</v>
      </c>
      <c r="CL2" s="34"/>
      <c r="CM2" s="27" t="s">
        <v>94</v>
      </c>
      <c r="CN2" s="27" t="s">
        <v>180</v>
      </c>
      <c r="CO2" s="27" t="s">
        <v>92</v>
      </c>
      <c r="CP2" s="27"/>
      <c r="CQ2" s="27" t="s">
        <v>91</v>
      </c>
      <c r="CR2" s="27" t="s">
        <v>89</v>
      </c>
      <c r="CS2" s="27" t="s">
        <v>90</v>
      </c>
      <c r="CT2" s="27" t="s">
        <v>91</v>
      </c>
      <c r="CU2" s="27" t="s">
        <v>89</v>
      </c>
      <c r="CV2" s="27" t="s">
        <v>90</v>
      </c>
      <c r="CW2" s="27"/>
      <c r="CX2" s="27" t="s">
        <v>94</v>
      </c>
      <c r="CY2" s="27" t="s">
        <v>93</v>
      </c>
      <c r="CZ2" s="27" t="s">
        <v>92</v>
      </c>
      <c r="DA2" s="27" t="s">
        <v>91</v>
      </c>
      <c r="DB2" s="27" t="s">
        <v>89</v>
      </c>
      <c r="DC2" s="27" t="s">
        <v>90</v>
      </c>
      <c r="DD2" s="20"/>
      <c r="DE2" s="20"/>
      <c r="DF2" s="20" t="s">
        <v>131</v>
      </c>
      <c r="DG2" s="23"/>
      <c r="DH2" s="23" t="s">
        <v>159</v>
      </c>
      <c r="DI2" s="20"/>
      <c r="DJ2" s="20"/>
      <c r="DK2" s="20"/>
      <c r="DL2" s="20"/>
    </row>
    <row r="3" spans="1:116" x14ac:dyDescent="0.2">
      <c r="A3" s="20"/>
      <c r="B3" s="21"/>
      <c r="C3" s="21"/>
      <c r="D3" s="21"/>
      <c r="E3" s="20"/>
      <c r="F3" s="20"/>
      <c r="G3" s="20"/>
      <c r="H3" s="20"/>
      <c r="I3" s="20"/>
      <c r="J3" s="20"/>
      <c r="K3" s="20"/>
      <c r="L3" s="27">
        <f>IF(L2&lt;&gt;"", COLUMN(), "")</f>
        <v>12</v>
      </c>
      <c r="M3" s="27">
        <f t="shared" ref="M3:CH3" si="0">IF(M2&lt;&gt;"", COLUMN(), "")</f>
        <v>13</v>
      </c>
      <c r="N3" s="27">
        <f t="shared" si="0"/>
        <v>14</v>
      </c>
      <c r="O3" s="27">
        <f t="shared" si="0"/>
        <v>15</v>
      </c>
      <c r="P3" s="27">
        <f t="shared" si="0"/>
        <v>16</v>
      </c>
      <c r="Q3" s="27">
        <f t="shared" si="0"/>
        <v>17</v>
      </c>
      <c r="R3" s="27">
        <f t="shared" si="0"/>
        <v>18</v>
      </c>
      <c r="S3" s="27" t="str">
        <f t="shared" si="0"/>
        <v/>
      </c>
      <c r="T3" s="27">
        <f t="shared" si="0"/>
        <v>20</v>
      </c>
      <c r="U3" s="27">
        <f t="shared" si="0"/>
        <v>21</v>
      </c>
      <c r="V3" s="27">
        <f t="shared" si="0"/>
        <v>22</v>
      </c>
      <c r="W3" s="27">
        <f t="shared" si="0"/>
        <v>23</v>
      </c>
      <c r="X3" s="27">
        <f t="shared" si="0"/>
        <v>24</v>
      </c>
      <c r="Y3" s="27" t="str">
        <f t="shared" si="0"/>
        <v/>
      </c>
      <c r="Z3" s="27">
        <f t="shared" si="0"/>
        <v>26</v>
      </c>
      <c r="AA3" s="27">
        <f t="shared" si="0"/>
        <v>27</v>
      </c>
      <c r="AB3" s="27">
        <f t="shared" si="0"/>
        <v>28</v>
      </c>
      <c r="AC3" s="27">
        <f t="shared" si="0"/>
        <v>29</v>
      </c>
      <c r="AD3" s="27">
        <f t="shared" si="0"/>
        <v>30</v>
      </c>
      <c r="AE3" s="27">
        <f t="shared" si="0"/>
        <v>31</v>
      </c>
      <c r="AF3" s="27" t="str">
        <f t="shared" si="0"/>
        <v/>
      </c>
      <c r="AG3" s="27">
        <f t="shared" si="0"/>
        <v>33</v>
      </c>
      <c r="AH3" s="27">
        <f t="shared" si="0"/>
        <v>34</v>
      </c>
      <c r="AI3" s="27">
        <f t="shared" si="0"/>
        <v>35</v>
      </c>
      <c r="AJ3" s="27">
        <f t="shared" si="0"/>
        <v>36</v>
      </c>
      <c r="AK3" s="27">
        <f t="shared" si="0"/>
        <v>37</v>
      </c>
      <c r="AL3" s="27">
        <f t="shared" si="0"/>
        <v>38</v>
      </c>
      <c r="AM3" s="27" t="str">
        <f t="shared" si="0"/>
        <v/>
      </c>
      <c r="AN3" s="27">
        <f t="shared" si="0"/>
        <v>40</v>
      </c>
      <c r="AO3" s="27">
        <f t="shared" si="0"/>
        <v>41</v>
      </c>
      <c r="AP3" s="27">
        <f t="shared" si="0"/>
        <v>42</v>
      </c>
      <c r="AQ3" s="27">
        <f t="shared" si="0"/>
        <v>43</v>
      </c>
      <c r="AR3" s="27">
        <f t="shared" si="0"/>
        <v>44</v>
      </c>
      <c r="AS3" s="27" t="str">
        <f t="shared" si="0"/>
        <v/>
      </c>
      <c r="AT3" s="27">
        <f t="shared" si="0"/>
        <v>46</v>
      </c>
      <c r="AU3" s="27">
        <f t="shared" si="0"/>
        <v>47</v>
      </c>
      <c r="AV3" s="27">
        <f t="shared" si="0"/>
        <v>48</v>
      </c>
      <c r="AW3" s="27">
        <f t="shared" si="0"/>
        <v>49</v>
      </c>
      <c r="AX3" s="27" t="str">
        <f>IF(AX2&lt;&gt;"", COLUMN(), "")</f>
        <v/>
      </c>
      <c r="AY3" s="27">
        <f t="shared" si="0"/>
        <v>51</v>
      </c>
      <c r="AZ3" s="27">
        <f t="shared" si="0"/>
        <v>52</v>
      </c>
      <c r="BA3" s="27">
        <f t="shared" si="0"/>
        <v>53</v>
      </c>
      <c r="BB3" s="27">
        <f t="shared" si="0"/>
        <v>54</v>
      </c>
      <c r="BC3" s="27">
        <f t="shared" si="0"/>
        <v>55</v>
      </c>
      <c r="BD3" s="27">
        <f t="shared" si="0"/>
        <v>56</v>
      </c>
      <c r="BE3" s="27">
        <f t="shared" si="0"/>
        <v>57</v>
      </c>
      <c r="BF3" s="27">
        <f t="shared" si="0"/>
        <v>58</v>
      </c>
      <c r="BG3" s="27">
        <f t="shared" si="0"/>
        <v>59</v>
      </c>
      <c r="BH3" s="27">
        <f t="shared" si="0"/>
        <v>60</v>
      </c>
      <c r="BI3" s="27" t="str">
        <f t="shared" si="0"/>
        <v/>
      </c>
      <c r="BJ3" s="27">
        <f t="shared" si="0"/>
        <v>62</v>
      </c>
      <c r="BK3" s="27">
        <f t="shared" si="0"/>
        <v>63</v>
      </c>
      <c r="BL3" s="27">
        <f t="shared" si="0"/>
        <v>64</v>
      </c>
      <c r="BM3" s="27">
        <f t="shared" si="0"/>
        <v>65</v>
      </c>
      <c r="BN3" s="27">
        <f t="shared" si="0"/>
        <v>66</v>
      </c>
      <c r="BO3" s="27" t="str">
        <f t="shared" si="0"/>
        <v/>
      </c>
      <c r="BP3" s="27">
        <f t="shared" si="0"/>
        <v>68</v>
      </c>
      <c r="BQ3" s="27">
        <f t="shared" si="0"/>
        <v>69</v>
      </c>
      <c r="BR3" s="27">
        <f t="shared" si="0"/>
        <v>70</v>
      </c>
      <c r="BS3" s="27">
        <f t="shared" si="0"/>
        <v>71</v>
      </c>
      <c r="BT3" s="27" t="str">
        <f t="shared" si="0"/>
        <v/>
      </c>
      <c r="BU3" s="27">
        <f t="shared" si="0"/>
        <v>73</v>
      </c>
      <c r="BV3" s="27">
        <f t="shared" si="0"/>
        <v>74</v>
      </c>
      <c r="BW3" s="27">
        <f t="shared" si="0"/>
        <v>75</v>
      </c>
      <c r="BX3" s="27">
        <f t="shared" si="0"/>
        <v>76</v>
      </c>
      <c r="BY3" s="27">
        <f t="shared" si="0"/>
        <v>77</v>
      </c>
      <c r="BZ3" s="27">
        <f t="shared" si="0"/>
        <v>78</v>
      </c>
      <c r="CA3" s="27" t="str">
        <f t="shared" si="0"/>
        <v/>
      </c>
      <c r="CB3" s="27">
        <f t="shared" si="0"/>
        <v>80</v>
      </c>
      <c r="CC3" s="27">
        <f t="shared" si="0"/>
        <v>81</v>
      </c>
      <c r="CD3" s="27">
        <f t="shared" si="0"/>
        <v>82</v>
      </c>
      <c r="CE3" s="27">
        <f t="shared" si="0"/>
        <v>83</v>
      </c>
      <c r="CF3" s="27">
        <f t="shared" si="0"/>
        <v>84</v>
      </c>
      <c r="CG3" s="27">
        <f t="shared" si="0"/>
        <v>85</v>
      </c>
      <c r="CH3" s="27" t="str">
        <f t="shared" si="0"/>
        <v/>
      </c>
      <c r="CI3" s="27">
        <f t="shared" ref="CI3:DH3" si="1">IF(CI2&lt;&gt;"", COLUMN(), "")</f>
        <v>87</v>
      </c>
      <c r="CJ3" s="27">
        <f t="shared" si="1"/>
        <v>88</v>
      </c>
      <c r="CK3" s="27">
        <f t="shared" si="1"/>
        <v>89</v>
      </c>
      <c r="CL3" s="34"/>
      <c r="CM3" s="27">
        <f t="shared" si="1"/>
        <v>91</v>
      </c>
      <c r="CN3" s="27">
        <f t="shared" si="1"/>
        <v>92</v>
      </c>
      <c r="CO3" s="27">
        <f t="shared" si="1"/>
        <v>93</v>
      </c>
      <c r="CP3" s="27" t="str">
        <f t="shared" si="1"/>
        <v/>
      </c>
      <c r="CQ3" s="27">
        <f t="shared" si="1"/>
        <v>95</v>
      </c>
      <c r="CR3" s="27">
        <f t="shared" si="1"/>
        <v>96</v>
      </c>
      <c r="CS3" s="27">
        <f t="shared" si="1"/>
        <v>97</v>
      </c>
      <c r="CT3" s="27">
        <f t="shared" si="1"/>
        <v>98</v>
      </c>
      <c r="CU3" s="27">
        <f t="shared" si="1"/>
        <v>99</v>
      </c>
      <c r="CV3" s="27">
        <f t="shared" si="1"/>
        <v>100</v>
      </c>
      <c r="CW3" s="27" t="str">
        <f t="shared" si="1"/>
        <v/>
      </c>
      <c r="CX3" s="27">
        <f t="shared" si="1"/>
        <v>102</v>
      </c>
      <c r="CY3" s="27">
        <f t="shared" si="1"/>
        <v>103</v>
      </c>
      <c r="CZ3" s="27">
        <f t="shared" si="1"/>
        <v>104</v>
      </c>
      <c r="DA3" s="27">
        <f t="shared" si="1"/>
        <v>105</v>
      </c>
      <c r="DB3" s="27">
        <f t="shared" si="1"/>
        <v>106</v>
      </c>
      <c r="DC3" s="27">
        <f t="shared" si="1"/>
        <v>107</v>
      </c>
      <c r="DD3" s="27" t="str">
        <f t="shared" si="1"/>
        <v/>
      </c>
      <c r="DE3" s="27" t="str">
        <f t="shared" si="1"/>
        <v/>
      </c>
      <c r="DF3" s="27">
        <f t="shared" si="1"/>
        <v>110</v>
      </c>
      <c r="DG3" s="27" t="str">
        <f t="shared" si="1"/>
        <v/>
      </c>
      <c r="DH3" s="27">
        <f t="shared" si="1"/>
        <v>112</v>
      </c>
      <c r="DI3" s="20"/>
      <c r="DJ3" s="20"/>
      <c r="DK3" s="20"/>
      <c r="DL3" s="20"/>
    </row>
    <row r="4" spans="1:116" x14ac:dyDescent="0.2">
      <c r="A4" s="20"/>
      <c r="B4" s="21"/>
      <c r="C4" s="21"/>
      <c r="D4" s="21"/>
      <c r="E4" s="20"/>
      <c r="F4" s="20"/>
      <c r="G4" s="20"/>
      <c r="H4" s="20"/>
      <c r="I4" s="20"/>
      <c r="J4" s="20"/>
      <c r="K4" s="20"/>
      <c r="L4" s="160" t="s">
        <v>135</v>
      </c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21"/>
      <c r="AY4" s="21"/>
      <c r="AZ4" s="21"/>
      <c r="CI4" s="27"/>
      <c r="CJ4" s="27"/>
      <c r="CK4" s="27"/>
      <c r="CL4" s="34"/>
      <c r="CM4" s="27"/>
      <c r="CN4" s="27"/>
      <c r="CO4" s="27"/>
      <c r="CP4" s="27"/>
      <c r="CR4" s="27"/>
      <c r="CS4" s="27"/>
      <c r="CT4" s="27"/>
      <c r="CU4" s="27"/>
      <c r="CV4" s="27"/>
      <c r="CW4" s="27"/>
      <c r="CX4" s="27"/>
      <c r="CY4" s="27"/>
      <c r="CZ4" s="27"/>
      <c r="DA4" s="27"/>
      <c r="DB4" s="27"/>
      <c r="DC4" s="27"/>
      <c r="DD4" s="27"/>
      <c r="DE4" s="27"/>
      <c r="DF4" s="27"/>
      <c r="DG4" s="23"/>
      <c r="DH4" s="23"/>
      <c r="DI4" s="20"/>
      <c r="DJ4" s="20"/>
      <c r="DK4" s="20"/>
      <c r="DL4" s="20"/>
    </row>
    <row r="5" spans="1:116" x14ac:dyDescent="0.2">
      <c r="A5" s="20"/>
      <c r="B5" s="21"/>
      <c r="C5" s="21"/>
      <c r="D5" s="21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158" t="s">
        <v>35</v>
      </c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21"/>
      <c r="AY5" s="21"/>
      <c r="AZ5" s="21"/>
      <c r="BA5" s="161" t="s">
        <v>136</v>
      </c>
      <c r="BB5" s="161"/>
      <c r="BC5" s="161"/>
      <c r="BD5" s="161"/>
      <c r="BE5" s="161"/>
      <c r="BF5" s="161"/>
      <c r="BG5" s="161"/>
      <c r="BH5" s="161"/>
      <c r="BI5" s="158"/>
      <c r="BJ5" s="158"/>
      <c r="BK5" s="158"/>
      <c r="BL5" s="158"/>
      <c r="BM5" s="158"/>
      <c r="BN5" s="158"/>
      <c r="BO5" s="158"/>
      <c r="BP5" s="158"/>
      <c r="BQ5" s="158"/>
      <c r="BR5" s="158"/>
      <c r="BS5" s="158"/>
      <c r="BT5" s="158"/>
      <c r="BU5" s="158"/>
      <c r="BV5" s="158"/>
      <c r="BW5" s="158"/>
      <c r="BX5" s="158"/>
      <c r="BY5" s="158"/>
      <c r="BZ5" s="158"/>
      <c r="CA5" s="158"/>
      <c r="CB5" s="158"/>
      <c r="CC5" s="158"/>
      <c r="CD5" s="158"/>
      <c r="CE5" s="158"/>
      <c r="CF5" s="158"/>
      <c r="CG5" s="158"/>
      <c r="CH5" s="13"/>
      <c r="CI5" s="21"/>
      <c r="CJ5" s="21"/>
      <c r="CK5" s="21"/>
      <c r="CL5" s="45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0"/>
      <c r="DE5" s="20"/>
      <c r="DF5" s="20"/>
      <c r="DG5" s="23"/>
      <c r="DH5" s="23"/>
      <c r="DI5" s="20"/>
      <c r="DJ5" s="20"/>
      <c r="DK5" s="20"/>
      <c r="DL5" s="20"/>
    </row>
    <row r="6" spans="1:116" ht="15.75" customHeight="1" thickBot="1" x14ac:dyDescent="0.25">
      <c r="A6" s="20"/>
      <c r="B6" s="21"/>
      <c r="C6" s="21"/>
      <c r="D6" s="21"/>
      <c r="E6" s="20"/>
      <c r="F6" s="158" t="s">
        <v>27</v>
      </c>
      <c r="G6" s="158"/>
      <c r="H6" s="158"/>
      <c r="I6" s="158"/>
      <c r="J6" s="158"/>
      <c r="K6" s="21"/>
      <c r="L6" s="158" t="s">
        <v>29</v>
      </c>
      <c r="M6" s="158"/>
      <c r="N6" s="158"/>
      <c r="O6" s="158"/>
      <c r="P6" s="158"/>
      <c r="Q6" s="158"/>
      <c r="R6" s="158"/>
      <c r="S6" s="21"/>
      <c r="T6" s="158" t="s">
        <v>36</v>
      </c>
      <c r="U6" s="158"/>
      <c r="V6" s="158"/>
      <c r="W6" s="158"/>
      <c r="X6" s="158"/>
      <c r="Y6" s="21"/>
      <c r="Z6" s="158" t="s">
        <v>40</v>
      </c>
      <c r="AA6" s="158"/>
      <c r="AB6" s="158"/>
      <c r="AC6" s="158"/>
      <c r="AD6" s="158"/>
      <c r="AE6" s="158"/>
      <c r="AF6" s="21"/>
      <c r="AG6" s="159" t="s">
        <v>29</v>
      </c>
      <c r="AH6" s="159"/>
      <c r="AI6" s="159"/>
      <c r="AJ6" s="159"/>
      <c r="AK6" s="159"/>
      <c r="AL6" s="159"/>
      <c r="AM6" s="21"/>
      <c r="AN6" s="158" t="s">
        <v>36</v>
      </c>
      <c r="AO6" s="158"/>
      <c r="AP6" s="158"/>
      <c r="AQ6" s="158"/>
      <c r="AR6" s="158"/>
      <c r="AS6" s="21"/>
      <c r="AT6" s="158" t="s">
        <v>40</v>
      </c>
      <c r="AU6" s="158"/>
      <c r="AV6" s="158"/>
      <c r="AW6" s="158"/>
      <c r="AX6" s="21"/>
      <c r="AY6" s="159" t="s">
        <v>29</v>
      </c>
      <c r="AZ6" s="159"/>
      <c r="BA6" s="159"/>
      <c r="BB6" s="159"/>
      <c r="BC6" s="159"/>
      <c r="BD6" s="159"/>
      <c r="BE6" s="159"/>
      <c r="BF6" s="159"/>
      <c r="BG6" s="159"/>
      <c r="BH6" s="159"/>
      <c r="BI6" s="21"/>
      <c r="BJ6" s="158" t="s">
        <v>36</v>
      </c>
      <c r="BK6" s="158"/>
      <c r="BL6" s="158"/>
      <c r="BM6" s="158"/>
      <c r="BN6" s="158"/>
      <c r="BO6" s="21"/>
      <c r="BP6" s="158" t="s">
        <v>40</v>
      </c>
      <c r="BQ6" s="158"/>
      <c r="BR6" s="158"/>
      <c r="BS6" s="158"/>
      <c r="BT6" s="21"/>
      <c r="BU6" s="158" t="s">
        <v>142</v>
      </c>
      <c r="BV6" s="158"/>
      <c r="BW6" s="158"/>
      <c r="BX6" s="158"/>
      <c r="BY6" s="158"/>
      <c r="BZ6" s="158"/>
      <c r="CA6" s="21"/>
      <c r="CB6" s="158" t="s">
        <v>145</v>
      </c>
      <c r="CC6" s="158"/>
      <c r="CD6" s="158"/>
      <c r="CE6" s="158"/>
      <c r="CF6" s="158"/>
      <c r="CG6" s="158"/>
      <c r="CH6" s="21"/>
      <c r="CI6" s="157" t="s">
        <v>152</v>
      </c>
      <c r="CJ6" s="157"/>
      <c r="CK6" s="157"/>
      <c r="CL6" s="45"/>
      <c r="CM6" s="157" t="s">
        <v>155</v>
      </c>
      <c r="CN6" s="157"/>
      <c r="CO6" s="157"/>
      <c r="CP6" s="21"/>
      <c r="CQ6" s="157" t="s">
        <v>181</v>
      </c>
      <c r="CR6" s="157"/>
      <c r="CS6" s="157"/>
      <c r="CT6" s="157" t="s">
        <v>182</v>
      </c>
      <c r="CU6" s="157"/>
      <c r="CV6" s="157"/>
      <c r="CW6" s="21"/>
      <c r="CX6" s="157" t="s">
        <v>75</v>
      </c>
      <c r="CY6" s="157"/>
      <c r="CZ6" s="157"/>
      <c r="DA6" s="157"/>
      <c r="DB6" s="157"/>
      <c r="DC6" s="157"/>
      <c r="DD6" s="20"/>
      <c r="DE6" s="20"/>
      <c r="DF6" s="20"/>
      <c r="DG6" s="23"/>
      <c r="DH6" s="23"/>
      <c r="DI6" s="20"/>
      <c r="DJ6" s="20"/>
      <c r="DK6" s="20"/>
      <c r="DL6" s="15"/>
    </row>
    <row r="7" spans="1:116" ht="39.75" customHeight="1" thickBot="1" x14ac:dyDescent="0.25">
      <c r="A7" s="15"/>
      <c r="B7" s="16" t="s">
        <v>21</v>
      </c>
      <c r="C7" s="16" t="s">
        <v>78</v>
      </c>
      <c r="D7" s="16" t="s">
        <v>79</v>
      </c>
      <c r="E7" s="16" t="s">
        <v>132</v>
      </c>
      <c r="F7" s="16" t="s">
        <v>22</v>
      </c>
      <c r="G7" s="16" t="s">
        <v>23</v>
      </c>
      <c r="H7" s="16" t="s">
        <v>24</v>
      </c>
      <c r="I7" s="16" t="s">
        <v>25</v>
      </c>
      <c r="J7" s="16" t="s">
        <v>26</v>
      </c>
      <c r="K7" s="19"/>
      <c r="L7" s="16" t="s">
        <v>133</v>
      </c>
      <c r="M7" s="16" t="s">
        <v>49</v>
      </c>
      <c r="N7" s="16" t="s">
        <v>134</v>
      </c>
      <c r="O7" s="16" t="s">
        <v>32</v>
      </c>
      <c r="P7" s="16" t="s">
        <v>267</v>
      </c>
      <c r="Q7" s="16" t="s">
        <v>268</v>
      </c>
      <c r="R7" s="16" t="s">
        <v>35</v>
      </c>
      <c r="S7" s="19"/>
      <c r="T7" s="16" t="s">
        <v>37</v>
      </c>
      <c r="U7" s="16" t="s">
        <v>38</v>
      </c>
      <c r="V7" s="16" t="s">
        <v>270</v>
      </c>
      <c r="W7" s="16" t="s">
        <v>271</v>
      </c>
      <c r="X7" s="16" t="s">
        <v>39</v>
      </c>
      <c r="Y7" s="19"/>
      <c r="Z7" s="16" t="s">
        <v>41</v>
      </c>
      <c r="AA7" s="16" t="s">
        <v>42</v>
      </c>
      <c r="AB7" s="16" t="s">
        <v>43</v>
      </c>
      <c r="AC7" s="16" t="s">
        <v>44</v>
      </c>
      <c r="AD7" s="16" t="s">
        <v>45</v>
      </c>
      <c r="AE7" s="16" t="s">
        <v>46</v>
      </c>
      <c r="AF7" s="19"/>
      <c r="AG7" s="16" t="s">
        <v>50</v>
      </c>
      <c r="AH7" s="16" t="s">
        <v>51</v>
      </c>
      <c r="AI7" s="16" t="s">
        <v>49</v>
      </c>
      <c r="AJ7" s="16" t="s">
        <v>32</v>
      </c>
      <c r="AK7" s="16" t="s">
        <v>267</v>
      </c>
      <c r="AL7" s="16" t="s">
        <v>268</v>
      </c>
      <c r="AM7" s="19"/>
      <c r="AN7" s="16" t="s">
        <v>52</v>
      </c>
      <c r="AO7" s="16" t="s">
        <v>53</v>
      </c>
      <c r="AP7" s="16" t="s">
        <v>270</v>
      </c>
      <c r="AQ7" s="16" t="s">
        <v>271</v>
      </c>
      <c r="AR7" s="16" t="s">
        <v>39</v>
      </c>
      <c r="AS7" s="19"/>
      <c r="AT7" s="16" t="s">
        <v>41</v>
      </c>
      <c r="AU7" s="16" t="s">
        <v>46</v>
      </c>
      <c r="AV7" s="16" t="s">
        <v>44</v>
      </c>
      <c r="AW7" s="16" t="s">
        <v>45</v>
      </c>
      <c r="AX7" s="19"/>
      <c r="AY7" s="32" t="s">
        <v>160</v>
      </c>
      <c r="AZ7" s="32" t="s">
        <v>166</v>
      </c>
      <c r="BA7" s="32" t="s">
        <v>83</v>
      </c>
      <c r="BB7" s="32" t="s">
        <v>138</v>
      </c>
      <c r="BC7" s="32" t="s">
        <v>139</v>
      </c>
      <c r="BD7" s="32" t="s">
        <v>81</v>
      </c>
      <c r="BE7" s="16" t="s">
        <v>267</v>
      </c>
      <c r="BF7" s="16" t="s">
        <v>268</v>
      </c>
      <c r="BG7" s="32" t="s">
        <v>140</v>
      </c>
      <c r="BH7" s="32" t="s">
        <v>141</v>
      </c>
      <c r="BI7" s="19"/>
      <c r="BJ7" s="16" t="s">
        <v>52</v>
      </c>
      <c r="BK7" s="16" t="s">
        <v>53</v>
      </c>
      <c r="BL7" s="16" t="s">
        <v>270</v>
      </c>
      <c r="BM7" s="16" t="s">
        <v>271</v>
      </c>
      <c r="BN7" s="16" t="s">
        <v>39</v>
      </c>
      <c r="BO7" s="19"/>
      <c r="BP7" s="16" t="s">
        <v>41</v>
      </c>
      <c r="BQ7" s="16" t="s">
        <v>44</v>
      </c>
      <c r="BR7" s="16" t="s">
        <v>45</v>
      </c>
      <c r="BS7" s="16" t="s">
        <v>46</v>
      </c>
      <c r="BT7" s="19"/>
      <c r="BU7" s="32" t="s">
        <v>143</v>
      </c>
      <c r="BV7" s="32" t="s">
        <v>144</v>
      </c>
      <c r="BW7" s="32" t="s">
        <v>81</v>
      </c>
      <c r="BX7" s="16" t="s">
        <v>52</v>
      </c>
      <c r="BY7" s="16" t="s">
        <v>53</v>
      </c>
      <c r="BZ7" s="16" t="s">
        <v>39</v>
      </c>
      <c r="CA7" s="19"/>
      <c r="CB7" s="32" t="s">
        <v>146</v>
      </c>
      <c r="CC7" s="32" t="s">
        <v>144</v>
      </c>
      <c r="CD7" s="32" t="s">
        <v>81</v>
      </c>
      <c r="CE7" s="16" t="s">
        <v>52</v>
      </c>
      <c r="CF7" s="16" t="s">
        <v>53</v>
      </c>
      <c r="CG7" s="16" t="s">
        <v>39</v>
      </c>
      <c r="CH7" s="19"/>
      <c r="CI7" s="22" t="s">
        <v>153</v>
      </c>
      <c r="CJ7" s="22" t="s">
        <v>154</v>
      </c>
      <c r="CK7" s="110" t="s">
        <v>71</v>
      </c>
      <c r="CL7" s="35"/>
      <c r="CM7" s="22" t="s">
        <v>153</v>
      </c>
      <c r="CN7" s="22" t="s">
        <v>154</v>
      </c>
      <c r="CO7" s="110" t="s">
        <v>71</v>
      </c>
      <c r="CP7" s="15"/>
      <c r="CQ7" s="110" t="s">
        <v>184</v>
      </c>
      <c r="CR7" s="110" t="s">
        <v>156</v>
      </c>
      <c r="CS7" s="110" t="s">
        <v>74</v>
      </c>
      <c r="CT7" s="22" t="s">
        <v>157</v>
      </c>
      <c r="CU7" s="22" t="s">
        <v>158</v>
      </c>
      <c r="CV7" s="22" t="s">
        <v>74</v>
      </c>
      <c r="CW7" s="15"/>
      <c r="CX7" s="22" t="s">
        <v>69</v>
      </c>
      <c r="CY7" s="22" t="s">
        <v>70</v>
      </c>
      <c r="CZ7" s="22" t="s">
        <v>71</v>
      </c>
      <c r="DA7" s="22" t="s">
        <v>72</v>
      </c>
      <c r="DB7" s="22" t="s">
        <v>73</v>
      </c>
      <c r="DC7" s="22" t="s">
        <v>74</v>
      </c>
      <c r="DD7" s="15"/>
      <c r="DE7" s="15"/>
      <c r="DF7" s="15"/>
      <c r="DG7" s="24"/>
      <c r="DH7" s="24" t="s">
        <v>77</v>
      </c>
      <c r="DI7" s="15"/>
      <c r="DJ7" s="15"/>
      <c r="DK7" s="15"/>
    </row>
    <row r="8" spans="1:116" x14ac:dyDescent="0.2">
      <c r="B8" s="14">
        <v>1</v>
      </c>
      <c r="C8" s="14" t="s">
        <v>295</v>
      </c>
      <c r="D8" s="14" t="s">
        <v>312</v>
      </c>
      <c r="E8" s="14" t="s">
        <v>322</v>
      </c>
      <c r="L8" s="14">
        <v>4</v>
      </c>
      <c r="M8" s="14">
        <v>55</v>
      </c>
      <c r="N8" s="14">
        <v>1500</v>
      </c>
      <c r="O8" s="14" t="s">
        <v>63</v>
      </c>
      <c r="P8" s="52"/>
      <c r="R8" s="14" t="s">
        <v>68</v>
      </c>
      <c r="T8" s="99">
        <f>'Existing PM'!D40</f>
        <v>3050</v>
      </c>
      <c r="U8" s="26">
        <v>0.16</v>
      </c>
      <c r="V8" s="52"/>
      <c r="W8" s="52"/>
      <c r="X8" s="14">
        <v>0.94</v>
      </c>
      <c r="Z8" s="14" t="s">
        <v>118</v>
      </c>
      <c r="AA8" s="14" t="s">
        <v>105</v>
      </c>
      <c r="AB8" s="14" t="s">
        <v>110</v>
      </c>
      <c r="AG8" s="14">
        <v>1</v>
      </c>
      <c r="AH8" s="14" t="s">
        <v>129</v>
      </c>
      <c r="AI8" s="14">
        <v>65</v>
      </c>
      <c r="AJ8" s="14" t="s">
        <v>63</v>
      </c>
      <c r="AK8" s="30"/>
      <c r="AM8" s="18"/>
      <c r="AN8" s="14">
        <v>2800</v>
      </c>
      <c r="AO8" s="26">
        <v>0.02</v>
      </c>
      <c r="AP8" s="52"/>
      <c r="AQ8" s="52"/>
      <c r="AR8" s="14">
        <v>0.91</v>
      </c>
      <c r="AS8" s="18"/>
      <c r="AT8" s="14" t="s">
        <v>118</v>
      </c>
      <c r="AX8" s="18"/>
      <c r="AY8" s="14" t="s">
        <v>151</v>
      </c>
      <c r="AZ8" s="14" t="s">
        <v>68</v>
      </c>
      <c r="BA8" s="14">
        <v>1</v>
      </c>
      <c r="BB8" s="14">
        <v>35</v>
      </c>
      <c r="BC8" s="14" t="s">
        <v>147</v>
      </c>
      <c r="BD8" s="14" t="s">
        <v>63</v>
      </c>
      <c r="BE8" s="52"/>
      <c r="BF8" s="52"/>
      <c r="BG8" s="14">
        <v>100</v>
      </c>
      <c r="BH8" s="14">
        <v>0</v>
      </c>
      <c r="BI8" s="18"/>
      <c r="BJ8" s="99">
        <f>'Existing PM'!F40</f>
        <v>90</v>
      </c>
      <c r="BK8" s="26">
        <v>0.05</v>
      </c>
      <c r="BL8" s="52"/>
      <c r="BM8" s="52"/>
      <c r="BN8" s="14">
        <v>0.94</v>
      </c>
      <c r="BO8" s="18"/>
      <c r="BP8" s="14" t="s">
        <v>118</v>
      </c>
      <c r="BT8" s="18"/>
      <c r="BU8" s="14" t="s">
        <v>185</v>
      </c>
      <c r="BV8" s="14">
        <v>5280</v>
      </c>
      <c r="BW8" s="14" t="s">
        <v>63</v>
      </c>
      <c r="BY8" s="26">
        <v>0.05</v>
      </c>
      <c r="BZ8" s="14">
        <v>0.94</v>
      </c>
      <c r="CA8" s="18"/>
      <c r="CB8" s="14" t="s">
        <v>186</v>
      </c>
      <c r="CC8" s="14">
        <v>1120</v>
      </c>
      <c r="CD8" s="14" t="s">
        <v>63</v>
      </c>
      <c r="CE8" s="99">
        <f>'Existing PM'!E42</f>
        <v>290</v>
      </c>
      <c r="CF8" s="26">
        <v>0.05</v>
      </c>
      <c r="CG8" s="14">
        <v>0.94</v>
      </c>
      <c r="CH8" s="18"/>
      <c r="CI8" s="14">
        <v>3764</v>
      </c>
      <c r="CJ8" s="14">
        <v>9000</v>
      </c>
      <c r="CK8" s="14">
        <v>0.42</v>
      </c>
      <c r="CM8" s="29">
        <v>101</v>
      </c>
      <c r="CN8" s="29">
        <v>2000</v>
      </c>
      <c r="CO8" s="14">
        <v>5.0286071875558697E-2</v>
      </c>
      <c r="CQ8" s="30">
        <v>49.3</v>
      </c>
      <c r="CR8" s="14">
        <v>18</v>
      </c>
      <c r="CS8" s="14" t="s">
        <v>424</v>
      </c>
      <c r="CT8" s="14">
        <v>54.7</v>
      </c>
      <c r="CU8" s="14">
        <v>17.2</v>
      </c>
      <c r="CV8" s="14" t="s">
        <v>424</v>
      </c>
      <c r="CW8" s="14"/>
      <c r="CX8" s="14"/>
      <c r="CY8" s="14"/>
      <c r="CZ8" s="14"/>
      <c r="DA8" s="14"/>
      <c r="DB8" s="14"/>
      <c r="DC8" s="14"/>
      <c r="DF8" s="31" t="str">
        <f>C8&amp; " "&amp;D8&amp;" " &amp;E8</f>
        <v>I-295 WB Throgs Neck off</v>
      </c>
      <c r="DG8" s="25" t="str">
        <f>SUBSTITUTE(E8, "/", "_")</f>
        <v>Throgs Neck off</v>
      </c>
      <c r="DH8" s="25" t="str">
        <f>BasicInput!$D$13&amp;$DH$2&amp;B8&amp;"_"&amp;C8&amp;D8&amp;"_"&amp;BasicInput!$D$7&amp;BasicInput!$D$8&amp;"_"&amp;DG8&amp;".xuf"</f>
        <v>C:\PWWORKING\east01\d2591108\Ramps\1_I-295WB_2019EX_PM_Throgs Neck off.xuf</v>
      </c>
    </row>
    <row r="9" spans="1:116" x14ac:dyDescent="0.2">
      <c r="B9" s="14">
        <v>2</v>
      </c>
      <c r="C9" s="14" t="s">
        <v>295</v>
      </c>
      <c r="D9" s="14" t="s">
        <v>312</v>
      </c>
      <c r="E9" s="14" t="s">
        <v>323</v>
      </c>
      <c r="L9" s="14">
        <v>3</v>
      </c>
      <c r="M9" s="14">
        <v>55</v>
      </c>
      <c r="N9" s="14">
        <v>1500</v>
      </c>
      <c r="O9" s="14" t="s">
        <v>63</v>
      </c>
      <c r="P9" s="52">
        <v>2</v>
      </c>
      <c r="Q9" s="14">
        <v>0.36</v>
      </c>
      <c r="R9" s="14" t="s">
        <v>68</v>
      </c>
      <c r="T9" s="99">
        <f>'Existing PM'!D44</f>
        <v>1820</v>
      </c>
      <c r="U9" s="26">
        <v>0.16</v>
      </c>
      <c r="V9" s="52">
        <v>45</v>
      </c>
      <c r="W9" s="52">
        <v>55</v>
      </c>
      <c r="X9" s="14">
        <v>0.94</v>
      </c>
      <c r="Z9" s="14" t="s">
        <v>118</v>
      </c>
      <c r="AA9" s="14" t="s">
        <v>105</v>
      </c>
      <c r="AB9" s="14" t="s">
        <v>110</v>
      </c>
      <c r="AG9" s="14">
        <v>1</v>
      </c>
      <c r="AH9" s="14" t="s">
        <v>123</v>
      </c>
      <c r="AI9" s="14">
        <v>65</v>
      </c>
      <c r="AJ9" s="14" t="s">
        <v>266</v>
      </c>
      <c r="AK9" s="30">
        <v>-1.4999999999999999E-2</v>
      </c>
      <c r="AL9" s="14">
        <v>0.25</v>
      </c>
      <c r="AM9" s="18"/>
      <c r="AN9" s="14">
        <v>1200</v>
      </c>
      <c r="AO9" s="26">
        <v>0.02</v>
      </c>
      <c r="AP9" s="52">
        <v>90</v>
      </c>
      <c r="AQ9" s="52">
        <v>10</v>
      </c>
      <c r="AR9" s="14">
        <v>0.95</v>
      </c>
      <c r="AS9" s="18"/>
      <c r="AT9" s="14" t="s">
        <v>118</v>
      </c>
      <c r="AX9" s="18"/>
      <c r="AY9" s="14" t="s">
        <v>151</v>
      </c>
      <c r="AZ9" s="14" t="s">
        <v>68</v>
      </c>
      <c r="BA9" s="14">
        <v>1</v>
      </c>
      <c r="BB9" s="14">
        <v>35</v>
      </c>
      <c r="BC9" s="14" t="s">
        <v>147</v>
      </c>
      <c r="BD9" s="14" t="s">
        <v>63</v>
      </c>
      <c r="BE9" s="52">
        <v>-5</v>
      </c>
      <c r="BF9" s="51">
        <v>2.5</v>
      </c>
      <c r="BG9" s="14">
        <v>370</v>
      </c>
      <c r="BH9" s="14">
        <v>0</v>
      </c>
      <c r="BI9" s="18"/>
      <c r="BJ9" s="99">
        <f>'Existing PM'!F44</f>
        <v>160</v>
      </c>
      <c r="BK9" s="26">
        <v>0.05</v>
      </c>
      <c r="BL9" s="52">
        <v>60</v>
      </c>
      <c r="BM9" s="52">
        <v>40</v>
      </c>
      <c r="BN9" s="14">
        <v>0.94</v>
      </c>
      <c r="BO9" s="18"/>
      <c r="BP9" s="14" t="s">
        <v>118</v>
      </c>
      <c r="BT9" s="18"/>
      <c r="BU9" s="14" t="s">
        <v>185</v>
      </c>
      <c r="BV9" s="14">
        <v>1490</v>
      </c>
      <c r="BW9" s="14" t="s">
        <v>63</v>
      </c>
      <c r="BX9" s="99">
        <f>'Existing PM'!F42</f>
        <v>1430</v>
      </c>
      <c r="BY9" s="26">
        <v>0.05</v>
      </c>
      <c r="BZ9" s="14">
        <v>0.94</v>
      </c>
      <c r="CA9" s="18"/>
      <c r="CB9" s="14" t="s">
        <v>186</v>
      </c>
      <c r="CC9" s="14">
        <v>2100</v>
      </c>
      <c r="CD9" s="14" t="s">
        <v>63</v>
      </c>
      <c r="CE9" s="99">
        <f>'Existing PM'!E46</f>
        <v>430</v>
      </c>
      <c r="CF9" s="26">
        <v>0.05</v>
      </c>
      <c r="CG9" s="14">
        <v>0.94</v>
      </c>
      <c r="CH9" s="18"/>
      <c r="CI9" s="14">
        <v>2246</v>
      </c>
      <c r="CJ9" s="14">
        <v>6750</v>
      </c>
      <c r="CK9" s="14">
        <v>0.33</v>
      </c>
      <c r="CM9" s="29">
        <v>179</v>
      </c>
      <c r="CN9" s="29">
        <v>2000</v>
      </c>
      <c r="CO9" s="14">
        <v>8.9397461112104407E-2</v>
      </c>
      <c r="CQ9" s="30">
        <v>49.2</v>
      </c>
      <c r="CR9" s="14">
        <v>14.8</v>
      </c>
      <c r="CS9" s="14" t="s">
        <v>424</v>
      </c>
      <c r="CT9" s="30">
        <v>51.9</v>
      </c>
      <c r="CU9" s="14">
        <v>14.4</v>
      </c>
      <c r="CV9" s="14" t="s">
        <v>424</v>
      </c>
      <c r="CW9" s="14"/>
      <c r="CX9" s="14"/>
      <c r="CY9" s="14"/>
      <c r="CZ9" s="14"/>
      <c r="DA9" s="14"/>
      <c r="DB9" s="14"/>
      <c r="DC9" s="14"/>
      <c r="DF9" s="31" t="str">
        <f t="shared" ref="DF9:DF16" si="2">C9&amp; " "&amp;D9&amp;" " &amp;E9</f>
        <v>I-295 WB Randall off</v>
      </c>
      <c r="DG9" s="25" t="str">
        <f t="shared" ref="DG9:DG16" si="3">SUBSTITUTE(E9, "/", "_")</f>
        <v>Randall off</v>
      </c>
      <c r="DH9" s="25" t="str">
        <f>BasicInput!$D$13&amp;$DH$2&amp;B9&amp;"_"&amp;C9&amp;D9&amp;"_"&amp;BasicInput!$D$7&amp;BasicInput!$D$8&amp;"_"&amp;DG9&amp;".xuf"</f>
        <v>C:\PWWORKING\east01\d2591108\Ramps\2_I-295WB_2019EX_PM_Randall off.xuf</v>
      </c>
    </row>
    <row r="10" spans="1:116" x14ac:dyDescent="0.2">
      <c r="B10" s="14">
        <v>3</v>
      </c>
      <c r="C10" s="14" t="s">
        <v>292</v>
      </c>
      <c r="D10" s="14" t="s">
        <v>312</v>
      </c>
      <c r="E10" s="14" t="s">
        <v>324</v>
      </c>
      <c r="L10" s="14">
        <v>3</v>
      </c>
      <c r="M10" s="14">
        <v>55</v>
      </c>
      <c r="N10" s="14">
        <v>1500</v>
      </c>
      <c r="O10" s="14" t="s">
        <v>63</v>
      </c>
      <c r="P10" s="52"/>
      <c r="R10" s="14" t="s">
        <v>68</v>
      </c>
      <c r="T10" s="99">
        <f>'Existing PM'!D51</f>
        <v>1950</v>
      </c>
      <c r="U10" s="26">
        <v>0.16</v>
      </c>
      <c r="V10" s="52"/>
      <c r="W10" s="52"/>
      <c r="X10" s="14">
        <v>0.94</v>
      </c>
      <c r="Z10" s="14" t="s">
        <v>118</v>
      </c>
      <c r="AA10" s="14" t="s">
        <v>105</v>
      </c>
      <c r="AB10" s="14" t="s">
        <v>110</v>
      </c>
      <c r="AK10" s="30"/>
      <c r="AM10" s="18"/>
      <c r="AO10" s="26"/>
      <c r="AP10" s="52"/>
      <c r="AQ10" s="52"/>
      <c r="AS10" s="18"/>
      <c r="AX10" s="18"/>
      <c r="AY10" s="14" t="s">
        <v>150</v>
      </c>
      <c r="AZ10" s="14" t="s">
        <v>68</v>
      </c>
      <c r="BA10" s="14">
        <v>1</v>
      </c>
      <c r="BB10" s="14">
        <v>35</v>
      </c>
      <c r="BC10" s="14" t="s">
        <v>147</v>
      </c>
      <c r="BD10" s="14" t="s">
        <v>63</v>
      </c>
      <c r="BE10" s="52"/>
      <c r="BF10" s="52"/>
      <c r="BG10" s="14">
        <v>430</v>
      </c>
      <c r="BH10" s="14">
        <v>0</v>
      </c>
      <c r="BI10" s="18"/>
      <c r="BJ10" s="99">
        <f>'Existing PM'!E51</f>
        <v>280</v>
      </c>
      <c r="BK10" s="26">
        <v>0.05</v>
      </c>
      <c r="BL10" s="52"/>
      <c r="BM10" s="52"/>
      <c r="BN10" s="14">
        <v>0.94</v>
      </c>
      <c r="BO10" s="18"/>
      <c r="BP10" s="14" t="s">
        <v>118</v>
      </c>
      <c r="BT10" s="18"/>
      <c r="BU10" s="14" t="s">
        <v>185</v>
      </c>
      <c r="BV10" s="14">
        <v>1700</v>
      </c>
      <c r="BW10" s="14" t="s">
        <v>63</v>
      </c>
      <c r="BX10" s="99">
        <f>'Existing PM'!F49</f>
        <v>450</v>
      </c>
      <c r="BY10" s="26">
        <v>0.05</v>
      </c>
      <c r="BZ10" s="14">
        <v>0.94</v>
      </c>
      <c r="CA10" s="18"/>
      <c r="CB10" s="14" t="s">
        <v>186</v>
      </c>
      <c r="CC10" s="14">
        <v>2170</v>
      </c>
      <c r="CD10" s="14" t="s">
        <v>63</v>
      </c>
      <c r="CE10" s="99">
        <f>'Existing PM'!E53</f>
        <v>160</v>
      </c>
      <c r="CF10" s="26">
        <v>0.05</v>
      </c>
      <c r="CG10" s="14">
        <v>0.94</v>
      </c>
      <c r="CH10" s="18"/>
      <c r="CI10" s="14">
        <v>2407</v>
      </c>
      <c r="CJ10" s="14">
        <v>6750</v>
      </c>
      <c r="CK10" s="14">
        <v>0.4</v>
      </c>
      <c r="CM10" s="29">
        <v>313</v>
      </c>
      <c r="CN10" s="29">
        <v>2000</v>
      </c>
      <c r="CO10" s="14">
        <v>0.15644555694618201</v>
      </c>
      <c r="CQ10" s="30">
        <v>50.9</v>
      </c>
      <c r="CR10" s="14">
        <v>16.2</v>
      </c>
      <c r="CS10" s="14" t="s">
        <v>424</v>
      </c>
      <c r="CT10" s="30">
        <v>51.7</v>
      </c>
      <c r="CU10" s="14">
        <v>17.5</v>
      </c>
      <c r="CV10" s="14" t="s">
        <v>424</v>
      </c>
      <c r="CW10" s="14"/>
      <c r="CX10" s="14"/>
      <c r="CY10" s="14"/>
      <c r="CZ10" s="14"/>
      <c r="DA10" s="14"/>
      <c r="DB10" s="14"/>
      <c r="DC10" s="14"/>
      <c r="DF10" s="31" t="str">
        <f t="shared" si="2"/>
        <v>I-95 WB Cross Bronx on</v>
      </c>
      <c r="DG10" s="25" t="str">
        <f t="shared" si="3"/>
        <v>Cross Bronx on</v>
      </c>
      <c r="DH10" s="25" t="str">
        <f>BasicInput!$D$13&amp;$DH$2&amp;B10&amp;"_"&amp;C10&amp;D10&amp;"_"&amp;BasicInput!$D$7&amp;BasicInput!$D$8&amp;"_"&amp;DG10&amp;".xuf"</f>
        <v>C:\PWWORKING\east01\d2591108\Ramps\3_I-95WB_2019EX_PM_Cross Bronx on.xuf</v>
      </c>
    </row>
    <row r="11" spans="1:116" x14ac:dyDescent="0.2">
      <c r="B11" s="14">
        <v>4</v>
      </c>
      <c r="C11" s="14" t="s">
        <v>292</v>
      </c>
      <c r="D11" s="14" t="s">
        <v>312</v>
      </c>
      <c r="E11" s="14" t="s">
        <v>325</v>
      </c>
      <c r="L11" s="14">
        <v>3</v>
      </c>
      <c r="M11" s="14">
        <v>55</v>
      </c>
      <c r="N11" s="14">
        <v>1500</v>
      </c>
      <c r="O11" s="14" t="s">
        <v>63</v>
      </c>
      <c r="P11" s="52">
        <v>3</v>
      </c>
      <c r="Q11" s="14">
        <v>0.4</v>
      </c>
      <c r="R11" s="14" t="s">
        <v>68</v>
      </c>
      <c r="T11" s="99">
        <f>'Existing PM'!D55</f>
        <v>1920</v>
      </c>
      <c r="U11" s="26">
        <v>0.16</v>
      </c>
      <c r="V11" s="52">
        <v>25</v>
      </c>
      <c r="W11" s="52">
        <v>75</v>
      </c>
      <c r="X11" s="14">
        <v>0.94</v>
      </c>
      <c r="Z11" s="14" t="s">
        <v>118</v>
      </c>
      <c r="AA11" s="14" t="s">
        <v>105</v>
      </c>
      <c r="AB11" s="14" t="s">
        <v>110</v>
      </c>
      <c r="AK11" s="30"/>
      <c r="AM11" s="18"/>
      <c r="AO11" s="26"/>
      <c r="AP11" s="52">
        <v>10</v>
      </c>
      <c r="AQ11" s="52">
        <v>90</v>
      </c>
      <c r="AS11" s="18"/>
      <c r="AX11" s="18"/>
      <c r="AY11" s="14" t="s">
        <v>150</v>
      </c>
      <c r="AZ11" s="14" t="s">
        <v>68</v>
      </c>
      <c r="BA11" s="14">
        <v>1</v>
      </c>
      <c r="BB11" s="14">
        <v>35</v>
      </c>
      <c r="BC11" s="14" t="s">
        <v>147</v>
      </c>
      <c r="BD11" s="14" t="s">
        <v>63</v>
      </c>
      <c r="BE11" s="52"/>
      <c r="BF11" s="52"/>
      <c r="BG11" s="14">
        <v>190</v>
      </c>
      <c r="BH11" s="14">
        <v>0</v>
      </c>
      <c r="BI11" s="18"/>
      <c r="BJ11" s="99">
        <f>'Existing PM'!E55</f>
        <v>270</v>
      </c>
      <c r="BK11" s="26">
        <v>0.05</v>
      </c>
      <c r="BL11" s="52"/>
      <c r="BM11" s="52"/>
      <c r="BN11" s="14">
        <v>0.94</v>
      </c>
      <c r="BO11" s="18"/>
      <c r="BP11" s="14" t="s">
        <v>118</v>
      </c>
      <c r="BT11" s="18"/>
      <c r="BU11" s="14" t="s">
        <v>185</v>
      </c>
      <c r="BV11" s="14">
        <v>1530</v>
      </c>
      <c r="BW11" s="14" t="s">
        <v>63</v>
      </c>
      <c r="BX11" s="99">
        <f>'Existing PM'!F53</f>
        <v>470</v>
      </c>
      <c r="BY11" s="26">
        <v>0.05</v>
      </c>
      <c r="BZ11" s="14">
        <v>0.94</v>
      </c>
      <c r="CA11" s="18"/>
      <c r="CB11" s="14" t="s">
        <v>186</v>
      </c>
      <c r="CC11" s="14">
        <v>2290</v>
      </c>
      <c r="CD11" s="14" t="s">
        <v>63</v>
      </c>
      <c r="CE11" s="99">
        <f>'Existing PM'!E57</f>
        <v>360</v>
      </c>
      <c r="CF11" s="26">
        <v>0.05</v>
      </c>
      <c r="CG11" s="14">
        <v>0.94</v>
      </c>
      <c r="CH11" s="18"/>
      <c r="CI11" s="14">
        <v>2370</v>
      </c>
      <c r="CJ11" s="14">
        <v>6750</v>
      </c>
      <c r="CK11" s="14">
        <v>0.4</v>
      </c>
      <c r="CM11" s="29">
        <v>302</v>
      </c>
      <c r="CN11" s="29">
        <v>2000</v>
      </c>
      <c r="CO11" s="14">
        <v>0.15085821562667601</v>
      </c>
      <c r="CQ11" s="30">
        <v>50.7</v>
      </c>
      <c r="CR11" s="14">
        <v>17.399999999999999</v>
      </c>
      <c r="CS11" s="14" t="s">
        <v>424</v>
      </c>
      <c r="CT11" s="30">
        <v>51.6</v>
      </c>
      <c r="CU11" s="14">
        <v>17.3</v>
      </c>
      <c r="CV11" s="14" t="s">
        <v>424</v>
      </c>
      <c r="CW11" s="14"/>
      <c r="CX11" s="14"/>
      <c r="CY11" s="14"/>
      <c r="CZ11" s="14"/>
      <c r="DA11" s="14"/>
      <c r="DB11" s="14"/>
      <c r="DC11" s="14"/>
      <c r="DF11" s="31" t="str">
        <f t="shared" si="2"/>
        <v>I-95 WB Rosedale on</v>
      </c>
      <c r="DG11" s="25" t="str">
        <f t="shared" si="3"/>
        <v>Rosedale on</v>
      </c>
      <c r="DH11" s="25" t="str">
        <f>BasicInput!$D$13&amp;$DH$2&amp;B11&amp;"_"&amp;C11&amp;D11&amp;"_"&amp;BasicInput!$D$7&amp;BasicInput!$D$8&amp;"_"&amp;DG11&amp;".xuf"</f>
        <v>C:\PWWORKING\east01\d2591108\Ramps\4_I-95WB_2019EX_PM_Rosedale on.xuf</v>
      </c>
    </row>
    <row r="12" spans="1:116" x14ac:dyDescent="0.2">
      <c r="B12" s="14">
        <v>5</v>
      </c>
      <c r="C12" s="14" t="s">
        <v>292</v>
      </c>
      <c r="D12" s="14" t="s">
        <v>312</v>
      </c>
      <c r="E12" s="14" t="s">
        <v>326</v>
      </c>
      <c r="L12" s="14">
        <v>3</v>
      </c>
      <c r="M12" s="14">
        <v>55</v>
      </c>
      <c r="N12" s="14">
        <v>1500</v>
      </c>
      <c r="O12" s="14" t="s">
        <v>63</v>
      </c>
      <c r="P12" s="52"/>
      <c r="R12" s="14" t="s">
        <v>68</v>
      </c>
      <c r="T12" s="99">
        <f>'Existing PM'!D57</f>
        <v>2190</v>
      </c>
      <c r="U12" s="26">
        <v>0.16</v>
      </c>
      <c r="V12" s="52"/>
      <c r="W12" s="52"/>
      <c r="X12" s="14">
        <v>0.94</v>
      </c>
      <c r="Z12" s="14" t="s">
        <v>118</v>
      </c>
      <c r="AA12" s="14" t="s">
        <v>105</v>
      </c>
      <c r="AB12" s="14" t="s">
        <v>110</v>
      </c>
      <c r="AK12" s="30"/>
      <c r="AM12" s="18"/>
      <c r="AO12" s="26"/>
      <c r="AP12" s="52"/>
      <c r="AQ12" s="52"/>
      <c r="AS12" s="18"/>
      <c r="AX12" s="17"/>
      <c r="AY12" s="14" t="s">
        <v>150</v>
      </c>
      <c r="AZ12" s="14" t="s">
        <v>68</v>
      </c>
      <c r="BA12" s="14">
        <v>1</v>
      </c>
      <c r="BB12" s="14">
        <v>35</v>
      </c>
      <c r="BC12" s="14" t="s">
        <v>147</v>
      </c>
      <c r="BD12" s="14" t="s">
        <v>63</v>
      </c>
      <c r="BE12" s="52"/>
      <c r="BF12" s="52"/>
      <c r="BG12" s="14">
        <v>270</v>
      </c>
      <c r="BH12" s="14">
        <v>0</v>
      </c>
      <c r="BI12" s="18"/>
      <c r="BJ12" s="99">
        <f>'Existing PM'!E57</f>
        <v>360</v>
      </c>
      <c r="BK12" s="26">
        <v>0.05</v>
      </c>
      <c r="BL12" s="52"/>
      <c r="BM12" s="52"/>
      <c r="BN12" s="14">
        <v>0.94</v>
      </c>
      <c r="BO12" s="18"/>
      <c r="BP12" s="14" t="s">
        <v>118</v>
      </c>
      <c r="BT12" s="18"/>
      <c r="BU12" s="14" t="s">
        <v>186</v>
      </c>
      <c r="BV12" s="14">
        <v>2290</v>
      </c>
      <c r="BW12" s="14" t="s">
        <v>63</v>
      </c>
      <c r="BX12" s="99">
        <f>'Existing PM'!E55</f>
        <v>270</v>
      </c>
      <c r="BY12" s="26">
        <v>0.05</v>
      </c>
      <c r="BZ12" s="14">
        <v>0.94</v>
      </c>
      <c r="CA12" s="18"/>
      <c r="CB12" s="14" t="s">
        <v>186</v>
      </c>
      <c r="CC12" s="14">
        <v>430</v>
      </c>
      <c r="CD12" s="14" t="s">
        <v>63</v>
      </c>
      <c r="CE12" s="99">
        <f>'Existing PM'!E59</f>
        <v>640</v>
      </c>
      <c r="CF12" s="26">
        <v>0.05</v>
      </c>
      <c r="CG12" s="14">
        <v>0.94</v>
      </c>
      <c r="CH12" s="18"/>
      <c r="CI12" s="14">
        <v>2703</v>
      </c>
      <c r="CJ12" s="14">
        <v>6750</v>
      </c>
      <c r="CK12" s="14">
        <v>0.46</v>
      </c>
      <c r="CM12" s="14">
        <v>402</v>
      </c>
      <c r="CN12" s="14">
        <v>2000</v>
      </c>
      <c r="CO12" s="14">
        <v>0.20114428750223401</v>
      </c>
      <c r="CQ12" s="14">
        <v>50.7</v>
      </c>
      <c r="CR12" s="14">
        <v>19.100000000000001</v>
      </c>
      <c r="CS12" s="14" t="s">
        <v>424</v>
      </c>
      <c r="CT12" s="30">
        <v>51.4</v>
      </c>
      <c r="CU12" s="14">
        <v>20.100000000000001</v>
      </c>
      <c r="CV12" s="14" t="s">
        <v>424</v>
      </c>
      <c r="DF12" s="31" t="str">
        <f t="shared" si="2"/>
        <v>I-95 WB Sheridan loop on</v>
      </c>
      <c r="DG12" s="25" t="str">
        <f t="shared" si="3"/>
        <v>Sheridan loop on</v>
      </c>
      <c r="DH12" s="25" t="str">
        <f>BasicInput!$D$13&amp;$DH$2&amp;B12&amp;"_"&amp;C12&amp;D12&amp;"_"&amp;BasicInput!$D$7&amp;BasicInput!$D$8&amp;"_"&amp;DG12&amp;".xuf"</f>
        <v>C:\PWWORKING\east01\d2591108\Ramps\5_I-95WB_2019EX_PM_Sheridan loop on.xuf</v>
      </c>
    </row>
    <row r="13" spans="1:116" x14ac:dyDescent="0.2">
      <c r="B13" s="14">
        <v>6</v>
      </c>
      <c r="C13" s="14" t="s">
        <v>292</v>
      </c>
      <c r="D13" s="14" t="s">
        <v>312</v>
      </c>
      <c r="E13" s="14" t="s">
        <v>327</v>
      </c>
      <c r="L13" s="14">
        <v>3</v>
      </c>
      <c r="M13" s="14">
        <v>55</v>
      </c>
      <c r="N13" s="14">
        <v>1500</v>
      </c>
      <c r="O13" s="14" t="s">
        <v>63</v>
      </c>
      <c r="P13" s="52"/>
      <c r="R13" s="14" t="s">
        <v>68</v>
      </c>
      <c r="T13" s="99">
        <f>'Existing PM'!D59</f>
        <v>2550</v>
      </c>
      <c r="U13" s="26">
        <v>0.16</v>
      </c>
      <c r="V13" s="52"/>
      <c r="W13" s="52"/>
      <c r="X13" s="14">
        <v>0.94</v>
      </c>
      <c r="Z13" s="14" t="s">
        <v>118</v>
      </c>
      <c r="AA13" s="14" t="s">
        <v>105</v>
      </c>
      <c r="AB13" s="14" t="s">
        <v>110</v>
      </c>
      <c r="AK13" s="30"/>
      <c r="AM13" s="18"/>
      <c r="AO13" s="26"/>
      <c r="AP13" s="52"/>
      <c r="AQ13" s="52"/>
      <c r="AS13" s="18"/>
      <c r="AX13" s="17"/>
      <c r="AY13" s="14" t="s">
        <v>150</v>
      </c>
      <c r="AZ13" s="14" t="s">
        <v>68</v>
      </c>
      <c r="BA13" s="14">
        <v>1</v>
      </c>
      <c r="BB13" s="14">
        <v>35</v>
      </c>
      <c r="BC13" s="14" t="s">
        <v>147</v>
      </c>
      <c r="BD13" s="14" t="s">
        <v>63</v>
      </c>
      <c r="BE13" s="52"/>
      <c r="BF13" s="52"/>
      <c r="BG13" s="14">
        <v>680</v>
      </c>
      <c r="BH13" s="14">
        <v>0</v>
      </c>
      <c r="BI13" s="18"/>
      <c r="BJ13" s="99">
        <f>'Existing PM'!E59</f>
        <v>640</v>
      </c>
      <c r="BK13" s="26">
        <v>0.05</v>
      </c>
      <c r="BL13" s="52"/>
      <c r="BM13" s="52"/>
      <c r="BN13" s="14">
        <v>0.94</v>
      </c>
      <c r="BO13" s="18"/>
      <c r="BP13" s="14" t="s">
        <v>118</v>
      </c>
      <c r="BT13" s="18"/>
      <c r="BU13" s="14" t="s">
        <v>186</v>
      </c>
      <c r="BV13" s="14">
        <v>430</v>
      </c>
      <c r="BW13" s="14" t="s">
        <v>63</v>
      </c>
      <c r="BX13" s="99">
        <f>'Existing PM'!E57</f>
        <v>360</v>
      </c>
      <c r="BY13" s="26">
        <v>0.05</v>
      </c>
      <c r="BZ13" s="14">
        <v>0.94</v>
      </c>
      <c r="CA13" s="18"/>
      <c r="CB13" s="14" t="s">
        <v>185</v>
      </c>
      <c r="CC13" s="14">
        <v>4460</v>
      </c>
      <c r="CD13" s="14" t="s">
        <v>63</v>
      </c>
      <c r="CE13" s="99">
        <f>'Existing PM'!F61</f>
        <v>520</v>
      </c>
      <c r="CF13" s="26">
        <v>0.05</v>
      </c>
      <c r="CG13" s="14">
        <v>0.94</v>
      </c>
      <c r="CH13" s="18"/>
      <c r="CI13" s="14">
        <v>3147</v>
      </c>
      <c r="CJ13" s="14">
        <v>6750</v>
      </c>
      <c r="CK13" s="14">
        <v>0.56999999999999995</v>
      </c>
      <c r="CM13" s="14">
        <v>715</v>
      </c>
      <c r="CN13" s="14">
        <v>2000</v>
      </c>
      <c r="CO13" s="14">
        <v>0.35758984444841702</v>
      </c>
      <c r="CQ13" s="14">
        <v>50.8</v>
      </c>
      <c r="CR13" s="14">
        <v>21.2</v>
      </c>
      <c r="CS13" s="14" t="s">
        <v>423</v>
      </c>
      <c r="CT13" s="30">
        <v>51.3</v>
      </c>
      <c r="CU13" s="14">
        <v>25.1</v>
      </c>
      <c r="CV13" s="14" t="s">
        <v>423</v>
      </c>
      <c r="DF13" s="31" t="str">
        <f t="shared" si="2"/>
        <v>I-95 WB Sheridan on</v>
      </c>
      <c r="DG13" s="25" t="str">
        <f t="shared" si="3"/>
        <v>Sheridan on</v>
      </c>
      <c r="DH13" s="25" t="str">
        <f>BasicInput!$D$13&amp;$DH$2&amp;B13&amp;"_"&amp;C13&amp;D13&amp;"_"&amp;BasicInput!$D$7&amp;BasicInput!$D$8&amp;"_"&amp;DG13&amp;".xuf"</f>
        <v>C:\PWWORKING\east01\d2591108\Ramps\6_I-95WB_2019EX_PM_Sheridan on.xuf</v>
      </c>
    </row>
    <row r="14" spans="1:116" x14ac:dyDescent="0.2">
      <c r="B14" s="14">
        <v>7</v>
      </c>
      <c r="C14" s="14" t="s">
        <v>292</v>
      </c>
      <c r="D14" s="14" t="s">
        <v>312</v>
      </c>
      <c r="E14" s="14" t="s">
        <v>328</v>
      </c>
      <c r="L14" s="14">
        <v>3</v>
      </c>
      <c r="M14" s="14">
        <v>55</v>
      </c>
      <c r="N14" s="14">
        <v>1500</v>
      </c>
      <c r="O14" s="14" t="s">
        <v>63</v>
      </c>
      <c r="P14" s="52"/>
      <c r="R14" s="14" t="s">
        <v>68</v>
      </c>
      <c r="T14" s="99">
        <f>'Existing PM'!D61</f>
        <v>3190</v>
      </c>
      <c r="U14" s="26">
        <v>0.16</v>
      </c>
      <c r="V14" s="52"/>
      <c r="W14" s="52"/>
      <c r="X14" s="14">
        <v>0.94</v>
      </c>
      <c r="Z14" s="14" t="s">
        <v>118</v>
      </c>
      <c r="AA14" s="14" t="s">
        <v>105</v>
      </c>
      <c r="AB14" s="14" t="s">
        <v>110</v>
      </c>
      <c r="AK14" s="30"/>
      <c r="AM14" s="18"/>
      <c r="AO14" s="26"/>
      <c r="AP14" s="52"/>
      <c r="AQ14" s="52"/>
      <c r="AS14" s="18"/>
      <c r="AX14" s="17"/>
      <c r="AY14" s="14" t="s">
        <v>151</v>
      </c>
      <c r="AZ14" s="14" t="s">
        <v>68</v>
      </c>
      <c r="BA14" s="14">
        <v>1</v>
      </c>
      <c r="BB14" s="14">
        <v>35</v>
      </c>
      <c r="BC14" s="14" t="s">
        <v>147</v>
      </c>
      <c r="BD14" s="14" t="s">
        <v>63</v>
      </c>
      <c r="BE14" s="52"/>
      <c r="BF14" s="52"/>
      <c r="BG14" s="14">
        <v>200</v>
      </c>
      <c r="BH14" s="14">
        <v>0</v>
      </c>
      <c r="BI14" s="18"/>
      <c r="BJ14" s="99">
        <f>'Existing PM'!F61</f>
        <v>520</v>
      </c>
      <c r="BK14" s="26">
        <v>0.05</v>
      </c>
      <c r="BL14" s="52"/>
      <c r="BM14" s="52"/>
      <c r="BN14" s="14">
        <v>0.94</v>
      </c>
      <c r="BO14" s="18"/>
      <c r="BP14" s="14" t="s">
        <v>118</v>
      </c>
      <c r="BT14" s="18"/>
      <c r="BU14" s="14" t="s">
        <v>186</v>
      </c>
      <c r="BV14" s="14">
        <v>4460</v>
      </c>
      <c r="BW14" s="14" t="s">
        <v>63</v>
      </c>
      <c r="BX14" s="99">
        <f>'Existing PM'!E59</f>
        <v>640</v>
      </c>
      <c r="BY14" s="26">
        <v>0.05</v>
      </c>
      <c r="BZ14" s="14">
        <v>0.94</v>
      </c>
      <c r="CA14" s="18"/>
      <c r="CB14" s="14" t="s">
        <v>186</v>
      </c>
      <c r="CC14" s="14">
        <v>2550</v>
      </c>
      <c r="CD14" s="14" t="s">
        <v>63</v>
      </c>
      <c r="CE14" s="99">
        <f>'Existing PM'!E63</f>
        <v>730</v>
      </c>
      <c r="CF14" s="26">
        <v>0.05</v>
      </c>
      <c r="CG14" s="14">
        <v>0.94</v>
      </c>
      <c r="CH14" s="18"/>
      <c r="CI14" s="14">
        <v>3937</v>
      </c>
      <c r="CJ14" s="14">
        <v>6750</v>
      </c>
      <c r="CK14" s="14">
        <v>0.57999999999999996</v>
      </c>
      <c r="CM14" s="14">
        <v>581</v>
      </c>
      <c r="CN14" s="14">
        <v>2000</v>
      </c>
      <c r="CO14" s="14">
        <v>0.29054174861433901</v>
      </c>
      <c r="CQ14" s="14">
        <v>48.8</v>
      </c>
      <c r="CR14" s="14">
        <v>26.5</v>
      </c>
      <c r="CS14" s="14" t="s">
        <v>423</v>
      </c>
      <c r="CT14" s="30">
        <v>51.5</v>
      </c>
      <c r="CU14" s="14">
        <v>25.5</v>
      </c>
      <c r="CV14" s="14" t="s">
        <v>423</v>
      </c>
      <c r="DF14" s="31" t="str">
        <f t="shared" si="2"/>
        <v>I-95 WB 3rd off</v>
      </c>
      <c r="DG14" s="25" t="str">
        <f t="shared" si="3"/>
        <v>3rd off</v>
      </c>
      <c r="DH14" s="25" t="str">
        <f>BasicInput!$D$13&amp;$DH$2&amp;B14&amp;"_"&amp;C14&amp;D14&amp;"_"&amp;BasicInput!$D$7&amp;BasicInput!$D$8&amp;"_"&amp;DG14&amp;".xuf"</f>
        <v>C:\PWWORKING\east01\d2591108\Ramps\7_I-95WB_2019EX_PM_3rd off.xuf</v>
      </c>
    </row>
    <row r="15" spans="1:116" x14ac:dyDescent="0.2">
      <c r="B15" s="14">
        <v>8</v>
      </c>
      <c r="C15" s="14" t="s">
        <v>292</v>
      </c>
      <c r="D15" s="14" t="s">
        <v>312</v>
      </c>
      <c r="E15" s="14" t="s">
        <v>329</v>
      </c>
      <c r="L15" s="14">
        <v>3</v>
      </c>
      <c r="M15" s="14">
        <v>55</v>
      </c>
      <c r="N15" s="14">
        <v>1500</v>
      </c>
      <c r="O15" s="14" t="s">
        <v>63</v>
      </c>
      <c r="P15" s="52"/>
      <c r="R15" s="14" t="s">
        <v>68</v>
      </c>
      <c r="T15" s="99">
        <f>'Existing PM'!D63</f>
        <v>2670</v>
      </c>
      <c r="U15" s="26">
        <v>0.16</v>
      </c>
      <c r="V15" s="52"/>
      <c r="W15" s="52"/>
      <c r="X15" s="14">
        <v>0.94</v>
      </c>
      <c r="Z15" s="14" t="s">
        <v>118</v>
      </c>
      <c r="AA15" s="14" t="s">
        <v>105</v>
      </c>
      <c r="AB15" s="14" t="s">
        <v>110</v>
      </c>
      <c r="AK15" s="30"/>
      <c r="AM15" s="18"/>
      <c r="AO15" s="26"/>
      <c r="AP15" s="52"/>
      <c r="AQ15" s="52"/>
      <c r="AS15" s="18"/>
      <c r="AX15" s="17"/>
      <c r="AY15" s="14" t="s">
        <v>150</v>
      </c>
      <c r="AZ15" s="14" t="s">
        <v>68</v>
      </c>
      <c r="BA15" s="14">
        <v>1</v>
      </c>
      <c r="BB15" s="14">
        <v>35</v>
      </c>
      <c r="BC15" s="14" t="s">
        <v>147</v>
      </c>
      <c r="BD15" s="14" t="s">
        <v>63</v>
      </c>
      <c r="BE15" s="52"/>
      <c r="BF15" s="52"/>
      <c r="BG15" s="14">
        <v>400</v>
      </c>
      <c r="BH15" s="14">
        <v>0</v>
      </c>
      <c r="BI15" s="18"/>
      <c r="BJ15" s="99">
        <f>'Existing PM'!E63</f>
        <v>730</v>
      </c>
      <c r="BK15" s="26">
        <v>0.05</v>
      </c>
      <c r="BL15" s="52"/>
      <c r="BM15" s="52"/>
      <c r="BN15" s="14">
        <v>0.94</v>
      </c>
      <c r="BO15" s="18"/>
      <c r="BP15" s="14" t="s">
        <v>118</v>
      </c>
      <c r="BT15" s="18"/>
      <c r="BU15" s="14" t="s">
        <v>185</v>
      </c>
      <c r="BV15" s="14">
        <v>2550</v>
      </c>
      <c r="BW15" s="14" t="s">
        <v>63</v>
      </c>
      <c r="BX15" s="99">
        <f>'Existing PM'!F61</f>
        <v>520</v>
      </c>
      <c r="BY15" s="26">
        <v>0.05</v>
      </c>
      <c r="BZ15" s="14">
        <v>0.94</v>
      </c>
      <c r="CA15" s="18"/>
      <c r="CB15" s="14" t="s">
        <v>185</v>
      </c>
      <c r="CC15" s="14">
        <v>1850</v>
      </c>
      <c r="CD15" s="14" t="s">
        <v>63</v>
      </c>
      <c r="CE15" s="99">
        <f>'Existing PM'!F65</f>
        <v>270</v>
      </c>
      <c r="CF15" s="26">
        <v>0.05</v>
      </c>
      <c r="CG15" s="14">
        <v>0.94</v>
      </c>
      <c r="CH15" s="18"/>
      <c r="CI15" s="14">
        <v>3295</v>
      </c>
      <c r="CJ15" s="14">
        <v>6750</v>
      </c>
      <c r="CK15" s="14">
        <v>0.61</v>
      </c>
      <c r="CM15" s="14">
        <v>816</v>
      </c>
      <c r="CN15" s="14">
        <v>2000</v>
      </c>
      <c r="CO15" s="14">
        <v>0.40787591632397602</v>
      </c>
      <c r="CQ15" s="14">
        <v>50.4</v>
      </c>
      <c r="CR15" s="14">
        <v>24.2</v>
      </c>
      <c r="CS15" s="14" t="s">
        <v>423</v>
      </c>
      <c r="CT15" s="30">
        <v>50.9</v>
      </c>
      <c r="CU15" s="14">
        <v>26.9</v>
      </c>
      <c r="CV15" s="14" t="s">
        <v>423</v>
      </c>
      <c r="DF15" s="31" t="str">
        <f t="shared" si="2"/>
        <v>I-95 WB Webster on</v>
      </c>
      <c r="DG15" s="25" t="str">
        <f t="shared" si="3"/>
        <v>Webster on</v>
      </c>
      <c r="DH15" s="25" t="str">
        <f>BasicInput!$D$13&amp;$DH$2&amp;B15&amp;"_"&amp;C15&amp;D15&amp;"_"&amp;BasicInput!$D$7&amp;BasicInput!$D$8&amp;"_"&amp;DG15&amp;".xuf"</f>
        <v>C:\PWWORKING\east01\d2591108\Ramps\8_I-95WB_2019EX_PM_Webster on.xuf</v>
      </c>
    </row>
    <row r="16" spans="1:116" x14ac:dyDescent="0.2">
      <c r="B16" s="14">
        <v>9</v>
      </c>
      <c r="C16" s="14" t="s">
        <v>292</v>
      </c>
      <c r="D16" s="14" t="s">
        <v>312</v>
      </c>
      <c r="E16" s="14" t="s">
        <v>330</v>
      </c>
      <c r="L16" s="14">
        <v>3</v>
      </c>
      <c r="M16" s="14">
        <v>55</v>
      </c>
      <c r="N16" s="14">
        <v>1500</v>
      </c>
      <c r="O16" s="14" t="s">
        <v>63</v>
      </c>
      <c r="P16" s="52"/>
      <c r="R16" s="14" t="s">
        <v>68</v>
      </c>
      <c r="T16" s="99">
        <f>'Existing PM'!D65</f>
        <v>3400</v>
      </c>
      <c r="U16" s="26">
        <v>0.16</v>
      </c>
      <c r="V16" s="52"/>
      <c r="W16" s="52"/>
      <c r="X16" s="14">
        <v>0.94</v>
      </c>
      <c r="Z16" s="14" t="s">
        <v>118</v>
      </c>
      <c r="AA16" s="14" t="s">
        <v>105</v>
      </c>
      <c r="AB16" s="14" t="s">
        <v>110</v>
      </c>
      <c r="AK16" s="30"/>
      <c r="AM16" s="18"/>
      <c r="AO16" s="26"/>
      <c r="AP16" s="52"/>
      <c r="AQ16" s="52"/>
      <c r="AS16" s="18"/>
      <c r="AX16" s="17"/>
      <c r="AY16" s="14" t="s">
        <v>151</v>
      </c>
      <c r="AZ16" s="14" t="s">
        <v>68</v>
      </c>
      <c r="BA16" s="14">
        <v>1</v>
      </c>
      <c r="BB16" s="14">
        <v>35</v>
      </c>
      <c r="BC16" s="14" t="s">
        <v>147</v>
      </c>
      <c r="BD16" s="14" t="s">
        <v>63</v>
      </c>
      <c r="BE16" s="52"/>
      <c r="BF16" s="52"/>
      <c r="BG16" s="14">
        <v>120</v>
      </c>
      <c r="BH16" s="14">
        <v>0</v>
      </c>
      <c r="BI16" s="18"/>
      <c r="BJ16" s="99">
        <f>'Existing PM'!F65</f>
        <v>270</v>
      </c>
      <c r="BK16" s="26">
        <v>0.05</v>
      </c>
      <c r="BL16" s="52"/>
      <c r="BM16" s="52"/>
      <c r="BN16" s="14">
        <v>0.94</v>
      </c>
      <c r="BO16" s="18"/>
      <c r="BP16" s="14" t="s">
        <v>118</v>
      </c>
      <c r="BT16" s="18"/>
      <c r="BU16" s="14" t="s">
        <v>186</v>
      </c>
      <c r="BV16" s="14">
        <v>1850</v>
      </c>
      <c r="BW16" s="14" t="s">
        <v>63</v>
      </c>
      <c r="BX16" s="99">
        <f>'Existing PM'!E63</f>
        <v>730</v>
      </c>
      <c r="BY16" s="26">
        <v>0.05</v>
      </c>
      <c r="BZ16" s="14">
        <v>0.94</v>
      </c>
      <c r="CA16" s="18"/>
      <c r="CB16" s="14" t="s">
        <v>186</v>
      </c>
      <c r="CC16" s="14">
        <v>560</v>
      </c>
      <c r="CD16" s="14" t="s">
        <v>63</v>
      </c>
      <c r="CE16" s="99">
        <f>'Existing PM'!E67</f>
        <v>890</v>
      </c>
      <c r="CF16" s="26">
        <v>0.05</v>
      </c>
      <c r="CG16" s="14">
        <v>0.94</v>
      </c>
      <c r="CH16" s="18"/>
      <c r="CI16" s="14">
        <v>4196</v>
      </c>
      <c r="CJ16" s="14">
        <v>6750</v>
      </c>
      <c r="CK16" s="14">
        <v>0.62</v>
      </c>
      <c r="CM16" s="14">
        <v>302</v>
      </c>
      <c r="CN16" s="14">
        <v>2000</v>
      </c>
      <c r="CO16" s="14">
        <v>0.15085821562667601</v>
      </c>
      <c r="CQ16" s="14">
        <v>49.1</v>
      </c>
      <c r="CR16" s="14">
        <v>27.2</v>
      </c>
      <c r="CS16" s="14" t="s">
        <v>423</v>
      </c>
      <c r="CT16" s="30">
        <v>52</v>
      </c>
      <c r="CU16" s="14">
        <v>26.9</v>
      </c>
      <c r="CV16" s="14" t="s">
        <v>423</v>
      </c>
      <c r="DF16" s="31" t="str">
        <f t="shared" si="2"/>
        <v>I-95 WB Jerome off</v>
      </c>
      <c r="DG16" s="25" t="str">
        <f t="shared" si="3"/>
        <v>Jerome off</v>
      </c>
      <c r="DH16" s="25" t="str">
        <f>BasicInput!$D$13&amp;$DH$2&amp;B16&amp;"_"&amp;C16&amp;D16&amp;"_"&amp;BasicInput!$D$7&amp;BasicInput!$D$8&amp;"_"&amp;DG16&amp;".xuf"</f>
        <v>C:\PWWORKING\east01\d2591108\Ramps\9_I-95WB_2019EX_PM_Jerome off.xuf</v>
      </c>
    </row>
    <row r="17" spans="5:112" x14ac:dyDescent="0.2">
      <c r="U17" s="26"/>
      <c r="AM17" s="18"/>
      <c r="AS17" s="18"/>
      <c r="AX17" s="17"/>
      <c r="BI17" s="18"/>
      <c r="BO17" s="18"/>
      <c r="BT17" s="18"/>
      <c r="CA17" s="18"/>
      <c r="CH17" s="18"/>
      <c r="DF17" s="31" t="str">
        <f t="shared" ref="DF17:DF80" si="4">C17&amp; " "&amp;D17&amp;" " &amp;E17</f>
        <v xml:space="preserve">  </v>
      </c>
      <c r="DG17" s="25" t="str">
        <f t="shared" ref="DG17:DG80" si="5">SUBSTITUTE(E17, "/", "_")</f>
        <v/>
      </c>
      <c r="DH17" s="25" t="str">
        <f>BasicInput!$D$13&amp;$DH$2&amp;B17&amp;"_"&amp;C17&amp;D17&amp;"_"&amp;BasicInput!$D$7&amp;BasicInput!$D$8&amp;"_"&amp;DG17&amp;".xuf"</f>
        <v>C:\PWWORKING\east01\d2591108\Ramps\__2019EX_PM_.xuf</v>
      </c>
    </row>
    <row r="18" spans="5:112" x14ac:dyDescent="0.2">
      <c r="E18" s="48"/>
      <c r="AM18" s="18"/>
      <c r="AS18" s="18"/>
      <c r="AX18" s="17"/>
      <c r="BI18" s="18"/>
      <c r="BO18" s="18"/>
      <c r="BT18" s="18"/>
      <c r="CA18" s="18"/>
      <c r="CH18" s="18"/>
      <c r="DF18" s="31" t="str">
        <f t="shared" si="4"/>
        <v xml:space="preserve">  </v>
      </c>
      <c r="DG18" s="25" t="str">
        <f t="shared" si="5"/>
        <v/>
      </c>
      <c r="DH18" s="25" t="str">
        <f>BasicInput!$D$13&amp;$DH$2&amp;B18&amp;"_"&amp;C18&amp;D18&amp;"_"&amp;BasicInput!$D$7&amp;BasicInput!$D$8&amp;"_"&amp;DG18&amp;".xuf"</f>
        <v>C:\PWWORKING\east01\d2591108\Ramps\__2019EX_PM_.xuf</v>
      </c>
    </row>
    <row r="19" spans="5:112" x14ac:dyDescent="0.2">
      <c r="E19" s="48"/>
      <c r="AM19" s="18"/>
      <c r="AS19" s="18"/>
      <c r="AX19" s="17"/>
      <c r="BI19" s="18"/>
      <c r="BO19" s="18"/>
      <c r="BT19" s="18"/>
      <c r="CA19" s="18"/>
      <c r="CH19" s="18"/>
      <c r="DF19" s="31" t="str">
        <f t="shared" si="4"/>
        <v xml:space="preserve">  </v>
      </c>
      <c r="DG19" s="25" t="str">
        <f t="shared" si="5"/>
        <v/>
      </c>
      <c r="DH19" s="25" t="str">
        <f>BasicInput!$D$13&amp;$DH$2&amp;B19&amp;"_"&amp;C19&amp;D19&amp;"_"&amp;BasicInput!$D$7&amp;BasicInput!$D$8&amp;"_"&amp;DG19&amp;".xuf"</f>
        <v>C:\PWWORKING\east01\d2591108\Ramps\__2019EX_PM_.xuf</v>
      </c>
    </row>
    <row r="20" spans="5:112" x14ac:dyDescent="0.2">
      <c r="AM20" s="18"/>
      <c r="AS20" s="18"/>
      <c r="AX20" s="17"/>
      <c r="BI20" s="18"/>
      <c r="BO20" s="18"/>
      <c r="BT20" s="18"/>
      <c r="CA20" s="18"/>
      <c r="CH20" s="18"/>
      <c r="DF20" s="31" t="str">
        <f t="shared" si="4"/>
        <v xml:space="preserve">  </v>
      </c>
      <c r="DG20" s="25" t="str">
        <f t="shared" si="5"/>
        <v/>
      </c>
      <c r="DH20" s="25" t="str">
        <f>BasicInput!$D$13&amp;$DH$2&amp;B20&amp;"_"&amp;C20&amp;D20&amp;"_"&amp;BasicInput!$D$7&amp;BasicInput!$D$8&amp;"_"&amp;DG20&amp;".xuf"</f>
        <v>C:\PWWORKING\east01\d2591108\Ramps\__2019EX_PM_.xuf</v>
      </c>
    </row>
    <row r="21" spans="5:112" x14ac:dyDescent="0.2">
      <c r="AM21" s="18"/>
      <c r="AS21" s="18"/>
      <c r="AX21" s="17"/>
      <c r="BI21" s="18"/>
      <c r="BO21" s="18"/>
      <c r="BT21" s="18"/>
      <c r="CA21" s="18"/>
      <c r="CH21" s="18"/>
      <c r="DF21" s="31" t="str">
        <f t="shared" si="4"/>
        <v xml:space="preserve">  </v>
      </c>
      <c r="DG21" s="25" t="str">
        <f t="shared" si="5"/>
        <v/>
      </c>
      <c r="DH21" s="25" t="str">
        <f>BasicInput!$D$13&amp;$DH$2&amp;B21&amp;"_"&amp;C21&amp;D21&amp;"_"&amp;BasicInput!$D$7&amp;BasicInput!$D$8&amp;"_"&amp;DG21&amp;".xuf"</f>
        <v>C:\PWWORKING\east01\d2591108\Ramps\__2019EX_PM_.xuf</v>
      </c>
    </row>
    <row r="22" spans="5:112" x14ac:dyDescent="0.2">
      <c r="AM22" s="18"/>
      <c r="AS22" s="18"/>
      <c r="AX22" s="17"/>
      <c r="BI22" s="18"/>
      <c r="BO22" s="18"/>
      <c r="BT22" s="18"/>
      <c r="CA22" s="18"/>
      <c r="CH22" s="18"/>
      <c r="DF22" s="31" t="str">
        <f t="shared" si="4"/>
        <v xml:space="preserve">  </v>
      </c>
      <c r="DG22" s="25" t="str">
        <f t="shared" si="5"/>
        <v/>
      </c>
      <c r="DH22" s="25" t="str">
        <f>BasicInput!$D$13&amp;$DH$2&amp;B22&amp;"_"&amp;C22&amp;D22&amp;"_"&amp;BasicInput!$D$7&amp;BasicInput!$D$8&amp;"_"&amp;DG22&amp;".xuf"</f>
        <v>C:\PWWORKING\east01\d2591108\Ramps\__2019EX_PM_.xuf</v>
      </c>
    </row>
    <row r="23" spans="5:112" x14ac:dyDescent="0.2">
      <c r="AM23" s="18"/>
      <c r="AS23" s="18"/>
      <c r="AX23" s="17"/>
      <c r="BI23" s="18"/>
      <c r="BO23" s="18"/>
      <c r="BT23" s="18"/>
      <c r="CA23" s="18"/>
      <c r="CH23" s="18"/>
      <c r="DF23" s="31" t="str">
        <f t="shared" si="4"/>
        <v xml:space="preserve">  </v>
      </c>
      <c r="DG23" s="25" t="str">
        <f t="shared" si="5"/>
        <v/>
      </c>
      <c r="DH23" s="25" t="str">
        <f>BasicInput!$D$13&amp;$DH$2&amp;B23&amp;"_"&amp;C23&amp;D23&amp;"_"&amp;BasicInput!$D$7&amp;BasicInput!$D$8&amp;"_"&amp;DG23&amp;".xuf"</f>
        <v>C:\PWWORKING\east01\d2591108\Ramps\__2019EX_PM_.xuf</v>
      </c>
    </row>
    <row r="24" spans="5:112" x14ac:dyDescent="0.2">
      <c r="AM24" s="18"/>
      <c r="AS24" s="18"/>
      <c r="AX24" s="17"/>
      <c r="BI24" s="18"/>
      <c r="BO24" s="18"/>
      <c r="BT24" s="18"/>
      <c r="CA24" s="18"/>
      <c r="CH24" s="18"/>
      <c r="DF24" s="31" t="str">
        <f t="shared" si="4"/>
        <v xml:space="preserve">  </v>
      </c>
      <c r="DG24" s="25" t="str">
        <f t="shared" si="5"/>
        <v/>
      </c>
      <c r="DH24" s="25" t="str">
        <f>BasicInput!$D$13&amp;$DH$2&amp;B24&amp;"_"&amp;C24&amp;D24&amp;"_"&amp;BasicInput!$D$7&amp;BasicInput!$D$8&amp;"_"&amp;DG24&amp;".xuf"</f>
        <v>C:\PWWORKING\east01\d2591108\Ramps\__2019EX_PM_.xuf</v>
      </c>
    </row>
    <row r="25" spans="5:112" x14ac:dyDescent="0.2">
      <c r="AM25" s="18"/>
      <c r="AS25" s="18"/>
      <c r="AX25" s="17"/>
      <c r="BI25" s="18"/>
      <c r="BO25" s="18"/>
      <c r="BT25" s="18"/>
      <c r="CA25" s="18"/>
      <c r="CH25" s="18"/>
      <c r="DF25" s="31" t="str">
        <f t="shared" si="4"/>
        <v xml:space="preserve">  </v>
      </c>
      <c r="DG25" s="25" t="str">
        <f t="shared" si="5"/>
        <v/>
      </c>
      <c r="DH25" s="25" t="str">
        <f>BasicInput!$D$13&amp;$DH$2&amp;B25&amp;"_"&amp;C25&amp;D25&amp;"_"&amp;BasicInput!$D$7&amp;BasicInput!$D$8&amp;"_"&amp;DG25&amp;".xuf"</f>
        <v>C:\PWWORKING\east01\d2591108\Ramps\__2019EX_PM_.xuf</v>
      </c>
    </row>
    <row r="26" spans="5:112" x14ac:dyDescent="0.2">
      <c r="AM26" s="18"/>
      <c r="AS26" s="18"/>
      <c r="AX26" s="17"/>
      <c r="BI26" s="18"/>
      <c r="BO26" s="18"/>
      <c r="BT26" s="18"/>
      <c r="CA26" s="18"/>
      <c r="CH26" s="18"/>
      <c r="DF26" s="31" t="str">
        <f t="shared" si="4"/>
        <v xml:space="preserve">  </v>
      </c>
      <c r="DG26" s="25" t="str">
        <f t="shared" si="5"/>
        <v/>
      </c>
      <c r="DH26" s="25" t="str">
        <f>BasicInput!$D$13&amp;$DH$2&amp;B26&amp;"_"&amp;C26&amp;D26&amp;"_"&amp;BasicInput!$D$7&amp;BasicInput!$D$8&amp;"_"&amp;DG26&amp;".xuf"</f>
        <v>C:\PWWORKING\east01\d2591108\Ramps\__2019EX_PM_.xuf</v>
      </c>
    </row>
    <row r="27" spans="5:112" x14ac:dyDescent="0.2">
      <c r="AM27" s="18"/>
      <c r="AS27" s="18"/>
      <c r="AX27" s="17"/>
      <c r="BI27" s="18"/>
      <c r="BO27" s="18"/>
      <c r="BT27" s="18"/>
      <c r="CA27" s="18"/>
      <c r="CH27" s="18"/>
      <c r="DF27" s="31" t="str">
        <f t="shared" si="4"/>
        <v xml:space="preserve">  </v>
      </c>
      <c r="DG27" s="25" t="str">
        <f t="shared" si="5"/>
        <v/>
      </c>
      <c r="DH27" s="25" t="str">
        <f>BasicInput!$D$13&amp;$DH$2&amp;B27&amp;"_"&amp;C27&amp;D27&amp;"_"&amp;BasicInput!$D$7&amp;BasicInput!$D$8&amp;"_"&amp;DG27&amp;".xuf"</f>
        <v>C:\PWWORKING\east01\d2591108\Ramps\__2019EX_PM_.xuf</v>
      </c>
    </row>
    <row r="28" spans="5:112" x14ac:dyDescent="0.2">
      <c r="AM28" s="18"/>
      <c r="AS28" s="18"/>
      <c r="AX28" s="17"/>
      <c r="BI28" s="18"/>
      <c r="BO28" s="18"/>
      <c r="BT28" s="18"/>
      <c r="CA28" s="18"/>
      <c r="CH28" s="18"/>
      <c r="DF28" s="31" t="str">
        <f t="shared" si="4"/>
        <v xml:space="preserve">  </v>
      </c>
      <c r="DG28" s="25" t="str">
        <f t="shared" si="5"/>
        <v/>
      </c>
      <c r="DH28" s="25" t="str">
        <f>BasicInput!$D$13&amp;$DH$2&amp;B28&amp;"_"&amp;C28&amp;D28&amp;"_"&amp;BasicInput!$D$7&amp;BasicInput!$D$8&amp;"_"&amp;DG28&amp;".xuf"</f>
        <v>C:\PWWORKING\east01\d2591108\Ramps\__2019EX_PM_.xuf</v>
      </c>
    </row>
    <row r="29" spans="5:112" x14ac:dyDescent="0.2">
      <c r="AM29" s="18"/>
      <c r="AS29" s="18"/>
      <c r="AX29" s="17"/>
      <c r="BI29" s="18"/>
      <c r="BO29" s="18"/>
      <c r="BT29" s="18"/>
      <c r="CA29" s="18"/>
      <c r="CH29" s="18"/>
      <c r="DF29" s="31" t="str">
        <f t="shared" si="4"/>
        <v xml:space="preserve">  </v>
      </c>
      <c r="DG29" s="25" t="str">
        <f t="shared" si="5"/>
        <v/>
      </c>
      <c r="DH29" s="25" t="str">
        <f>BasicInput!$D$13&amp;$DH$2&amp;B29&amp;"_"&amp;C29&amp;D29&amp;"_"&amp;BasicInput!$D$7&amp;BasicInput!$D$8&amp;"_"&amp;DG29&amp;".xuf"</f>
        <v>C:\PWWORKING\east01\d2591108\Ramps\__2019EX_PM_.xuf</v>
      </c>
    </row>
    <row r="30" spans="5:112" x14ac:dyDescent="0.2">
      <c r="AM30" s="18"/>
      <c r="AS30" s="18"/>
      <c r="AX30" s="17"/>
      <c r="BI30" s="18"/>
      <c r="BO30" s="18"/>
      <c r="BT30" s="18"/>
      <c r="CA30" s="18"/>
      <c r="CH30" s="18"/>
      <c r="DF30" s="31" t="str">
        <f t="shared" si="4"/>
        <v xml:space="preserve">  </v>
      </c>
      <c r="DG30" s="25" t="str">
        <f t="shared" si="5"/>
        <v/>
      </c>
      <c r="DH30" s="25" t="str">
        <f>BasicInput!$D$13&amp;$DH$2&amp;B30&amp;"_"&amp;C30&amp;D30&amp;"_"&amp;BasicInput!$D$7&amp;BasicInput!$D$8&amp;"_"&amp;DG30&amp;".xuf"</f>
        <v>C:\PWWORKING\east01\d2591108\Ramps\__2019EX_PM_.xuf</v>
      </c>
    </row>
    <row r="31" spans="5:112" x14ac:dyDescent="0.2">
      <c r="AM31" s="18"/>
      <c r="AS31" s="18"/>
      <c r="AX31" s="17"/>
      <c r="BI31" s="18"/>
      <c r="BO31" s="18"/>
      <c r="BT31" s="18"/>
      <c r="CA31" s="18"/>
      <c r="CH31" s="18"/>
      <c r="DF31" s="31" t="str">
        <f t="shared" si="4"/>
        <v xml:space="preserve">  </v>
      </c>
      <c r="DG31" s="25" t="str">
        <f t="shared" si="5"/>
        <v/>
      </c>
      <c r="DH31" s="25" t="str">
        <f>BasicInput!$D$13&amp;$DH$2&amp;B31&amp;"_"&amp;C31&amp;D31&amp;"_"&amp;BasicInput!$D$7&amp;BasicInput!$D$8&amp;"_"&amp;DG31&amp;".xuf"</f>
        <v>C:\PWWORKING\east01\d2591108\Ramps\__2019EX_PM_.xuf</v>
      </c>
    </row>
    <row r="32" spans="5:112" x14ac:dyDescent="0.2">
      <c r="AM32" s="18"/>
      <c r="AS32" s="18"/>
      <c r="AX32" s="17"/>
      <c r="BI32" s="18"/>
      <c r="BO32" s="18"/>
      <c r="BT32" s="18"/>
      <c r="CA32" s="18"/>
      <c r="CH32" s="18"/>
      <c r="DF32" s="31" t="str">
        <f t="shared" si="4"/>
        <v xml:space="preserve">  </v>
      </c>
      <c r="DG32" s="25" t="str">
        <f t="shared" si="5"/>
        <v/>
      </c>
      <c r="DH32" s="25" t="str">
        <f>BasicInput!$D$13&amp;$DH$2&amp;B32&amp;"_"&amp;C32&amp;D32&amp;"_"&amp;BasicInput!$D$7&amp;BasicInput!$D$8&amp;"_"&amp;DG32&amp;".xuf"</f>
        <v>C:\PWWORKING\east01\d2591108\Ramps\__2019EX_PM_.xuf</v>
      </c>
    </row>
    <row r="33" spans="39:112" x14ac:dyDescent="0.2">
      <c r="AM33" s="18"/>
      <c r="AS33" s="18"/>
      <c r="AX33" s="17"/>
      <c r="BI33" s="18"/>
      <c r="BO33" s="18"/>
      <c r="BT33" s="18"/>
      <c r="CA33" s="18"/>
      <c r="CH33" s="18"/>
      <c r="DF33" s="31" t="str">
        <f t="shared" si="4"/>
        <v xml:space="preserve">  </v>
      </c>
      <c r="DG33" s="25" t="str">
        <f t="shared" si="5"/>
        <v/>
      </c>
      <c r="DH33" s="25" t="str">
        <f>BasicInput!$D$13&amp;$DH$2&amp;B33&amp;"_"&amp;C33&amp;D33&amp;"_"&amp;BasicInput!$D$7&amp;BasicInput!$D$8&amp;"_"&amp;DG33&amp;".xuf"</f>
        <v>C:\PWWORKING\east01\d2591108\Ramps\__2019EX_PM_.xuf</v>
      </c>
    </row>
    <row r="34" spans="39:112" x14ac:dyDescent="0.2">
      <c r="AM34" s="18"/>
      <c r="AS34" s="18"/>
      <c r="AX34" s="17"/>
      <c r="BI34" s="18"/>
      <c r="BO34" s="18"/>
      <c r="BT34" s="18"/>
      <c r="CA34" s="18"/>
      <c r="CH34" s="18"/>
      <c r="DF34" s="31" t="str">
        <f t="shared" si="4"/>
        <v xml:space="preserve">  </v>
      </c>
      <c r="DG34" s="25" t="str">
        <f t="shared" si="5"/>
        <v/>
      </c>
      <c r="DH34" s="25" t="str">
        <f>BasicInput!$D$13&amp;$DH$2&amp;B34&amp;"_"&amp;C34&amp;D34&amp;"_"&amp;BasicInput!$D$7&amp;BasicInput!$D$8&amp;"_"&amp;DG34&amp;".xuf"</f>
        <v>C:\PWWORKING\east01\d2591108\Ramps\__2019EX_PM_.xuf</v>
      </c>
    </row>
    <row r="35" spans="39:112" x14ac:dyDescent="0.2">
      <c r="AM35" s="18"/>
      <c r="AS35" s="18"/>
      <c r="AX35" s="17"/>
      <c r="BI35" s="18"/>
      <c r="BO35" s="18"/>
      <c r="BT35" s="18"/>
      <c r="CA35" s="18"/>
      <c r="CH35" s="18"/>
      <c r="DF35" s="31" t="str">
        <f t="shared" si="4"/>
        <v xml:space="preserve">  </v>
      </c>
      <c r="DG35" s="25" t="str">
        <f t="shared" si="5"/>
        <v/>
      </c>
      <c r="DH35" s="25" t="str">
        <f>BasicInput!$D$13&amp;$DH$2&amp;B35&amp;"_"&amp;C35&amp;D35&amp;"_"&amp;BasicInput!$D$7&amp;BasicInput!$D$8&amp;"_"&amp;DG35&amp;".xuf"</f>
        <v>C:\PWWORKING\east01\d2591108\Ramps\__2019EX_PM_.xuf</v>
      </c>
    </row>
    <row r="36" spans="39:112" x14ac:dyDescent="0.2">
      <c r="AM36" s="18"/>
      <c r="AS36" s="18"/>
      <c r="AX36" s="17"/>
      <c r="BI36" s="18"/>
      <c r="BO36" s="18"/>
      <c r="BT36" s="18"/>
      <c r="CA36" s="18"/>
      <c r="CH36" s="18"/>
      <c r="DF36" s="31" t="str">
        <f t="shared" si="4"/>
        <v xml:space="preserve">  </v>
      </c>
      <c r="DG36" s="25" t="str">
        <f t="shared" si="5"/>
        <v/>
      </c>
      <c r="DH36" s="25" t="str">
        <f>BasicInput!$D$13&amp;$DH$2&amp;B36&amp;"_"&amp;C36&amp;D36&amp;"_"&amp;BasicInput!$D$7&amp;BasicInput!$D$8&amp;"_"&amp;DG36&amp;".xuf"</f>
        <v>C:\PWWORKING\east01\d2591108\Ramps\__2019EX_PM_.xuf</v>
      </c>
    </row>
    <row r="37" spans="39:112" x14ac:dyDescent="0.2">
      <c r="AM37" s="18"/>
      <c r="AS37" s="18"/>
      <c r="AX37" s="17"/>
      <c r="BI37" s="18"/>
      <c r="BO37" s="18"/>
      <c r="BT37" s="18"/>
      <c r="CA37" s="18"/>
      <c r="CH37" s="18"/>
      <c r="DF37" s="31" t="str">
        <f t="shared" si="4"/>
        <v xml:space="preserve">  </v>
      </c>
      <c r="DG37" s="25" t="str">
        <f t="shared" si="5"/>
        <v/>
      </c>
      <c r="DH37" s="25" t="str">
        <f>BasicInput!$D$13&amp;$DH$2&amp;B37&amp;"_"&amp;C37&amp;D37&amp;"_"&amp;BasicInput!$D$7&amp;BasicInput!$D$8&amp;"_"&amp;DG37&amp;".xuf"</f>
        <v>C:\PWWORKING\east01\d2591108\Ramps\__2019EX_PM_.xuf</v>
      </c>
    </row>
    <row r="38" spans="39:112" x14ac:dyDescent="0.2">
      <c r="AM38" s="18"/>
      <c r="AS38" s="18"/>
      <c r="AX38" s="17"/>
      <c r="BI38" s="18"/>
      <c r="BO38" s="18"/>
      <c r="BT38" s="18"/>
      <c r="CA38" s="18"/>
      <c r="CH38" s="18"/>
      <c r="DF38" s="31" t="str">
        <f t="shared" si="4"/>
        <v xml:space="preserve">  </v>
      </c>
      <c r="DG38" s="25" t="str">
        <f t="shared" si="5"/>
        <v/>
      </c>
      <c r="DH38" s="25" t="str">
        <f>BasicInput!$D$13&amp;$DH$2&amp;B38&amp;"_"&amp;C38&amp;D38&amp;"_"&amp;BasicInput!$D$7&amp;BasicInput!$D$8&amp;"_"&amp;DG38&amp;".xuf"</f>
        <v>C:\PWWORKING\east01\d2591108\Ramps\__2019EX_PM_.xuf</v>
      </c>
    </row>
    <row r="39" spans="39:112" x14ac:dyDescent="0.2">
      <c r="AM39" s="18"/>
      <c r="AS39" s="18"/>
      <c r="AX39" s="17"/>
      <c r="BI39" s="18"/>
      <c r="BO39" s="18"/>
      <c r="BT39" s="18"/>
      <c r="CA39" s="18"/>
      <c r="CH39" s="18"/>
      <c r="DF39" s="31" t="str">
        <f t="shared" si="4"/>
        <v xml:space="preserve">  </v>
      </c>
      <c r="DG39" s="25" t="str">
        <f t="shared" si="5"/>
        <v/>
      </c>
      <c r="DH39" s="25" t="str">
        <f>BasicInput!$D$13&amp;$DH$2&amp;B39&amp;"_"&amp;C39&amp;D39&amp;"_"&amp;BasicInput!$D$7&amp;BasicInput!$D$8&amp;"_"&amp;DG39&amp;".xuf"</f>
        <v>C:\PWWORKING\east01\d2591108\Ramps\__2019EX_PM_.xuf</v>
      </c>
    </row>
    <row r="40" spans="39:112" x14ac:dyDescent="0.2">
      <c r="AM40" s="18"/>
      <c r="AS40" s="18"/>
      <c r="AX40" s="17"/>
      <c r="BI40" s="18"/>
      <c r="BO40" s="18"/>
      <c r="BT40" s="18"/>
      <c r="CA40" s="18"/>
      <c r="CH40" s="18"/>
      <c r="DF40" s="31" t="str">
        <f t="shared" si="4"/>
        <v xml:space="preserve">  </v>
      </c>
      <c r="DG40" s="25" t="str">
        <f t="shared" si="5"/>
        <v/>
      </c>
      <c r="DH40" s="25" t="str">
        <f>BasicInput!$D$13&amp;$DH$2&amp;B40&amp;"_"&amp;C40&amp;D40&amp;"_"&amp;BasicInput!$D$7&amp;BasicInput!$D$8&amp;"_"&amp;DG40&amp;".xuf"</f>
        <v>C:\PWWORKING\east01\d2591108\Ramps\__2019EX_PM_.xuf</v>
      </c>
    </row>
    <row r="41" spans="39:112" x14ac:dyDescent="0.2">
      <c r="AM41" s="18"/>
      <c r="AS41" s="18"/>
      <c r="AX41" s="17"/>
      <c r="BI41" s="18"/>
      <c r="BO41" s="18"/>
      <c r="BT41" s="18"/>
      <c r="CA41" s="18"/>
      <c r="CH41" s="18"/>
      <c r="DF41" s="31" t="str">
        <f t="shared" si="4"/>
        <v xml:space="preserve">  </v>
      </c>
      <c r="DG41" s="25" t="str">
        <f t="shared" si="5"/>
        <v/>
      </c>
      <c r="DH41" s="25" t="str">
        <f>BasicInput!$D$13&amp;$DH$2&amp;B41&amp;"_"&amp;C41&amp;D41&amp;"_"&amp;BasicInput!$D$7&amp;BasicInput!$D$8&amp;"_"&amp;DG41&amp;".xuf"</f>
        <v>C:\PWWORKING\east01\d2591108\Ramps\__2019EX_PM_.xuf</v>
      </c>
    </row>
    <row r="42" spans="39:112" x14ac:dyDescent="0.2">
      <c r="AM42" s="18"/>
      <c r="AS42" s="18"/>
      <c r="AX42" s="17"/>
      <c r="BI42" s="18"/>
      <c r="BO42" s="18"/>
      <c r="BT42" s="18"/>
      <c r="CA42" s="18"/>
      <c r="CH42" s="18"/>
      <c r="DF42" s="31" t="str">
        <f t="shared" si="4"/>
        <v xml:space="preserve">  </v>
      </c>
      <c r="DG42" s="25" t="str">
        <f t="shared" si="5"/>
        <v/>
      </c>
      <c r="DH42" s="25" t="str">
        <f>BasicInput!$D$13&amp;$DH$2&amp;B42&amp;"_"&amp;C42&amp;D42&amp;"_"&amp;BasicInput!$D$7&amp;BasicInput!$D$8&amp;"_"&amp;DG42&amp;".xuf"</f>
        <v>C:\PWWORKING\east01\d2591108\Ramps\__2019EX_PM_.xuf</v>
      </c>
    </row>
    <row r="43" spans="39:112" x14ac:dyDescent="0.2">
      <c r="AM43" s="18"/>
      <c r="AS43" s="18"/>
      <c r="AX43" s="17"/>
      <c r="BI43" s="18"/>
      <c r="BO43" s="18"/>
      <c r="BT43" s="18"/>
      <c r="CA43" s="18"/>
      <c r="CH43" s="18"/>
      <c r="DF43" s="31" t="str">
        <f t="shared" si="4"/>
        <v xml:space="preserve">  </v>
      </c>
      <c r="DG43" s="25" t="str">
        <f t="shared" si="5"/>
        <v/>
      </c>
      <c r="DH43" s="25" t="str">
        <f>BasicInput!$D$13&amp;$DH$2&amp;B43&amp;"_"&amp;C43&amp;D43&amp;"_"&amp;BasicInput!$D$7&amp;BasicInput!$D$8&amp;"_"&amp;DG43&amp;".xuf"</f>
        <v>C:\PWWORKING\east01\d2591108\Ramps\__2019EX_PM_.xuf</v>
      </c>
    </row>
    <row r="44" spans="39:112" x14ac:dyDescent="0.2">
      <c r="AM44" s="18"/>
      <c r="AS44" s="18"/>
      <c r="AX44" s="17"/>
      <c r="BI44" s="18"/>
      <c r="BO44" s="18"/>
      <c r="BT44" s="18"/>
      <c r="CA44" s="18"/>
      <c r="CH44" s="18"/>
      <c r="DF44" s="31" t="str">
        <f t="shared" si="4"/>
        <v xml:space="preserve">  </v>
      </c>
      <c r="DG44" s="25" t="str">
        <f t="shared" si="5"/>
        <v/>
      </c>
      <c r="DH44" s="25" t="str">
        <f>BasicInput!$D$13&amp;$DH$2&amp;B44&amp;"_"&amp;C44&amp;D44&amp;"_"&amp;BasicInput!$D$7&amp;BasicInput!$D$8&amp;"_"&amp;DG44&amp;".xuf"</f>
        <v>C:\PWWORKING\east01\d2591108\Ramps\__2019EX_PM_.xuf</v>
      </c>
    </row>
    <row r="45" spans="39:112" x14ac:dyDescent="0.2">
      <c r="AM45" s="18"/>
      <c r="AS45" s="18"/>
      <c r="AX45" s="17"/>
      <c r="BI45" s="18"/>
      <c r="BO45" s="18"/>
      <c r="BT45" s="18"/>
      <c r="CA45" s="18"/>
      <c r="CH45" s="18"/>
      <c r="DF45" s="31" t="str">
        <f t="shared" si="4"/>
        <v xml:space="preserve">  </v>
      </c>
      <c r="DG45" s="25" t="str">
        <f t="shared" si="5"/>
        <v/>
      </c>
      <c r="DH45" s="25" t="str">
        <f>BasicInput!$D$13&amp;$DH$2&amp;B45&amp;"_"&amp;C45&amp;D45&amp;"_"&amp;BasicInput!$D$7&amp;BasicInput!$D$8&amp;"_"&amp;DG45&amp;".xuf"</f>
        <v>C:\PWWORKING\east01\d2591108\Ramps\__2019EX_PM_.xuf</v>
      </c>
    </row>
    <row r="46" spans="39:112" x14ac:dyDescent="0.2">
      <c r="AM46" s="18"/>
      <c r="AS46" s="18"/>
      <c r="AX46" s="17"/>
      <c r="BI46" s="18"/>
      <c r="BO46" s="18"/>
      <c r="BT46" s="18"/>
      <c r="CA46" s="18"/>
      <c r="CH46" s="18"/>
      <c r="DF46" s="31" t="str">
        <f t="shared" si="4"/>
        <v xml:space="preserve">  </v>
      </c>
      <c r="DG46" s="25" t="str">
        <f t="shared" si="5"/>
        <v/>
      </c>
      <c r="DH46" s="25" t="str">
        <f>BasicInput!$D$13&amp;$DH$2&amp;B46&amp;"_"&amp;C46&amp;D46&amp;"_"&amp;BasicInput!$D$7&amp;BasicInput!$D$8&amp;"_"&amp;DG46&amp;".xuf"</f>
        <v>C:\PWWORKING\east01\d2591108\Ramps\__2019EX_PM_.xuf</v>
      </c>
    </row>
    <row r="47" spans="39:112" x14ac:dyDescent="0.2">
      <c r="AM47" s="18"/>
      <c r="AS47" s="18"/>
      <c r="AX47" s="17"/>
      <c r="BI47" s="18"/>
      <c r="BO47" s="18"/>
      <c r="BT47" s="18"/>
      <c r="CA47" s="18"/>
      <c r="CH47" s="18"/>
      <c r="DF47" s="31" t="str">
        <f t="shared" si="4"/>
        <v xml:space="preserve">  </v>
      </c>
      <c r="DG47" s="25" t="str">
        <f t="shared" si="5"/>
        <v/>
      </c>
      <c r="DH47" s="25" t="str">
        <f>BasicInput!$D$13&amp;$DH$2&amp;B47&amp;"_"&amp;C47&amp;D47&amp;"_"&amp;BasicInput!$D$7&amp;BasicInput!$D$8&amp;"_"&amp;DG47&amp;".xuf"</f>
        <v>C:\PWWORKING\east01\d2591108\Ramps\__2019EX_PM_.xuf</v>
      </c>
    </row>
    <row r="48" spans="39:112" x14ac:dyDescent="0.2">
      <c r="AM48" s="18"/>
      <c r="AS48" s="18"/>
      <c r="AX48" s="17"/>
      <c r="BI48" s="18"/>
      <c r="BO48" s="18"/>
      <c r="BT48" s="18"/>
      <c r="CA48" s="18"/>
      <c r="CH48" s="18"/>
      <c r="DF48" s="31" t="str">
        <f t="shared" si="4"/>
        <v xml:space="preserve">  </v>
      </c>
      <c r="DG48" s="25" t="str">
        <f t="shared" si="5"/>
        <v/>
      </c>
      <c r="DH48" s="25" t="str">
        <f>BasicInput!$D$13&amp;$DH$2&amp;B48&amp;"_"&amp;C48&amp;D48&amp;"_"&amp;BasicInput!$D$7&amp;BasicInput!$D$8&amp;"_"&amp;DG48&amp;".xuf"</f>
        <v>C:\PWWORKING\east01\d2591108\Ramps\__2019EX_PM_.xuf</v>
      </c>
    </row>
    <row r="49" spans="39:112" x14ac:dyDescent="0.2">
      <c r="AM49" s="18"/>
      <c r="AS49" s="18"/>
      <c r="AX49" s="17"/>
      <c r="BI49" s="18"/>
      <c r="BO49" s="18"/>
      <c r="BT49" s="18"/>
      <c r="CA49" s="18"/>
      <c r="CH49" s="18"/>
      <c r="DF49" s="31" t="str">
        <f t="shared" si="4"/>
        <v xml:space="preserve">  </v>
      </c>
      <c r="DG49" s="25" t="str">
        <f t="shared" si="5"/>
        <v/>
      </c>
      <c r="DH49" s="25" t="str">
        <f>BasicInput!$D$13&amp;$DH$2&amp;B49&amp;"_"&amp;C49&amp;D49&amp;"_"&amp;BasicInput!$D$7&amp;BasicInput!$D$8&amp;"_"&amp;DG49&amp;".xuf"</f>
        <v>C:\PWWORKING\east01\d2591108\Ramps\__2019EX_PM_.xuf</v>
      </c>
    </row>
    <row r="50" spans="39:112" x14ac:dyDescent="0.2">
      <c r="AM50" s="18"/>
      <c r="AS50" s="18"/>
      <c r="AX50" s="17"/>
      <c r="BI50" s="18"/>
      <c r="BO50" s="18"/>
      <c r="BT50" s="18"/>
      <c r="CA50" s="18"/>
      <c r="CH50" s="18"/>
      <c r="DF50" s="31" t="str">
        <f t="shared" si="4"/>
        <v xml:space="preserve">  </v>
      </c>
      <c r="DG50" s="25" t="str">
        <f t="shared" si="5"/>
        <v/>
      </c>
      <c r="DH50" s="25" t="str">
        <f>BasicInput!$D$13&amp;$DH$2&amp;B50&amp;"_"&amp;C50&amp;D50&amp;"_"&amp;BasicInput!$D$7&amp;BasicInput!$D$8&amp;"_"&amp;DG50&amp;".xuf"</f>
        <v>C:\PWWORKING\east01\d2591108\Ramps\__2019EX_PM_.xuf</v>
      </c>
    </row>
    <row r="51" spans="39:112" x14ac:dyDescent="0.2">
      <c r="AM51" s="18"/>
      <c r="AS51" s="18"/>
      <c r="AX51" s="17"/>
      <c r="BI51" s="18"/>
      <c r="BO51" s="18"/>
      <c r="BT51" s="18"/>
      <c r="CA51" s="18"/>
      <c r="CH51" s="18"/>
      <c r="DF51" s="31" t="str">
        <f t="shared" si="4"/>
        <v xml:space="preserve">  </v>
      </c>
      <c r="DG51" s="25" t="str">
        <f t="shared" si="5"/>
        <v/>
      </c>
      <c r="DH51" s="25" t="str">
        <f>BasicInput!$D$13&amp;$DH$2&amp;B51&amp;"_"&amp;C51&amp;D51&amp;"_"&amp;BasicInput!$D$7&amp;BasicInput!$D$8&amp;"_"&amp;DG51&amp;".xuf"</f>
        <v>C:\PWWORKING\east01\d2591108\Ramps\__2019EX_PM_.xuf</v>
      </c>
    </row>
    <row r="52" spans="39:112" x14ac:dyDescent="0.2">
      <c r="AM52" s="18"/>
      <c r="AS52" s="18"/>
      <c r="AX52" s="17"/>
      <c r="BI52" s="18"/>
      <c r="BO52" s="18"/>
      <c r="BT52" s="18"/>
      <c r="CA52" s="18"/>
      <c r="CH52" s="18"/>
      <c r="DF52" s="31" t="str">
        <f t="shared" si="4"/>
        <v xml:space="preserve">  </v>
      </c>
      <c r="DG52" s="25" t="str">
        <f t="shared" si="5"/>
        <v/>
      </c>
      <c r="DH52" s="25" t="str">
        <f>BasicInput!$D$13&amp;$DH$2&amp;B52&amp;"_"&amp;C52&amp;D52&amp;"_"&amp;BasicInput!$D$7&amp;BasicInput!$D$8&amp;"_"&amp;DG52&amp;".xuf"</f>
        <v>C:\PWWORKING\east01\d2591108\Ramps\__2019EX_PM_.xuf</v>
      </c>
    </row>
    <row r="53" spans="39:112" x14ac:dyDescent="0.2">
      <c r="AM53" s="18"/>
      <c r="AS53" s="18"/>
      <c r="AX53" s="17"/>
      <c r="BI53" s="18"/>
      <c r="BO53" s="18"/>
      <c r="BT53" s="18"/>
      <c r="CA53" s="18"/>
      <c r="CH53" s="18"/>
      <c r="DF53" s="31" t="str">
        <f t="shared" si="4"/>
        <v xml:space="preserve">  </v>
      </c>
      <c r="DG53" s="25" t="str">
        <f t="shared" si="5"/>
        <v/>
      </c>
      <c r="DH53" s="25" t="str">
        <f>BasicInput!$D$13&amp;$DH$2&amp;B53&amp;"_"&amp;C53&amp;D53&amp;"_"&amp;BasicInput!$D$7&amp;BasicInput!$D$8&amp;"_"&amp;DG53&amp;".xuf"</f>
        <v>C:\PWWORKING\east01\d2591108\Ramps\__2019EX_PM_.xuf</v>
      </c>
    </row>
    <row r="54" spans="39:112" x14ac:dyDescent="0.2">
      <c r="AM54" s="18"/>
      <c r="AS54" s="18"/>
      <c r="AX54" s="17"/>
      <c r="BI54" s="18"/>
      <c r="BO54" s="18"/>
      <c r="BT54" s="18"/>
      <c r="CA54" s="18"/>
      <c r="CH54" s="18"/>
      <c r="DF54" s="31" t="str">
        <f t="shared" si="4"/>
        <v xml:space="preserve">  </v>
      </c>
      <c r="DG54" s="25" t="str">
        <f t="shared" si="5"/>
        <v/>
      </c>
      <c r="DH54" s="25" t="str">
        <f>BasicInput!$D$13&amp;$DH$2&amp;B54&amp;"_"&amp;C54&amp;D54&amp;"_"&amp;BasicInput!$D$7&amp;BasicInput!$D$8&amp;"_"&amp;DG54&amp;".xuf"</f>
        <v>C:\PWWORKING\east01\d2591108\Ramps\__2019EX_PM_.xuf</v>
      </c>
    </row>
    <row r="55" spans="39:112" x14ac:dyDescent="0.2">
      <c r="AM55" s="18"/>
      <c r="AS55" s="18"/>
      <c r="AX55" s="17"/>
      <c r="BI55" s="18"/>
      <c r="BO55" s="18"/>
      <c r="BT55" s="18"/>
      <c r="CA55" s="18"/>
      <c r="CH55" s="18"/>
      <c r="DF55" s="31" t="str">
        <f t="shared" si="4"/>
        <v xml:space="preserve">  </v>
      </c>
      <c r="DG55" s="25" t="str">
        <f t="shared" si="5"/>
        <v/>
      </c>
      <c r="DH55" s="25" t="str">
        <f>BasicInput!$D$13&amp;$DH$2&amp;B55&amp;"_"&amp;C55&amp;D55&amp;"_"&amp;BasicInput!$D$7&amp;BasicInput!$D$8&amp;"_"&amp;DG55&amp;".xuf"</f>
        <v>C:\PWWORKING\east01\d2591108\Ramps\__2019EX_PM_.xuf</v>
      </c>
    </row>
    <row r="56" spans="39:112" x14ac:dyDescent="0.2">
      <c r="AM56" s="18"/>
      <c r="AS56" s="18"/>
      <c r="AX56" s="17"/>
      <c r="BI56" s="18"/>
      <c r="BO56" s="18"/>
      <c r="BT56" s="18"/>
      <c r="CA56" s="18"/>
      <c r="CH56" s="18"/>
      <c r="DF56" s="31" t="str">
        <f t="shared" si="4"/>
        <v xml:space="preserve">  </v>
      </c>
      <c r="DG56" s="25" t="str">
        <f t="shared" si="5"/>
        <v/>
      </c>
      <c r="DH56" s="25" t="str">
        <f>BasicInput!$D$13&amp;$DH$2&amp;B56&amp;"_"&amp;C56&amp;D56&amp;"_"&amp;BasicInput!$D$7&amp;BasicInput!$D$8&amp;"_"&amp;DG56&amp;".xuf"</f>
        <v>C:\PWWORKING\east01\d2591108\Ramps\__2019EX_PM_.xuf</v>
      </c>
    </row>
    <row r="57" spans="39:112" x14ac:dyDescent="0.2">
      <c r="AM57" s="18"/>
      <c r="AS57" s="18"/>
      <c r="AX57" s="17"/>
      <c r="BI57" s="18"/>
      <c r="BO57" s="18"/>
      <c r="BT57" s="18"/>
      <c r="CA57" s="18"/>
      <c r="CH57" s="18"/>
      <c r="DF57" s="31" t="str">
        <f t="shared" si="4"/>
        <v xml:space="preserve">  </v>
      </c>
      <c r="DG57" s="25" t="str">
        <f t="shared" si="5"/>
        <v/>
      </c>
      <c r="DH57" s="25" t="str">
        <f>BasicInput!$D$13&amp;$DH$2&amp;B57&amp;"_"&amp;C57&amp;D57&amp;"_"&amp;BasicInput!$D$7&amp;BasicInput!$D$8&amp;"_"&amp;DG57&amp;".xuf"</f>
        <v>C:\PWWORKING\east01\d2591108\Ramps\__2019EX_PM_.xuf</v>
      </c>
    </row>
    <row r="58" spans="39:112" x14ac:dyDescent="0.2">
      <c r="AM58" s="18"/>
      <c r="AS58" s="18"/>
      <c r="AX58" s="17"/>
      <c r="BI58" s="18"/>
      <c r="BO58" s="18"/>
      <c r="BT58" s="18"/>
      <c r="CA58" s="18"/>
      <c r="CH58" s="18"/>
      <c r="DF58" s="31" t="str">
        <f t="shared" si="4"/>
        <v xml:space="preserve">  </v>
      </c>
      <c r="DG58" s="25" t="str">
        <f t="shared" si="5"/>
        <v/>
      </c>
      <c r="DH58" s="25" t="str">
        <f>BasicInput!$D$13&amp;$DH$2&amp;B58&amp;"_"&amp;C58&amp;D58&amp;"_"&amp;BasicInput!$D$7&amp;BasicInput!$D$8&amp;"_"&amp;DG58&amp;".xuf"</f>
        <v>C:\PWWORKING\east01\d2591108\Ramps\__2019EX_PM_.xuf</v>
      </c>
    </row>
    <row r="59" spans="39:112" x14ac:dyDescent="0.2">
      <c r="AM59" s="18"/>
      <c r="AS59" s="18"/>
      <c r="AX59" s="17"/>
      <c r="BI59" s="18"/>
      <c r="BO59" s="18"/>
      <c r="BT59" s="18"/>
      <c r="CA59" s="18"/>
      <c r="CH59" s="18"/>
      <c r="DF59" s="31" t="str">
        <f t="shared" si="4"/>
        <v xml:space="preserve">  </v>
      </c>
      <c r="DG59" s="25" t="str">
        <f t="shared" si="5"/>
        <v/>
      </c>
      <c r="DH59" s="25" t="str">
        <f>BasicInput!$D$13&amp;$DH$2&amp;B59&amp;"_"&amp;C59&amp;D59&amp;"_"&amp;BasicInput!$D$7&amp;BasicInput!$D$8&amp;"_"&amp;DG59&amp;".xuf"</f>
        <v>C:\PWWORKING\east01\d2591108\Ramps\__2019EX_PM_.xuf</v>
      </c>
    </row>
    <row r="60" spans="39:112" x14ac:dyDescent="0.2">
      <c r="AM60" s="18"/>
      <c r="AS60" s="18"/>
      <c r="AX60" s="17"/>
      <c r="BI60" s="18"/>
      <c r="BO60" s="18"/>
      <c r="BT60" s="18"/>
      <c r="CA60" s="18"/>
      <c r="CH60" s="18"/>
      <c r="DF60" s="31" t="str">
        <f t="shared" si="4"/>
        <v xml:space="preserve">  </v>
      </c>
      <c r="DG60" s="25" t="str">
        <f t="shared" si="5"/>
        <v/>
      </c>
      <c r="DH60" s="25" t="str">
        <f>BasicInput!$D$13&amp;$DH$2&amp;B60&amp;"_"&amp;C60&amp;D60&amp;"_"&amp;BasicInput!$D$7&amp;BasicInput!$D$8&amp;"_"&amp;DG60&amp;".xuf"</f>
        <v>C:\PWWORKING\east01\d2591108\Ramps\__2019EX_PM_.xuf</v>
      </c>
    </row>
    <row r="61" spans="39:112" x14ac:dyDescent="0.2">
      <c r="AM61" s="18"/>
      <c r="AS61" s="18"/>
      <c r="AX61" s="17"/>
      <c r="BI61" s="18"/>
      <c r="BO61" s="18"/>
      <c r="BT61" s="18"/>
      <c r="CA61" s="18"/>
      <c r="CH61" s="18"/>
      <c r="DF61" s="31" t="str">
        <f t="shared" si="4"/>
        <v xml:space="preserve">  </v>
      </c>
      <c r="DG61" s="25" t="str">
        <f t="shared" si="5"/>
        <v/>
      </c>
      <c r="DH61" s="25" t="str">
        <f>BasicInput!$D$13&amp;$DH$2&amp;B61&amp;"_"&amp;C61&amp;D61&amp;"_"&amp;BasicInput!$D$7&amp;BasicInput!$D$8&amp;"_"&amp;DG61&amp;".xuf"</f>
        <v>C:\PWWORKING\east01\d2591108\Ramps\__2019EX_PM_.xuf</v>
      </c>
    </row>
    <row r="62" spans="39:112" x14ac:dyDescent="0.2">
      <c r="AM62" s="18"/>
      <c r="AS62" s="18"/>
      <c r="AX62" s="17"/>
      <c r="BI62" s="18"/>
      <c r="BO62" s="18"/>
      <c r="BT62" s="18"/>
      <c r="CA62" s="18"/>
      <c r="CH62" s="18"/>
      <c r="DF62" s="31" t="str">
        <f t="shared" si="4"/>
        <v xml:space="preserve">  </v>
      </c>
      <c r="DG62" s="25" t="str">
        <f t="shared" si="5"/>
        <v/>
      </c>
      <c r="DH62" s="25" t="str">
        <f>BasicInput!$D$13&amp;$DH$2&amp;B62&amp;"_"&amp;C62&amp;D62&amp;"_"&amp;BasicInput!$D$7&amp;BasicInput!$D$8&amp;"_"&amp;DG62&amp;".xuf"</f>
        <v>C:\PWWORKING\east01\d2591108\Ramps\__2019EX_PM_.xuf</v>
      </c>
    </row>
    <row r="63" spans="39:112" x14ac:dyDescent="0.2">
      <c r="AM63" s="18"/>
      <c r="AS63" s="18"/>
      <c r="AX63" s="17"/>
      <c r="BI63" s="18"/>
      <c r="BO63" s="18"/>
      <c r="BT63" s="18"/>
      <c r="CA63" s="18"/>
      <c r="CH63" s="18"/>
      <c r="DF63" s="31" t="str">
        <f t="shared" si="4"/>
        <v xml:space="preserve">  </v>
      </c>
      <c r="DG63" s="25" t="str">
        <f t="shared" si="5"/>
        <v/>
      </c>
      <c r="DH63" s="25" t="str">
        <f>BasicInput!$D$13&amp;$DH$2&amp;B63&amp;"_"&amp;C63&amp;D63&amp;"_"&amp;BasicInput!$D$7&amp;BasicInput!$D$8&amp;"_"&amp;DG63&amp;".xuf"</f>
        <v>C:\PWWORKING\east01\d2591108\Ramps\__2019EX_PM_.xuf</v>
      </c>
    </row>
    <row r="64" spans="39:112" x14ac:dyDescent="0.2">
      <c r="AM64" s="18"/>
      <c r="AS64" s="18"/>
      <c r="AX64" s="17"/>
      <c r="BI64" s="18"/>
      <c r="BO64" s="18"/>
      <c r="BT64" s="18"/>
      <c r="CA64" s="18"/>
      <c r="CH64" s="18"/>
      <c r="DF64" s="31" t="str">
        <f t="shared" si="4"/>
        <v xml:space="preserve">  </v>
      </c>
      <c r="DG64" s="25" t="str">
        <f t="shared" si="5"/>
        <v/>
      </c>
      <c r="DH64" s="25" t="str">
        <f>BasicInput!$D$13&amp;$DH$2&amp;B64&amp;"_"&amp;C64&amp;D64&amp;"_"&amp;BasicInput!$D$7&amp;BasicInput!$D$8&amp;"_"&amp;DG64&amp;".xuf"</f>
        <v>C:\PWWORKING\east01\d2591108\Ramps\__2019EX_PM_.xuf</v>
      </c>
    </row>
    <row r="65" spans="39:112" x14ac:dyDescent="0.2">
      <c r="AM65" s="18"/>
      <c r="AS65" s="18"/>
      <c r="AX65" s="17"/>
      <c r="BI65" s="18"/>
      <c r="BO65" s="18"/>
      <c r="BT65" s="18"/>
      <c r="CA65" s="18"/>
      <c r="CH65" s="18"/>
      <c r="DF65" s="31" t="str">
        <f t="shared" si="4"/>
        <v xml:space="preserve">  </v>
      </c>
      <c r="DG65" s="25" t="str">
        <f t="shared" si="5"/>
        <v/>
      </c>
      <c r="DH65" s="25" t="str">
        <f>BasicInput!$D$13&amp;$DH$2&amp;B65&amp;"_"&amp;C65&amp;D65&amp;"_"&amp;BasicInput!$D$7&amp;BasicInput!$D$8&amp;"_"&amp;DG65&amp;".xuf"</f>
        <v>C:\PWWORKING\east01\d2591108\Ramps\__2019EX_PM_.xuf</v>
      </c>
    </row>
    <row r="66" spans="39:112" x14ac:dyDescent="0.2">
      <c r="AM66" s="18"/>
      <c r="AS66" s="18"/>
      <c r="AX66" s="17"/>
      <c r="BI66" s="18"/>
      <c r="BO66" s="18"/>
      <c r="BT66" s="18"/>
      <c r="CA66" s="18"/>
      <c r="CH66" s="18"/>
      <c r="DF66" s="31" t="str">
        <f t="shared" si="4"/>
        <v xml:space="preserve">  </v>
      </c>
      <c r="DG66" s="25" t="str">
        <f t="shared" si="5"/>
        <v/>
      </c>
      <c r="DH66" s="25" t="str">
        <f>BasicInput!$D$13&amp;$DH$2&amp;B66&amp;"_"&amp;C66&amp;D66&amp;"_"&amp;BasicInput!$D$7&amp;BasicInput!$D$8&amp;"_"&amp;DG66&amp;".xuf"</f>
        <v>C:\PWWORKING\east01\d2591108\Ramps\__2019EX_PM_.xuf</v>
      </c>
    </row>
    <row r="67" spans="39:112" x14ac:dyDescent="0.2">
      <c r="AM67" s="18"/>
      <c r="AS67" s="18"/>
      <c r="AX67" s="17"/>
      <c r="BI67" s="18"/>
      <c r="BO67" s="18"/>
      <c r="BT67" s="18"/>
      <c r="CA67" s="18"/>
      <c r="CH67" s="18"/>
      <c r="DF67" s="31" t="str">
        <f t="shared" si="4"/>
        <v xml:space="preserve">  </v>
      </c>
      <c r="DG67" s="25" t="str">
        <f t="shared" si="5"/>
        <v/>
      </c>
      <c r="DH67" s="25" t="str">
        <f>BasicInput!$D$13&amp;$DH$2&amp;B67&amp;"_"&amp;C67&amp;D67&amp;"_"&amp;BasicInput!$D$7&amp;BasicInput!$D$8&amp;"_"&amp;DG67&amp;".xuf"</f>
        <v>C:\PWWORKING\east01\d2591108\Ramps\__2019EX_PM_.xuf</v>
      </c>
    </row>
    <row r="68" spans="39:112" x14ac:dyDescent="0.2">
      <c r="AM68" s="18"/>
      <c r="AS68" s="18"/>
      <c r="AX68" s="17"/>
      <c r="BI68" s="18"/>
      <c r="BO68" s="18"/>
      <c r="BT68" s="18"/>
      <c r="CA68" s="18"/>
      <c r="CH68" s="18"/>
      <c r="DF68" s="31" t="str">
        <f t="shared" si="4"/>
        <v xml:space="preserve">  </v>
      </c>
      <c r="DG68" s="25" t="str">
        <f t="shared" si="5"/>
        <v/>
      </c>
      <c r="DH68" s="25" t="str">
        <f>BasicInput!$D$13&amp;$DH$2&amp;B68&amp;"_"&amp;C68&amp;D68&amp;"_"&amp;BasicInput!$D$7&amp;BasicInput!$D$8&amp;"_"&amp;DG68&amp;".xuf"</f>
        <v>C:\PWWORKING\east01\d2591108\Ramps\__2019EX_PM_.xuf</v>
      </c>
    </row>
    <row r="69" spans="39:112" x14ac:dyDescent="0.2">
      <c r="AM69" s="18"/>
      <c r="AS69" s="18"/>
      <c r="AX69" s="17"/>
      <c r="BI69" s="18"/>
      <c r="BO69" s="18"/>
      <c r="BT69" s="18"/>
      <c r="CA69" s="18"/>
      <c r="CH69" s="18"/>
      <c r="DF69" s="31" t="str">
        <f t="shared" si="4"/>
        <v xml:space="preserve">  </v>
      </c>
      <c r="DG69" s="25" t="str">
        <f t="shared" si="5"/>
        <v/>
      </c>
      <c r="DH69" s="25" t="str">
        <f>BasicInput!$D$13&amp;$DH$2&amp;B69&amp;"_"&amp;C69&amp;D69&amp;"_"&amp;BasicInput!$D$7&amp;BasicInput!$D$8&amp;"_"&amp;DG69&amp;".xuf"</f>
        <v>C:\PWWORKING\east01\d2591108\Ramps\__2019EX_PM_.xuf</v>
      </c>
    </row>
    <row r="70" spans="39:112" x14ac:dyDescent="0.2">
      <c r="AM70" s="18"/>
      <c r="AS70" s="18"/>
      <c r="AX70" s="17"/>
      <c r="BI70" s="18"/>
      <c r="BO70" s="18"/>
      <c r="BT70" s="18"/>
      <c r="CA70" s="18"/>
      <c r="CH70" s="18"/>
      <c r="DF70" s="31" t="str">
        <f t="shared" si="4"/>
        <v xml:space="preserve">  </v>
      </c>
      <c r="DG70" s="25" t="str">
        <f t="shared" si="5"/>
        <v/>
      </c>
      <c r="DH70" s="25" t="str">
        <f>BasicInput!$D$13&amp;$DH$2&amp;B70&amp;"_"&amp;C70&amp;D70&amp;"_"&amp;BasicInput!$D$7&amp;BasicInput!$D$8&amp;"_"&amp;DG70&amp;".xuf"</f>
        <v>C:\PWWORKING\east01\d2591108\Ramps\__2019EX_PM_.xuf</v>
      </c>
    </row>
    <row r="71" spans="39:112" x14ac:dyDescent="0.2">
      <c r="AM71" s="18"/>
      <c r="AS71" s="18"/>
      <c r="AX71" s="17"/>
      <c r="BI71" s="18"/>
      <c r="BO71" s="18"/>
      <c r="BT71" s="18"/>
      <c r="CA71" s="18"/>
      <c r="CH71" s="18"/>
      <c r="DF71" s="31" t="str">
        <f t="shared" si="4"/>
        <v xml:space="preserve">  </v>
      </c>
      <c r="DG71" s="25" t="str">
        <f t="shared" si="5"/>
        <v/>
      </c>
      <c r="DH71" s="25" t="str">
        <f>BasicInput!$D$13&amp;$DH$2&amp;B71&amp;"_"&amp;C71&amp;D71&amp;"_"&amp;BasicInput!$D$7&amp;BasicInput!$D$8&amp;"_"&amp;DG71&amp;".xuf"</f>
        <v>C:\PWWORKING\east01\d2591108\Ramps\__2019EX_PM_.xuf</v>
      </c>
    </row>
    <row r="72" spans="39:112" x14ac:dyDescent="0.2">
      <c r="AM72" s="18"/>
      <c r="AS72" s="18"/>
      <c r="AX72" s="17"/>
      <c r="BI72" s="18"/>
      <c r="BO72" s="18"/>
      <c r="BT72" s="18"/>
      <c r="CA72" s="18"/>
      <c r="CH72" s="18"/>
      <c r="DF72" s="31" t="str">
        <f t="shared" si="4"/>
        <v xml:space="preserve">  </v>
      </c>
      <c r="DG72" s="25" t="str">
        <f t="shared" si="5"/>
        <v/>
      </c>
      <c r="DH72" s="25" t="str">
        <f>BasicInput!$D$13&amp;$DH$2&amp;B72&amp;"_"&amp;C72&amp;D72&amp;"_"&amp;BasicInput!$D$7&amp;BasicInput!$D$8&amp;"_"&amp;DG72&amp;".xuf"</f>
        <v>C:\PWWORKING\east01\d2591108\Ramps\__2019EX_PM_.xuf</v>
      </c>
    </row>
    <row r="73" spans="39:112" x14ac:dyDescent="0.2">
      <c r="AM73" s="18"/>
      <c r="AS73" s="18"/>
      <c r="AX73" s="17"/>
      <c r="BI73" s="18"/>
      <c r="BO73" s="18"/>
      <c r="BT73" s="18"/>
      <c r="CA73" s="18"/>
      <c r="CH73" s="18"/>
      <c r="DF73" s="31" t="str">
        <f t="shared" si="4"/>
        <v xml:space="preserve">  </v>
      </c>
      <c r="DG73" s="25" t="str">
        <f t="shared" si="5"/>
        <v/>
      </c>
      <c r="DH73" s="25" t="str">
        <f>BasicInput!$D$13&amp;$DH$2&amp;B73&amp;"_"&amp;C73&amp;D73&amp;"_"&amp;BasicInput!$D$7&amp;BasicInput!$D$8&amp;"_"&amp;DG73&amp;".xuf"</f>
        <v>C:\PWWORKING\east01\d2591108\Ramps\__2019EX_PM_.xuf</v>
      </c>
    </row>
    <row r="74" spans="39:112" x14ac:dyDescent="0.2">
      <c r="AM74" s="18"/>
      <c r="AS74" s="18"/>
      <c r="AX74" s="17"/>
      <c r="BI74" s="18"/>
      <c r="BO74" s="18"/>
      <c r="BT74" s="18"/>
      <c r="CA74" s="18"/>
      <c r="CH74" s="18"/>
      <c r="DF74" s="31" t="str">
        <f t="shared" si="4"/>
        <v xml:space="preserve">  </v>
      </c>
      <c r="DG74" s="25" t="str">
        <f t="shared" si="5"/>
        <v/>
      </c>
      <c r="DH74" s="25" t="str">
        <f>BasicInput!$D$13&amp;$DH$2&amp;B74&amp;"_"&amp;C74&amp;D74&amp;"_"&amp;BasicInput!$D$7&amp;BasicInput!$D$8&amp;"_"&amp;DG74&amp;".xuf"</f>
        <v>C:\PWWORKING\east01\d2591108\Ramps\__2019EX_PM_.xuf</v>
      </c>
    </row>
    <row r="75" spans="39:112" x14ac:dyDescent="0.2">
      <c r="AM75" s="18"/>
      <c r="AS75" s="18"/>
      <c r="AX75" s="17"/>
      <c r="BI75" s="18"/>
      <c r="BO75" s="18"/>
      <c r="BT75" s="18"/>
      <c r="CA75" s="18"/>
      <c r="CH75" s="18"/>
      <c r="DF75" s="31" t="str">
        <f t="shared" si="4"/>
        <v xml:space="preserve">  </v>
      </c>
      <c r="DG75" s="25" t="str">
        <f t="shared" si="5"/>
        <v/>
      </c>
      <c r="DH75" s="25" t="str">
        <f>BasicInput!$D$13&amp;$DH$2&amp;B75&amp;"_"&amp;C75&amp;D75&amp;"_"&amp;BasicInput!$D$7&amp;BasicInput!$D$8&amp;"_"&amp;DG75&amp;".xuf"</f>
        <v>C:\PWWORKING\east01\d2591108\Ramps\__2019EX_PM_.xuf</v>
      </c>
    </row>
    <row r="76" spans="39:112" x14ac:dyDescent="0.2">
      <c r="AM76" s="18"/>
      <c r="AS76" s="18"/>
      <c r="AX76" s="17"/>
      <c r="BI76" s="18"/>
      <c r="BO76" s="18"/>
      <c r="BT76" s="18"/>
      <c r="CA76" s="18"/>
      <c r="CH76" s="18"/>
      <c r="DF76" s="31" t="str">
        <f t="shared" si="4"/>
        <v xml:space="preserve">  </v>
      </c>
      <c r="DG76" s="25" t="str">
        <f t="shared" si="5"/>
        <v/>
      </c>
      <c r="DH76" s="25" t="str">
        <f>BasicInput!$D$13&amp;$DH$2&amp;B76&amp;"_"&amp;C76&amp;D76&amp;"_"&amp;BasicInput!$D$7&amp;BasicInput!$D$8&amp;"_"&amp;DG76&amp;".xuf"</f>
        <v>C:\PWWORKING\east01\d2591108\Ramps\__2019EX_PM_.xuf</v>
      </c>
    </row>
    <row r="77" spans="39:112" x14ac:dyDescent="0.2">
      <c r="AM77" s="18"/>
      <c r="AS77" s="18"/>
      <c r="AX77" s="17"/>
      <c r="BI77" s="18"/>
      <c r="BO77" s="18"/>
      <c r="BT77" s="18"/>
      <c r="CA77" s="18"/>
      <c r="CH77" s="18"/>
      <c r="DF77" s="31" t="str">
        <f t="shared" si="4"/>
        <v xml:space="preserve">  </v>
      </c>
      <c r="DG77" s="25" t="str">
        <f t="shared" si="5"/>
        <v/>
      </c>
      <c r="DH77" s="25" t="str">
        <f>BasicInput!$D$13&amp;$DH$2&amp;B77&amp;"_"&amp;C77&amp;D77&amp;"_"&amp;BasicInput!$D$7&amp;BasicInput!$D$8&amp;"_"&amp;DG77&amp;".xuf"</f>
        <v>C:\PWWORKING\east01\d2591108\Ramps\__2019EX_PM_.xuf</v>
      </c>
    </row>
    <row r="78" spans="39:112" x14ac:dyDescent="0.2">
      <c r="AM78" s="18"/>
      <c r="AS78" s="18"/>
      <c r="AX78" s="17"/>
      <c r="BI78" s="18"/>
      <c r="BO78" s="18"/>
      <c r="BT78" s="18"/>
      <c r="CA78" s="18"/>
      <c r="CH78" s="18"/>
      <c r="DF78" s="31" t="str">
        <f t="shared" si="4"/>
        <v xml:space="preserve">  </v>
      </c>
      <c r="DG78" s="25" t="str">
        <f t="shared" si="5"/>
        <v/>
      </c>
      <c r="DH78" s="25" t="str">
        <f>BasicInput!$D$13&amp;$DH$2&amp;B78&amp;"_"&amp;C78&amp;D78&amp;"_"&amp;BasicInput!$D$7&amp;BasicInput!$D$8&amp;"_"&amp;DG78&amp;".xuf"</f>
        <v>C:\PWWORKING\east01\d2591108\Ramps\__2019EX_PM_.xuf</v>
      </c>
    </row>
    <row r="79" spans="39:112" x14ac:dyDescent="0.2">
      <c r="AM79" s="18"/>
      <c r="AS79" s="18"/>
      <c r="AX79" s="17"/>
      <c r="BI79" s="18"/>
      <c r="BO79" s="18"/>
      <c r="BT79" s="18"/>
      <c r="CA79" s="18"/>
      <c r="CH79" s="18"/>
      <c r="DF79" s="31" t="str">
        <f t="shared" si="4"/>
        <v xml:space="preserve">  </v>
      </c>
      <c r="DG79" s="25" t="str">
        <f t="shared" si="5"/>
        <v/>
      </c>
      <c r="DH79" s="25" t="str">
        <f>BasicInput!$D$13&amp;$DH$2&amp;B79&amp;"_"&amp;C79&amp;D79&amp;"_"&amp;BasicInput!$D$7&amp;BasicInput!$D$8&amp;"_"&amp;DG79&amp;".xuf"</f>
        <v>C:\PWWORKING\east01\d2591108\Ramps\__2019EX_PM_.xuf</v>
      </c>
    </row>
    <row r="80" spans="39:112" x14ac:dyDescent="0.2">
      <c r="AM80" s="18"/>
      <c r="AS80" s="18"/>
      <c r="AX80" s="17"/>
      <c r="BI80" s="18"/>
      <c r="BO80" s="18"/>
      <c r="BT80" s="18"/>
      <c r="CA80" s="18"/>
      <c r="CH80" s="18"/>
      <c r="DF80" s="31" t="str">
        <f t="shared" si="4"/>
        <v xml:space="preserve">  </v>
      </c>
      <c r="DG80" s="25" t="str">
        <f t="shared" si="5"/>
        <v/>
      </c>
      <c r="DH80" s="25" t="str">
        <f>BasicInput!$D$13&amp;$DH$2&amp;B80&amp;"_"&amp;C80&amp;D80&amp;"_"&amp;BasicInput!$D$7&amp;BasicInput!$D$8&amp;"_"&amp;DG80&amp;".xuf"</f>
        <v>C:\PWWORKING\east01\d2591108\Ramps\__2019EX_PM_.xuf</v>
      </c>
    </row>
    <row r="81" spans="39:112" x14ac:dyDescent="0.2">
      <c r="AM81" s="18"/>
      <c r="AS81" s="18"/>
      <c r="AX81" s="17"/>
      <c r="BI81" s="18"/>
      <c r="BO81" s="18"/>
      <c r="BT81" s="18"/>
      <c r="CA81" s="18"/>
      <c r="CH81" s="18"/>
      <c r="DF81" s="31" t="str">
        <f t="shared" ref="DF81:DF144" si="6">C81&amp; " "&amp;D81&amp;" " &amp;E81</f>
        <v xml:space="preserve">  </v>
      </c>
      <c r="DG81" s="25" t="str">
        <f t="shared" ref="DG81:DG144" si="7">SUBSTITUTE(E81, "/", "_")</f>
        <v/>
      </c>
      <c r="DH81" s="25" t="str">
        <f>BasicInput!$D$13&amp;$DH$2&amp;B81&amp;"_"&amp;C81&amp;D81&amp;"_"&amp;BasicInput!$D$7&amp;BasicInput!$D$8&amp;"_"&amp;DG81&amp;".xuf"</f>
        <v>C:\PWWORKING\east01\d2591108\Ramps\__2019EX_PM_.xuf</v>
      </c>
    </row>
    <row r="82" spans="39:112" x14ac:dyDescent="0.2">
      <c r="AM82" s="18"/>
      <c r="AS82" s="18"/>
      <c r="AX82" s="17"/>
      <c r="BI82" s="18"/>
      <c r="BO82" s="18"/>
      <c r="BT82" s="18"/>
      <c r="CA82" s="18"/>
      <c r="CH82" s="18"/>
      <c r="DF82" s="31" t="str">
        <f t="shared" si="6"/>
        <v xml:space="preserve">  </v>
      </c>
      <c r="DG82" s="25" t="str">
        <f t="shared" si="7"/>
        <v/>
      </c>
      <c r="DH82" s="25" t="str">
        <f>BasicInput!$D$13&amp;$DH$2&amp;B82&amp;"_"&amp;C82&amp;D82&amp;"_"&amp;BasicInput!$D$7&amp;BasicInput!$D$8&amp;"_"&amp;DG82&amp;".xuf"</f>
        <v>C:\PWWORKING\east01\d2591108\Ramps\__2019EX_PM_.xuf</v>
      </c>
    </row>
    <row r="83" spans="39:112" x14ac:dyDescent="0.2">
      <c r="AM83" s="18"/>
      <c r="AS83" s="18"/>
      <c r="AX83" s="17"/>
      <c r="BI83" s="18"/>
      <c r="BO83" s="18"/>
      <c r="BT83" s="18"/>
      <c r="CA83" s="18"/>
      <c r="CH83" s="18"/>
      <c r="DF83" s="31" t="str">
        <f t="shared" si="6"/>
        <v xml:space="preserve">  </v>
      </c>
      <c r="DG83" s="25" t="str">
        <f t="shared" si="7"/>
        <v/>
      </c>
      <c r="DH83" s="25" t="str">
        <f>BasicInput!$D$13&amp;$DH$2&amp;B83&amp;"_"&amp;C83&amp;D83&amp;"_"&amp;BasicInput!$D$7&amp;BasicInput!$D$8&amp;"_"&amp;DG83&amp;".xuf"</f>
        <v>C:\PWWORKING\east01\d2591108\Ramps\__2019EX_PM_.xuf</v>
      </c>
    </row>
    <row r="84" spans="39:112" x14ac:dyDescent="0.2">
      <c r="AM84" s="18"/>
      <c r="AS84" s="18"/>
      <c r="AX84" s="17"/>
      <c r="BI84" s="18"/>
      <c r="BO84" s="18"/>
      <c r="BT84" s="18"/>
      <c r="CA84" s="18"/>
      <c r="CH84" s="18"/>
      <c r="DF84" s="31" t="str">
        <f t="shared" si="6"/>
        <v xml:space="preserve">  </v>
      </c>
      <c r="DG84" s="25" t="str">
        <f t="shared" si="7"/>
        <v/>
      </c>
      <c r="DH84" s="25" t="str">
        <f>BasicInput!$D$13&amp;$DH$2&amp;B84&amp;"_"&amp;C84&amp;D84&amp;"_"&amp;BasicInput!$D$7&amp;BasicInput!$D$8&amp;"_"&amp;DG84&amp;".xuf"</f>
        <v>C:\PWWORKING\east01\d2591108\Ramps\__2019EX_PM_.xuf</v>
      </c>
    </row>
    <row r="85" spans="39:112" x14ac:dyDescent="0.2">
      <c r="AM85" s="18"/>
      <c r="AS85" s="18"/>
      <c r="AX85" s="17"/>
      <c r="BI85" s="18"/>
      <c r="BO85" s="18"/>
      <c r="BT85" s="18"/>
      <c r="CA85" s="18"/>
      <c r="CH85" s="18"/>
      <c r="DF85" s="31" t="str">
        <f t="shared" si="6"/>
        <v xml:space="preserve">  </v>
      </c>
      <c r="DG85" s="25" t="str">
        <f t="shared" si="7"/>
        <v/>
      </c>
      <c r="DH85" s="25" t="str">
        <f>BasicInput!$D$13&amp;$DH$2&amp;B85&amp;"_"&amp;C85&amp;D85&amp;"_"&amp;BasicInput!$D$7&amp;BasicInput!$D$8&amp;"_"&amp;DG85&amp;".xuf"</f>
        <v>C:\PWWORKING\east01\d2591108\Ramps\__2019EX_PM_.xuf</v>
      </c>
    </row>
    <row r="86" spans="39:112" x14ac:dyDescent="0.2">
      <c r="AM86" s="18"/>
      <c r="AS86" s="18"/>
      <c r="AX86" s="17"/>
      <c r="BI86" s="18"/>
      <c r="BO86" s="18"/>
      <c r="BT86" s="18"/>
      <c r="CA86" s="18"/>
      <c r="CH86" s="18"/>
      <c r="DF86" s="31" t="str">
        <f t="shared" si="6"/>
        <v xml:space="preserve">  </v>
      </c>
      <c r="DG86" s="25" t="str">
        <f t="shared" si="7"/>
        <v/>
      </c>
      <c r="DH86" s="25" t="str">
        <f>BasicInput!$D$13&amp;$DH$2&amp;B86&amp;"_"&amp;C86&amp;D86&amp;"_"&amp;BasicInput!$D$7&amp;BasicInput!$D$8&amp;"_"&amp;DG86&amp;".xuf"</f>
        <v>C:\PWWORKING\east01\d2591108\Ramps\__2019EX_PM_.xuf</v>
      </c>
    </row>
    <row r="87" spans="39:112" x14ac:dyDescent="0.2">
      <c r="AM87" s="18"/>
      <c r="AS87" s="18"/>
      <c r="AX87" s="17"/>
      <c r="BI87" s="18"/>
      <c r="BO87" s="18"/>
      <c r="BT87" s="18"/>
      <c r="CA87" s="18"/>
      <c r="CH87" s="18"/>
      <c r="DF87" s="31" t="str">
        <f t="shared" si="6"/>
        <v xml:space="preserve">  </v>
      </c>
      <c r="DG87" s="25" t="str">
        <f t="shared" si="7"/>
        <v/>
      </c>
      <c r="DH87" s="25" t="str">
        <f>BasicInput!$D$13&amp;$DH$2&amp;B87&amp;"_"&amp;C87&amp;D87&amp;"_"&amp;BasicInput!$D$7&amp;BasicInput!$D$8&amp;"_"&amp;DG87&amp;".xuf"</f>
        <v>C:\PWWORKING\east01\d2591108\Ramps\__2019EX_PM_.xuf</v>
      </c>
    </row>
    <row r="88" spans="39:112" x14ac:dyDescent="0.2">
      <c r="AM88" s="18"/>
      <c r="AS88" s="18"/>
      <c r="AX88" s="17"/>
      <c r="BI88" s="18"/>
      <c r="BO88" s="18"/>
      <c r="BT88" s="18"/>
      <c r="CA88" s="18"/>
      <c r="CH88" s="18"/>
      <c r="DF88" s="31" t="str">
        <f t="shared" si="6"/>
        <v xml:space="preserve">  </v>
      </c>
      <c r="DG88" s="25" t="str">
        <f t="shared" si="7"/>
        <v/>
      </c>
      <c r="DH88" s="25" t="str">
        <f>BasicInput!$D$13&amp;$DH$2&amp;B88&amp;"_"&amp;C88&amp;D88&amp;"_"&amp;BasicInput!$D$7&amp;BasicInput!$D$8&amp;"_"&amp;DG88&amp;".xuf"</f>
        <v>C:\PWWORKING\east01\d2591108\Ramps\__2019EX_PM_.xuf</v>
      </c>
    </row>
    <row r="89" spans="39:112" x14ac:dyDescent="0.2">
      <c r="AM89" s="18"/>
      <c r="AS89" s="18"/>
      <c r="AX89" s="17"/>
      <c r="BI89" s="18"/>
      <c r="BO89" s="18"/>
      <c r="BT89" s="18"/>
      <c r="CA89" s="18"/>
      <c r="CH89" s="18"/>
      <c r="DF89" s="31" t="str">
        <f t="shared" si="6"/>
        <v xml:space="preserve">  </v>
      </c>
      <c r="DG89" s="25" t="str">
        <f t="shared" si="7"/>
        <v/>
      </c>
      <c r="DH89" s="25" t="str">
        <f>BasicInput!$D$13&amp;$DH$2&amp;B89&amp;"_"&amp;C89&amp;D89&amp;"_"&amp;BasicInput!$D$7&amp;BasicInput!$D$8&amp;"_"&amp;DG89&amp;".xuf"</f>
        <v>C:\PWWORKING\east01\d2591108\Ramps\__2019EX_PM_.xuf</v>
      </c>
    </row>
    <row r="90" spans="39:112" x14ac:dyDescent="0.2">
      <c r="AM90" s="18"/>
      <c r="AS90" s="18"/>
      <c r="AX90" s="17"/>
      <c r="BI90" s="18"/>
      <c r="BO90" s="18"/>
      <c r="BT90" s="18"/>
      <c r="CA90" s="18"/>
      <c r="CH90" s="18"/>
      <c r="DF90" s="31" t="str">
        <f t="shared" si="6"/>
        <v xml:space="preserve">  </v>
      </c>
      <c r="DG90" s="25" t="str">
        <f t="shared" si="7"/>
        <v/>
      </c>
      <c r="DH90" s="25" t="str">
        <f>BasicInput!$D$13&amp;$DH$2&amp;B90&amp;"_"&amp;C90&amp;D90&amp;"_"&amp;BasicInput!$D$7&amp;BasicInput!$D$8&amp;"_"&amp;DG90&amp;".xuf"</f>
        <v>C:\PWWORKING\east01\d2591108\Ramps\__2019EX_PM_.xuf</v>
      </c>
    </row>
    <row r="91" spans="39:112" x14ac:dyDescent="0.2">
      <c r="AM91" s="18"/>
      <c r="AS91" s="18"/>
      <c r="AX91" s="17"/>
      <c r="BI91" s="18"/>
      <c r="BO91" s="18"/>
      <c r="BT91" s="18"/>
      <c r="CA91" s="18"/>
      <c r="CH91" s="18"/>
      <c r="DF91" s="31" t="str">
        <f t="shared" si="6"/>
        <v xml:space="preserve">  </v>
      </c>
      <c r="DG91" s="25" t="str">
        <f t="shared" si="7"/>
        <v/>
      </c>
      <c r="DH91" s="25" t="str">
        <f>BasicInput!$D$13&amp;$DH$2&amp;B91&amp;"_"&amp;C91&amp;D91&amp;"_"&amp;BasicInput!$D$7&amp;BasicInput!$D$8&amp;"_"&amp;DG91&amp;".xuf"</f>
        <v>C:\PWWORKING\east01\d2591108\Ramps\__2019EX_PM_.xuf</v>
      </c>
    </row>
    <row r="92" spans="39:112" x14ac:dyDescent="0.2">
      <c r="AM92" s="18"/>
      <c r="AS92" s="18"/>
      <c r="AX92" s="17"/>
      <c r="BI92" s="18"/>
      <c r="BO92" s="18"/>
      <c r="BT92" s="18"/>
      <c r="CA92" s="18"/>
      <c r="CH92" s="18"/>
      <c r="DF92" s="31" t="str">
        <f t="shared" si="6"/>
        <v xml:space="preserve">  </v>
      </c>
      <c r="DG92" s="25" t="str">
        <f t="shared" si="7"/>
        <v/>
      </c>
      <c r="DH92" s="25" t="str">
        <f>BasicInput!$D$13&amp;$DH$2&amp;B92&amp;"_"&amp;C92&amp;D92&amp;"_"&amp;BasicInput!$D$7&amp;BasicInput!$D$8&amp;"_"&amp;DG92&amp;".xuf"</f>
        <v>C:\PWWORKING\east01\d2591108\Ramps\__2019EX_PM_.xuf</v>
      </c>
    </row>
    <row r="93" spans="39:112" x14ac:dyDescent="0.2">
      <c r="AM93" s="18"/>
      <c r="AS93" s="18"/>
      <c r="AX93" s="17"/>
      <c r="BI93" s="18"/>
      <c r="BO93" s="18"/>
      <c r="BT93" s="18"/>
      <c r="CA93" s="18"/>
      <c r="CH93" s="18"/>
      <c r="DF93" s="31" t="str">
        <f t="shared" si="6"/>
        <v xml:space="preserve">  </v>
      </c>
      <c r="DG93" s="25" t="str">
        <f t="shared" si="7"/>
        <v/>
      </c>
      <c r="DH93" s="25" t="str">
        <f>BasicInput!$D$13&amp;$DH$2&amp;B93&amp;"_"&amp;C93&amp;D93&amp;"_"&amp;BasicInput!$D$7&amp;BasicInput!$D$8&amp;"_"&amp;DG93&amp;".xuf"</f>
        <v>C:\PWWORKING\east01\d2591108\Ramps\__2019EX_PM_.xuf</v>
      </c>
    </row>
    <row r="94" spans="39:112" x14ac:dyDescent="0.2">
      <c r="AM94" s="18"/>
      <c r="AS94" s="18"/>
      <c r="AX94" s="17"/>
      <c r="BI94" s="18"/>
      <c r="BO94" s="18"/>
      <c r="BT94" s="18"/>
      <c r="CA94" s="18"/>
      <c r="CH94" s="18"/>
      <c r="DF94" s="31" t="str">
        <f t="shared" si="6"/>
        <v xml:space="preserve">  </v>
      </c>
      <c r="DG94" s="25" t="str">
        <f t="shared" si="7"/>
        <v/>
      </c>
      <c r="DH94" s="25" t="str">
        <f>BasicInput!$D$13&amp;$DH$2&amp;B94&amp;"_"&amp;C94&amp;D94&amp;"_"&amp;BasicInput!$D$7&amp;BasicInput!$D$8&amp;"_"&amp;DG94&amp;".xuf"</f>
        <v>C:\PWWORKING\east01\d2591108\Ramps\__2019EX_PM_.xuf</v>
      </c>
    </row>
    <row r="95" spans="39:112" x14ac:dyDescent="0.2">
      <c r="AM95" s="18"/>
      <c r="AS95" s="18"/>
      <c r="AX95" s="17"/>
      <c r="BI95" s="18"/>
      <c r="BO95" s="18"/>
      <c r="BT95" s="18"/>
      <c r="CA95" s="18"/>
      <c r="CH95" s="18"/>
      <c r="DF95" s="31" t="str">
        <f t="shared" si="6"/>
        <v xml:space="preserve">  </v>
      </c>
      <c r="DG95" s="25" t="str">
        <f t="shared" si="7"/>
        <v/>
      </c>
      <c r="DH95" s="25" t="str">
        <f>BasicInput!$D$13&amp;$DH$2&amp;B95&amp;"_"&amp;C95&amp;D95&amp;"_"&amp;BasicInput!$D$7&amp;BasicInput!$D$8&amp;"_"&amp;DG95&amp;".xuf"</f>
        <v>C:\PWWORKING\east01\d2591108\Ramps\__2019EX_PM_.xuf</v>
      </c>
    </row>
    <row r="96" spans="39:112" x14ac:dyDescent="0.2">
      <c r="AM96" s="18"/>
      <c r="AS96" s="18"/>
      <c r="AX96" s="17"/>
      <c r="BI96" s="18"/>
      <c r="BO96" s="18"/>
      <c r="BT96" s="18"/>
      <c r="CA96" s="18"/>
      <c r="CH96" s="18"/>
      <c r="DF96" s="31" t="str">
        <f t="shared" si="6"/>
        <v xml:space="preserve">  </v>
      </c>
      <c r="DG96" s="25" t="str">
        <f t="shared" si="7"/>
        <v/>
      </c>
      <c r="DH96" s="25" t="str">
        <f>BasicInput!$D$13&amp;$DH$2&amp;B96&amp;"_"&amp;C96&amp;D96&amp;"_"&amp;BasicInput!$D$7&amp;BasicInput!$D$8&amp;"_"&amp;DG96&amp;".xuf"</f>
        <v>C:\PWWORKING\east01\d2591108\Ramps\__2019EX_PM_.xuf</v>
      </c>
    </row>
    <row r="97" spans="39:112" x14ac:dyDescent="0.2">
      <c r="AM97" s="18"/>
      <c r="AS97" s="18"/>
      <c r="AX97" s="17"/>
      <c r="BI97" s="18"/>
      <c r="BO97" s="18"/>
      <c r="BT97" s="18"/>
      <c r="CA97" s="18"/>
      <c r="CH97" s="18"/>
      <c r="DF97" s="31" t="str">
        <f t="shared" si="6"/>
        <v xml:space="preserve">  </v>
      </c>
      <c r="DG97" s="25" t="str">
        <f t="shared" si="7"/>
        <v/>
      </c>
      <c r="DH97" s="25" t="str">
        <f>BasicInput!$D$13&amp;$DH$2&amp;B97&amp;"_"&amp;C97&amp;D97&amp;"_"&amp;BasicInput!$D$7&amp;BasicInput!$D$8&amp;"_"&amp;DG97&amp;".xuf"</f>
        <v>C:\PWWORKING\east01\d2591108\Ramps\__2019EX_PM_.xuf</v>
      </c>
    </row>
    <row r="98" spans="39:112" x14ac:dyDescent="0.2">
      <c r="AM98" s="18"/>
      <c r="AS98" s="18"/>
      <c r="AX98" s="17"/>
      <c r="BI98" s="18"/>
      <c r="BO98" s="18"/>
      <c r="BT98" s="18"/>
      <c r="CA98" s="18"/>
      <c r="CH98" s="18"/>
      <c r="DF98" s="31" t="str">
        <f t="shared" si="6"/>
        <v xml:space="preserve">  </v>
      </c>
      <c r="DG98" s="25" t="str">
        <f t="shared" si="7"/>
        <v/>
      </c>
      <c r="DH98" s="25" t="str">
        <f>BasicInput!$D$13&amp;$DH$2&amp;B98&amp;"_"&amp;C98&amp;D98&amp;"_"&amp;BasicInput!$D$7&amp;BasicInput!$D$8&amp;"_"&amp;DG98&amp;".xuf"</f>
        <v>C:\PWWORKING\east01\d2591108\Ramps\__2019EX_PM_.xuf</v>
      </c>
    </row>
    <row r="99" spans="39:112" x14ac:dyDescent="0.2">
      <c r="AM99" s="18"/>
      <c r="AS99" s="18"/>
      <c r="AX99" s="17"/>
      <c r="BI99" s="18"/>
      <c r="BO99" s="18"/>
      <c r="BT99" s="18"/>
      <c r="CA99" s="18"/>
      <c r="CH99" s="18"/>
      <c r="DF99" s="31" t="str">
        <f t="shared" si="6"/>
        <v xml:space="preserve">  </v>
      </c>
      <c r="DG99" s="25" t="str">
        <f t="shared" si="7"/>
        <v/>
      </c>
      <c r="DH99" s="25" t="str">
        <f>BasicInput!$D$13&amp;$DH$2&amp;B99&amp;"_"&amp;C99&amp;D99&amp;"_"&amp;BasicInput!$D$7&amp;BasicInput!$D$8&amp;"_"&amp;DG99&amp;".xuf"</f>
        <v>C:\PWWORKING\east01\d2591108\Ramps\__2019EX_PM_.xuf</v>
      </c>
    </row>
    <row r="100" spans="39:112" x14ac:dyDescent="0.2">
      <c r="AM100" s="18"/>
      <c r="AS100" s="18"/>
      <c r="AX100" s="17"/>
      <c r="BI100" s="18"/>
      <c r="BO100" s="18"/>
      <c r="BT100" s="18"/>
      <c r="CA100" s="18"/>
      <c r="CH100" s="18"/>
      <c r="DF100" s="31" t="str">
        <f t="shared" si="6"/>
        <v xml:space="preserve">  </v>
      </c>
      <c r="DG100" s="25" t="str">
        <f t="shared" si="7"/>
        <v/>
      </c>
      <c r="DH100" s="25" t="str">
        <f>BasicInput!$D$13&amp;$DH$2&amp;B100&amp;"_"&amp;C100&amp;D100&amp;"_"&amp;BasicInput!$D$7&amp;BasicInput!$D$8&amp;"_"&amp;DG100&amp;".xuf"</f>
        <v>C:\PWWORKING\east01\d2591108\Ramps\__2019EX_PM_.xuf</v>
      </c>
    </row>
    <row r="101" spans="39:112" x14ac:dyDescent="0.2">
      <c r="AM101" s="18"/>
      <c r="AS101" s="18"/>
      <c r="AX101" s="17"/>
      <c r="BI101" s="18"/>
      <c r="BO101" s="18"/>
      <c r="BT101" s="18"/>
      <c r="CA101" s="18"/>
      <c r="CH101" s="18"/>
      <c r="DF101" s="31" t="str">
        <f t="shared" si="6"/>
        <v xml:space="preserve">  </v>
      </c>
      <c r="DG101" s="25" t="str">
        <f t="shared" si="7"/>
        <v/>
      </c>
      <c r="DH101" s="25" t="str">
        <f>BasicInput!$D$13&amp;$DH$2&amp;B101&amp;"_"&amp;C101&amp;D101&amp;"_"&amp;BasicInput!$D$7&amp;BasicInput!$D$8&amp;"_"&amp;DG101&amp;".xuf"</f>
        <v>C:\PWWORKING\east01\d2591108\Ramps\__2019EX_PM_.xuf</v>
      </c>
    </row>
    <row r="102" spans="39:112" x14ac:dyDescent="0.2">
      <c r="AM102" s="18"/>
      <c r="AS102" s="18"/>
      <c r="AX102" s="17"/>
      <c r="BI102" s="18"/>
      <c r="BO102" s="18"/>
      <c r="BT102" s="18"/>
      <c r="CA102" s="18"/>
      <c r="CH102" s="18"/>
      <c r="DF102" s="31" t="str">
        <f t="shared" si="6"/>
        <v xml:space="preserve">  </v>
      </c>
      <c r="DG102" s="25" t="str">
        <f t="shared" si="7"/>
        <v/>
      </c>
      <c r="DH102" s="25" t="str">
        <f>BasicInput!$D$13&amp;$DH$2&amp;B102&amp;"_"&amp;C102&amp;D102&amp;"_"&amp;BasicInput!$D$7&amp;BasicInput!$D$8&amp;"_"&amp;DG102&amp;".xuf"</f>
        <v>C:\PWWORKING\east01\d2591108\Ramps\__2019EX_PM_.xuf</v>
      </c>
    </row>
    <row r="103" spans="39:112" x14ac:dyDescent="0.2">
      <c r="AM103" s="18"/>
      <c r="AS103" s="18"/>
      <c r="AX103" s="17"/>
      <c r="BI103" s="18"/>
      <c r="BO103" s="18"/>
      <c r="BT103" s="18"/>
      <c r="CA103" s="18"/>
      <c r="CH103" s="18"/>
      <c r="DF103" s="31" t="str">
        <f t="shared" si="6"/>
        <v xml:space="preserve">  </v>
      </c>
      <c r="DG103" s="25" t="str">
        <f t="shared" si="7"/>
        <v/>
      </c>
      <c r="DH103" s="25" t="str">
        <f>BasicInput!$D$13&amp;$DH$2&amp;B103&amp;"_"&amp;C103&amp;D103&amp;"_"&amp;BasicInput!$D$7&amp;BasicInput!$D$8&amp;"_"&amp;DG103&amp;".xuf"</f>
        <v>C:\PWWORKING\east01\d2591108\Ramps\__2019EX_PM_.xuf</v>
      </c>
    </row>
    <row r="104" spans="39:112" x14ac:dyDescent="0.2">
      <c r="AM104" s="18"/>
      <c r="AS104" s="18"/>
      <c r="AX104" s="17"/>
      <c r="BI104" s="18"/>
      <c r="BO104" s="18"/>
      <c r="BT104" s="18"/>
      <c r="CA104" s="18"/>
      <c r="CH104" s="18"/>
      <c r="DF104" s="31" t="str">
        <f t="shared" si="6"/>
        <v xml:space="preserve">  </v>
      </c>
      <c r="DG104" s="25" t="str">
        <f t="shared" si="7"/>
        <v/>
      </c>
      <c r="DH104" s="25" t="str">
        <f>BasicInput!$D$13&amp;$DH$2&amp;B104&amp;"_"&amp;C104&amp;D104&amp;"_"&amp;BasicInput!$D$7&amp;BasicInput!$D$8&amp;"_"&amp;DG104&amp;".xuf"</f>
        <v>C:\PWWORKING\east01\d2591108\Ramps\__2019EX_PM_.xuf</v>
      </c>
    </row>
    <row r="105" spans="39:112" x14ac:dyDescent="0.2">
      <c r="AM105" s="18"/>
      <c r="AS105" s="18"/>
      <c r="AX105" s="17"/>
      <c r="BI105" s="18"/>
      <c r="BO105" s="18"/>
      <c r="BT105" s="18"/>
      <c r="CA105" s="18"/>
      <c r="CH105" s="18"/>
      <c r="DF105" s="31" t="str">
        <f t="shared" si="6"/>
        <v xml:space="preserve">  </v>
      </c>
      <c r="DG105" s="25" t="str">
        <f t="shared" si="7"/>
        <v/>
      </c>
      <c r="DH105" s="25" t="str">
        <f>BasicInput!$D$13&amp;$DH$2&amp;B105&amp;"_"&amp;C105&amp;D105&amp;"_"&amp;BasicInput!$D$7&amp;BasicInput!$D$8&amp;"_"&amp;DG105&amp;".xuf"</f>
        <v>C:\PWWORKING\east01\d2591108\Ramps\__2019EX_PM_.xuf</v>
      </c>
    </row>
    <row r="106" spans="39:112" x14ac:dyDescent="0.2">
      <c r="AM106" s="18"/>
      <c r="AS106" s="18"/>
      <c r="AX106" s="17"/>
      <c r="BI106" s="18"/>
      <c r="BO106" s="18"/>
      <c r="BT106" s="18"/>
      <c r="CA106" s="18"/>
      <c r="CH106" s="18"/>
      <c r="DF106" s="31" t="str">
        <f t="shared" si="6"/>
        <v xml:space="preserve">  </v>
      </c>
      <c r="DG106" s="25" t="str">
        <f t="shared" si="7"/>
        <v/>
      </c>
      <c r="DH106" s="25" t="str">
        <f>BasicInput!$D$13&amp;$DH$2&amp;B106&amp;"_"&amp;C106&amp;D106&amp;"_"&amp;BasicInput!$D$7&amp;BasicInput!$D$8&amp;"_"&amp;DG106&amp;".xuf"</f>
        <v>C:\PWWORKING\east01\d2591108\Ramps\__2019EX_PM_.xuf</v>
      </c>
    </row>
    <row r="107" spans="39:112" x14ac:dyDescent="0.2">
      <c r="AM107" s="18"/>
      <c r="AS107" s="18"/>
      <c r="AX107" s="17"/>
      <c r="BI107" s="18"/>
      <c r="BO107" s="18"/>
      <c r="BT107" s="18"/>
      <c r="CA107" s="18"/>
      <c r="CH107" s="18"/>
      <c r="DF107" s="31" t="str">
        <f t="shared" si="6"/>
        <v xml:space="preserve">  </v>
      </c>
      <c r="DG107" s="25" t="str">
        <f t="shared" si="7"/>
        <v/>
      </c>
      <c r="DH107" s="25" t="str">
        <f>BasicInput!$D$13&amp;$DH$2&amp;B107&amp;"_"&amp;C107&amp;D107&amp;"_"&amp;BasicInput!$D$7&amp;BasicInput!$D$8&amp;"_"&amp;DG107&amp;".xuf"</f>
        <v>C:\PWWORKING\east01\d2591108\Ramps\__2019EX_PM_.xuf</v>
      </c>
    </row>
    <row r="108" spans="39:112" x14ac:dyDescent="0.2">
      <c r="AM108" s="18"/>
      <c r="AS108" s="18"/>
      <c r="AX108" s="17"/>
      <c r="BI108" s="18"/>
      <c r="BO108" s="18"/>
      <c r="BT108" s="18"/>
      <c r="CA108" s="18"/>
      <c r="CH108" s="18"/>
      <c r="DF108" s="31" t="str">
        <f t="shared" si="6"/>
        <v xml:space="preserve">  </v>
      </c>
      <c r="DG108" s="25" t="str">
        <f t="shared" si="7"/>
        <v/>
      </c>
      <c r="DH108" s="25" t="str">
        <f>BasicInput!$D$13&amp;$DH$2&amp;B108&amp;"_"&amp;C108&amp;D108&amp;"_"&amp;BasicInput!$D$7&amp;BasicInput!$D$8&amp;"_"&amp;DG108&amp;".xuf"</f>
        <v>C:\PWWORKING\east01\d2591108\Ramps\__2019EX_PM_.xuf</v>
      </c>
    </row>
    <row r="109" spans="39:112" x14ac:dyDescent="0.2">
      <c r="AM109" s="18"/>
      <c r="AS109" s="18"/>
      <c r="AX109" s="17"/>
      <c r="BI109" s="18"/>
      <c r="BO109" s="18"/>
      <c r="BT109" s="18"/>
      <c r="CA109" s="18"/>
      <c r="CH109" s="18"/>
      <c r="DF109" s="31" t="str">
        <f t="shared" si="6"/>
        <v xml:space="preserve">  </v>
      </c>
      <c r="DG109" s="25" t="str">
        <f t="shared" si="7"/>
        <v/>
      </c>
      <c r="DH109" s="25" t="str">
        <f>BasicInput!$D$13&amp;$DH$2&amp;B109&amp;"_"&amp;C109&amp;D109&amp;"_"&amp;BasicInput!$D$7&amp;BasicInput!$D$8&amp;"_"&amp;DG109&amp;".xuf"</f>
        <v>C:\PWWORKING\east01\d2591108\Ramps\__2019EX_PM_.xuf</v>
      </c>
    </row>
    <row r="110" spans="39:112" x14ac:dyDescent="0.2">
      <c r="AM110" s="18"/>
      <c r="AS110" s="18"/>
      <c r="AX110" s="17"/>
      <c r="BI110" s="18"/>
      <c r="BO110" s="18"/>
      <c r="BT110" s="18"/>
      <c r="CA110" s="18"/>
      <c r="CH110" s="18"/>
      <c r="DF110" s="31" t="str">
        <f t="shared" si="6"/>
        <v xml:space="preserve">  </v>
      </c>
      <c r="DG110" s="25" t="str">
        <f t="shared" si="7"/>
        <v/>
      </c>
      <c r="DH110" s="25" t="str">
        <f>BasicInput!$D$13&amp;$DH$2&amp;B110&amp;"_"&amp;C110&amp;D110&amp;"_"&amp;BasicInput!$D$7&amp;BasicInput!$D$8&amp;"_"&amp;DG110&amp;".xuf"</f>
        <v>C:\PWWORKING\east01\d2591108\Ramps\__2019EX_PM_.xuf</v>
      </c>
    </row>
    <row r="111" spans="39:112" x14ac:dyDescent="0.2">
      <c r="AM111" s="18"/>
      <c r="AS111" s="18"/>
      <c r="AX111" s="17"/>
      <c r="BI111" s="18"/>
      <c r="BO111" s="18"/>
      <c r="BT111" s="18"/>
      <c r="CA111" s="18"/>
      <c r="CH111" s="18"/>
      <c r="DF111" s="31" t="str">
        <f t="shared" si="6"/>
        <v xml:space="preserve">  </v>
      </c>
      <c r="DG111" s="25" t="str">
        <f t="shared" si="7"/>
        <v/>
      </c>
      <c r="DH111" s="25" t="str">
        <f>BasicInput!$D$13&amp;$DH$2&amp;B111&amp;"_"&amp;C111&amp;D111&amp;"_"&amp;BasicInput!$D$7&amp;BasicInput!$D$8&amp;"_"&amp;DG111&amp;".xuf"</f>
        <v>C:\PWWORKING\east01\d2591108\Ramps\__2019EX_PM_.xuf</v>
      </c>
    </row>
    <row r="112" spans="39:112" x14ac:dyDescent="0.2">
      <c r="AM112" s="18"/>
      <c r="AS112" s="18"/>
      <c r="AX112" s="17"/>
      <c r="BI112" s="18"/>
      <c r="BO112" s="18"/>
      <c r="BT112" s="18"/>
      <c r="CA112" s="18"/>
      <c r="CH112" s="18"/>
      <c r="DF112" s="31" t="str">
        <f t="shared" si="6"/>
        <v xml:space="preserve">  </v>
      </c>
      <c r="DG112" s="25" t="str">
        <f t="shared" si="7"/>
        <v/>
      </c>
      <c r="DH112" s="25" t="str">
        <f>BasicInput!$D$13&amp;$DH$2&amp;B112&amp;"_"&amp;C112&amp;D112&amp;"_"&amp;BasicInput!$D$7&amp;BasicInput!$D$8&amp;"_"&amp;DG112&amp;".xuf"</f>
        <v>C:\PWWORKING\east01\d2591108\Ramps\__2019EX_PM_.xuf</v>
      </c>
    </row>
    <row r="113" spans="39:112" x14ac:dyDescent="0.2">
      <c r="AM113" s="18"/>
      <c r="AS113" s="18"/>
      <c r="AX113" s="17"/>
      <c r="BI113" s="18"/>
      <c r="BO113" s="18"/>
      <c r="BT113" s="18"/>
      <c r="CA113" s="18"/>
      <c r="CH113" s="18"/>
      <c r="DF113" s="31" t="str">
        <f t="shared" si="6"/>
        <v xml:space="preserve">  </v>
      </c>
      <c r="DG113" s="25" t="str">
        <f t="shared" si="7"/>
        <v/>
      </c>
      <c r="DH113" s="25" t="str">
        <f>BasicInput!$D$13&amp;$DH$2&amp;B113&amp;"_"&amp;C113&amp;D113&amp;"_"&amp;BasicInput!$D$7&amp;BasicInput!$D$8&amp;"_"&amp;DG113&amp;".xuf"</f>
        <v>C:\PWWORKING\east01\d2591108\Ramps\__2019EX_PM_.xuf</v>
      </c>
    </row>
    <row r="114" spans="39:112" x14ac:dyDescent="0.2">
      <c r="AM114" s="18"/>
      <c r="AS114" s="18"/>
      <c r="AX114" s="17"/>
      <c r="BI114" s="18"/>
      <c r="BO114" s="18"/>
      <c r="BT114" s="18"/>
      <c r="CA114" s="18"/>
      <c r="CH114" s="18"/>
      <c r="DF114" s="31" t="str">
        <f t="shared" si="6"/>
        <v xml:space="preserve">  </v>
      </c>
      <c r="DG114" s="25" t="str">
        <f t="shared" si="7"/>
        <v/>
      </c>
      <c r="DH114" s="25" t="str">
        <f>BasicInput!$D$13&amp;$DH$2&amp;B114&amp;"_"&amp;C114&amp;D114&amp;"_"&amp;BasicInput!$D$7&amp;BasicInput!$D$8&amp;"_"&amp;DG114&amp;".xuf"</f>
        <v>C:\PWWORKING\east01\d2591108\Ramps\__2019EX_PM_.xuf</v>
      </c>
    </row>
    <row r="115" spans="39:112" x14ac:dyDescent="0.2">
      <c r="AM115" s="18"/>
      <c r="AS115" s="18"/>
      <c r="AX115" s="17"/>
      <c r="BI115" s="18"/>
      <c r="BO115" s="18"/>
      <c r="BT115" s="18"/>
      <c r="CA115" s="18"/>
      <c r="CH115" s="18"/>
      <c r="DF115" s="31" t="str">
        <f t="shared" si="6"/>
        <v xml:space="preserve">  </v>
      </c>
      <c r="DG115" s="25" t="str">
        <f t="shared" si="7"/>
        <v/>
      </c>
      <c r="DH115" s="25" t="str">
        <f>BasicInput!$D$13&amp;$DH$2&amp;B115&amp;"_"&amp;C115&amp;D115&amp;"_"&amp;BasicInput!$D$7&amp;BasicInput!$D$8&amp;"_"&amp;DG115&amp;".xuf"</f>
        <v>C:\PWWORKING\east01\d2591108\Ramps\__2019EX_PM_.xuf</v>
      </c>
    </row>
    <row r="116" spans="39:112" x14ac:dyDescent="0.2">
      <c r="AM116" s="18"/>
      <c r="AS116" s="18"/>
      <c r="AX116" s="17"/>
      <c r="BI116" s="18"/>
      <c r="BO116" s="18"/>
      <c r="BT116" s="18"/>
      <c r="CA116" s="18"/>
      <c r="CH116" s="18"/>
      <c r="DF116" s="31" t="str">
        <f t="shared" si="6"/>
        <v xml:space="preserve">  </v>
      </c>
      <c r="DG116" s="25" t="str">
        <f t="shared" si="7"/>
        <v/>
      </c>
      <c r="DH116" s="25" t="str">
        <f>BasicInput!$D$13&amp;$DH$2&amp;B116&amp;"_"&amp;C116&amp;D116&amp;"_"&amp;BasicInput!$D$7&amp;BasicInput!$D$8&amp;"_"&amp;DG116&amp;".xuf"</f>
        <v>C:\PWWORKING\east01\d2591108\Ramps\__2019EX_PM_.xuf</v>
      </c>
    </row>
    <row r="117" spans="39:112" x14ac:dyDescent="0.2">
      <c r="AM117" s="18"/>
      <c r="AS117" s="18"/>
      <c r="AX117" s="17"/>
      <c r="BI117" s="18"/>
      <c r="BO117" s="18"/>
      <c r="BT117" s="18"/>
      <c r="CA117" s="18"/>
      <c r="CH117" s="18"/>
      <c r="DF117" s="31" t="str">
        <f t="shared" si="6"/>
        <v xml:space="preserve">  </v>
      </c>
      <c r="DG117" s="25" t="str">
        <f t="shared" si="7"/>
        <v/>
      </c>
      <c r="DH117" s="25" t="str">
        <f>BasicInput!$D$13&amp;$DH$2&amp;B117&amp;"_"&amp;C117&amp;D117&amp;"_"&amp;BasicInput!$D$7&amp;BasicInput!$D$8&amp;"_"&amp;DG117&amp;".xuf"</f>
        <v>C:\PWWORKING\east01\d2591108\Ramps\__2019EX_PM_.xuf</v>
      </c>
    </row>
    <row r="118" spans="39:112" x14ac:dyDescent="0.2">
      <c r="AM118" s="18"/>
      <c r="AS118" s="18"/>
      <c r="AX118" s="17"/>
      <c r="BI118" s="18"/>
      <c r="BO118" s="18"/>
      <c r="BT118" s="18"/>
      <c r="CA118" s="18"/>
      <c r="CH118" s="18"/>
      <c r="DF118" s="31" t="str">
        <f t="shared" si="6"/>
        <v xml:space="preserve">  </v>
      </c>
      <c r="DG118" s="25" t="str">
        <f t="shared" si="7"/>
        <v/>
      </c>
      <c r="DH118" s="25" t="str">
        <f>BasicInput!$D$13&amp;$DH$2&amp;B118&amp;"_"&amp;C118&amp;D118&amp;"_"&amp;BasicInput!$D$7&amp;BasicInput!$D$8&amp;"_"&amp;DG118&amp;".xuf"</f>
        <v>C:\PWWORKING\east01\d2591108\Ramps\__2019EX_PM_.xuf</v>
      </c>
    </row>
    <row r="119" spans="39:112" x14ac:dyDescent="0.2">
      <c r="AM119" s="18"/>
      <c r="AS119" s="18"/>
      <c r="AX119" s="17"/>
      <c r="BI119" s="18"/>
      <c r="BO119" s="18"/>
      <c r="BT119" s="18"/>
      <c r="CA119" s="18"/>
      <c r="CH119" s="18"/>
      <c r="DF119" s="31" t="str">
        <f t="shared" si="6"/>
        <v xml:space="preserve">  </v>
      </c>
      <c r="DG119" s="25" t="str">
        <f t="shared" si="7"/>
        <v/>
      </c>
      <c r="DH119" s="25" t="str">
        <f>BasicInput!$D$13&amp;$DH$2&amp;B119&amp;"_"&amp;C119&amp;D119&amp;"_"&amp;BasicInput!$D$7&amp;BasicInput!$D$8&amp;"_"&amp;DG119&amp;".xuf"</f>
        <v>C:\PWWORKING\east01\d2591108\Ramps\__2019EX_PM_.xuf</v>
      </c>
    </row>
    <row r="120" spans="39:112" x14ac:dyDescent="0.2">
      <c r="AM120" s="18"/>
      <c r="AS120" s="18"/>
      <c r="AX120" s="17"/>
      <c r="BI120" s="18"/>
      <c r="BO120" s="18"/>
      <c r="BT120" s="18"/>
      <c r="CA120" s="18"/>
      <c r="CH120" s="18"/>
      <c r="DF120" s="31" t="str">
        <f t="shared" si="6"/>
        <v xml:space="preserve">  </v>
      </c>
      <c r="DG120" s="25" t="str">
        <f t="shared" si="7"/>
        <v/>
      </c>
      <c r="DH120" s="25" t="str">
        <f>BasicInput!$D$13&amp;$DH$2&amp;B120&amp;"_"&amp;C120&amp;D120&amp;"_"&amp;BasicInput!$D$7&amp;BasicInput!$D$8&amp;"_"&amp;DG120&amp;".xuf"</f>
        <v>C:\PWWORKING\east01\d2591108\Ramps\__2019EX_PM_.xuf</v>
      </c>
    </row>
    <row r="121" spans="39:112" x14ac:dyDescent="0.2">
      <c r="AM121" s="18"/>
      <c r="AS121" s="18"/>
      <c r="AX121" s="17"/>
      <c r="BI121" s="18"/>
      <c r="BO121" s="18"/>
      <c r="BT121" s="18"/>
      <c r="CA121" s="18"/>
      <c r="CH121" s="18"/>
      <c r="DF121" s="31" t="str">
        <f t="shared" si="6"/>
        <v xml:space="preserve">  </v>
      </c>
      <c r="DG121" s="25" t="str">
        <f t="shared" si="7"/>
        <v/>
      </c>
      <c r="DH121" s="25" t="str">
        <f>BasicInput!$D$13&amp;$DH$2&amp;B121&amp;"_"&amp;C121&amp;D121&amp;"_"&amp;BasicInput!$D$7&amp;BasicInput!$D$8&amp;"_"&amp;DG121&amp;".xuf"</f>
        <v>C:\PWWORKING\east01\d2591108\Ramps\__2019EX_PM_.xuf</v>
      </c>
    </row>
    <row r="122" spans="39:112" x14ac:dyDescent="0.2">
      <c r="AM122" s="18"/>
      <c r="AS122" s="18"/>
      <c r="AX122" s="17"/>
      <c r="BI122" s="18"/>
      <c r="BO122" s="18"/>
      <c r="BT122" s="18"/>
      <c r="CA122" s="18"/>
      <c r="CH122" s="18"/>
      <c r="DF122" s="31" t="str">
        <f t="shared" si="6"/>
        <v xml:space="preserve">  </v>
      </c>
      <c r="DG122" s="25" t="str">
        <f t="shared" si="7"/>
        <v/>
      </c>
      <c r="DH122" s="25" t="str">
        <f>BasicInput!$D$13&amp;$DH$2&amp;B122&amp;"_"&amp;C122&amp;D122&amp;"_"&amp;BasicInput!$D$7&amp;BasicInput!$D$8&amp;"_"&amp;DG122&amp;".xuf"</f>
        <v>C:\PWWORKING\east01\d2591108\Ramps\__2019EX_PM_.xuf</v>
      </c>
    </row>
    <row r="123" spans="39:112" x14ac:dyDescent="0.2">
      <c r="AM123" s="18"/>
      <c r="AS123" s="18"/>
      <c r="AX123" s="17"/>
      <c r="BI123" s="18"/>
      <c r="BO123" s="18"/>
      <c r="BT123" s="18"/>
      <c r="CA123" s="18"/>
      <c r="CH123" s="18"/>
      <c r="DF123" s="31" t="str">
        <f t="shared" si="6"/>
        <v xml:space="preserve">  </v>
      </c>
      <c r="DG123" s="25" t="str">
        <f t="shared" si="7"/>
        <v/>
      </c>
      <c r="DH123" s="25" t="str">
        <f>BasicInput!$D$13&amp;$DH$2&amp;B123&amp;"_"&amp;C123&amp;D123&amp;"_"&amp;BasicInput!$D$7&amp;BasicInput!$D$8&amp;"_"&amp;DG123&amp;".xuf"</f>
        <v>C:\PWWORKING\east01\d2591108\Ramps\__2019EX_PM_.xuf</v>
      </c>
    </row>
    <row r="124" spans="39:112" x14ac:dyDescent="0.2">
      <c r="AM124" s="18"/>
      <c r="AS124" s="18"/>
      <c r="AX124" s="17"/>
      <c r="BI124" s="18"/>
      <c r="BO124" s="18"/>
      <c r="BT124" s="18"/>
      <c r="CA124" s="18"/>
      <c r="CH124" s="18"/>
      <c r="DF124" s="31" t="str">
        <f t="shared" si="6"/>
        <v xml:space="preserve">  </v>
      </c>
      <c r="DG124" s="25" t="str">
        <f t="shared" si="7"/>
        <v/>
      </c>
      <c r="DH124" s="25" t="str">
        <f>BasicInput!$D$13&amp;$DH$2&amp;B124&amp;"_"&amp;C124&amp;D124&amp;"_"&amp;BasicInput!$D$7&amp;BasicInput!$D$8&amp;"_"&amp;DG124&amp;".xuf"</f>
        <v>C:\PWWORKING\east01\d2591108\Ramps\__2019EX_PM_.xuf</v>
      </c>
    </row>
    <row r="125" spans="39:112" x14ac:dyDescent="0.2">
      <c r="AM125" s="18"/>
      <c r="AS125" s="18"/>
      <c r="AX125" s="17"/>
      <c r="BI125" s="18"/>
      <c r="BO125" s="18"/>
      <c r="BT125" s="18"/>
      <c r="CA125" s="18"/>
      <c r="CH125" s="18"/>
      <c r="DF125" s="31" t="str">
        <f t="shared" si="6"/>
        <v xml:space="preserve">  </v>
      </c>
      <c r="DG125" s="25" t="str">
        <f t="shared" si="7"/>
        <v/>
      </c>
      <c r="DH125" s="25" t="str">
        <f>BasicInput!$D$13&amp;$DH$2&amp;B125&amp;"_"&amp;C125&amp;D125&amp;"_"&amp;BasicInput!$D$7&amp;BasicInput!$D$8&amp;"_"&amp;DG125&amp;".xuf"</f>
        <v>C:\PWWORKING\east01\d2591108\Ramps\__2019EX_PM_.xuf</v>
      </c>
    </row>
    <row r="126" spans="39:112" x14ac:dyDescent="0.2">
      <c r="AM126" s="18"/>
      <c r="AS126" s="18"/>
      <c r="AX126" s="17"/>
      <c r="BI126" s="18"/>
      <c r="BO126" s="18"/>
      <c r="BT126" s="18"/>
      <c r="CA126" s="18"/>
      <c r="CH126" s="18"/>
      <c r="DF126" s="31" t="str">
        <f t="shared" si="6"/>
        <v xml:space="preserve">  </v>
      </c>
      <c r="DG126" s="25" t="str">
        <f t="shared" si="7"/>
        <v/>
      </c>
      <c r="DH126" s="25" t="str">
        <f>BasicInput!$D$13&amp;$DH$2&amp;B126&amp;"_"&amp;C126&amp;D126&amp;"_"&amp;BasicInput!$D$7&amp;BasicInput!$D$8&amp;"_"&amp;DG126&amp;".xuf"</f>
        <v>C:\PWWORKING\east01\d2591108\Ramps\__2019EX_PM_.xuf</v>
      </c>
    </row>
    <row r="127" spans="39:112" x14ac:dyDescent="0.2">
      <c r="AM127" s="18"/>
      <c r="AS127" s="18"/>
      <c r="AX127" s="17"/>
      <c r="BI127" s="18"/>
      <c r="BO127" s="18"/>
      <c r="BT127" s="18"/>
      <c r="CA127" s="18"/>
      <c r="CH127" s="18"/>
      <c r="DF127" s="31" t="str">
        <f t="shared" si="6"/>
        <v xml:space="preserve">  </v>
      </c>
      <c r="DG127" s="25" t="str">
        <f t="shared" si="7"/>
        <v/>
      </c>
      <c r="DH127" s="25" t="str">
        <f>BasicInput!$D$13&amp;$DH$2&amp;B127&amp;"_"&amp;C127&amp;D127&amp;"_"&amp;BasicInput!$D$7&amp;BasicInput!$D$8&amp;"_"&amp;DG127&amp;".xuf"</f>
        <v>C:\PWWORKING\east01\d2591108\Ramps\__2019EX_PM_.xuf</v>
      </c>
    </row>
    <row r="128" spans="39:112" x14ac:dyDescent="0.2">
      <c r="AM128" s="18"/>
      <c r="AS128" s="18"/>
      <c r="AX128" s="17"/>
      <c r="BI128" s="18"/>
      <c r="BO128" s="18"/>
      <c r="BT128" s="18"/>
      <c r="CA128" s="18"/>
      <c r="CH128" s="18"/>
      <c r="DF128" s="31" t="str">
        <f t="shared" si="6"/>
        <v xml:space="preserve">  </v>
      </c>
      <c r="DG128" s="25" t="str">
        <f t="shared" si="7"/>
        <v/>
      </c>
      <c r="DH128" s="25" t="str">
        <f>BasicInput!$D$13&amp;$DH$2&amp;B128&amp;"_"&amp;C128&amp;D128&amp;"_"&amp;BasicInput!$D$7&amp;BasicInput!$D$8&amp;"_"&amp;DG128&amp;".xuf"</f>
        <v>C:\PWWORKING\east01\d2591108\Ramps\__2019EX_PM_.xuf</v>
      </c>
    </row>
    <row r="129" spans="39:112" x14ac:dyDescent="0.2">
      <c r="AM129" s="18"/>
      <c r="AS129" s="18"/>
      <c r="AX129" s="17"/>
      <c r="BI129" s="18"/>
      <c r="BO129" s="18"/>
      <c r="BT129" s="18"/>
      <c r="CA129" s="18"/>
      <c r="CH129" s="18"/>
      <c r="DF129" s="31" t="str">
        <f t="shared" si="6"/>
        <v xml:space="preserve">  </v>
      </c>
      <c r="DG129" s="25" t="str">
        <f t="shared" si="7"/>
        <v/>
      </c>
      <c r="DH129" s="25" t="str">
        <f>BasicInput!$D$13&amp;$DH$2&amp;B129&amp;"_"&amp;C129&amp;D129&amp;"_"&amp;BasicInput!$D$7&amp;BasicInput!$D$8&amp;"_"&amp;DG129&amp;".xuf"</f>
        <v>C:\PWWORKING\east01\d2591108\Ramps\__2019EX_PM_.xuf</v>
      </c>
    </row>
    <row r="130" spans="39:112" x14ac:dyDescent="0.2">
      <c r="AM130" s="18"/>
      <c r="AS130" s="18"/>
      <c r="AX130" s="17"/>
      <c r="BI130" s="18"/>
      <c r="BO130" s="18"/>
      <c r="BT130" s="18"/>
      <c r="CA130" s="18"/>
      <c r="CH130" s="18"/>
      <c r="DF130" s="31" t="str">
        <f t="shared" si="6"/>
        <v xml:space="preserve">  </v>
      </c>
      <c r="DG130" s="25" t="str">
        <f t="shared" si="7"/>
        <v/>
      </c>
      <c r="DH130" s="25" t="str">
        <f>BasicInput!$D$13&amp;$DH$2&amp;B130&amp;"_"&amp;C130&amp;D130&amp;"_"&amp;BasicInput!$D$7&amp;BasicInput!$D$8&amp;"_"&amp;DG130&amp;".xuf"</f>
        <v>C:\PWWORKING\east01\d2591108\Ramps\__2019EX_PM_.xuf</v>
      </c>
    </row>
    <row r="131" spans="39:112" x14ac:dyDescent="0.2">
      <c r="AM131" s="18"/>
      <c r="AS131" s="18"/>
      <c r="AX131" s="17"/>
      <c r="BI131" s="18"/>
      <c r="BO131" s="18"/>
      <c r="BT131" s="18"/>
      <c r="CA131" s="18"/>
      <c r="CH131" s="18"/>
      <c r="DF131" s="31" t="str">
        <f t="shared" si="6"/>
        <v xml:space="preserve">  </v>
      </c>
      <c r="DG131" s="25" t="str">
        <f t="shared" si="7"/>
        <v/>
      </c>
      <c r="DH131" s="25" t="str">
        <f>BasicInput!$D$13&amp;$DH$2&amp;B131&amp;"_"&amp;C131&amp;D131&amp;"_"&amp;BasicInput!$D$7&amp;BasicInput!$D$8&amp;"_"&amp;DG131&amp;".xuf"</f>
        <v>C:\PWWORKING\east01\d2591108\Ramps\__2019EX_PM_.xuf</v>
      </c>
    </row>
    <row r="132" spans="39:112" x14ac:dyDescent="0.2">
      <c r="AM132" s="18"/>
      <c r="AS132" s="18"/>
      <c r="AX132" s="17"/>
      <c r="BI132" s="18"/>
      <c r="BO132" s="18"/>
      <c r="BT132" s="18"/>
      <c r="CA132" s="18"/>
      <c r="CH132" s="18"/>
      <c r="DF132" s="31" t="str">
        <f t="shared" si="6"/>
        <v xml:space="preserve">  </v>
      </c>
      <c r="DG132" s="25" t="str">
        <f t="shared" si="7"/>
        <v/>
      </c>
      <c r="DH132" s="25" t="str">
        <f>BasicInput!$D$13&amp;$DH$2&amp;B132&amp;"_"&amp;C132&amp;D132&amp;"_"&amp;BasicInput!$D$7&amp;BasicInput!$D$8&amp;"_"&amp;DG132&amp;".xuf"</f>
        <v>C:\PWWORKING\east01\d2591108\Ramps\__2019EX_PM_.xuf</v>
      </c>
    </row>
    <row r="133" spans="39:112" x14ac:dyDescent="0.2">
      <c r="AM133" s="18"/>
      <c r="AS133" s="18"/>
      <c r="AX133" s="17"/>
      <c r="BI133" s="18"/>
      <c r="BO133" s="18"/>
      <c r="BT133" s="18"/>
      <c r="CA133" s="18"/>
      <c r="CH133" s="18"/>
      <c r="DF133" s="31" t="str">
        <f t="shared" si="6"/>
        <v xml:space="preserve">  </v>
      </c>
      <c r="DG133" s="25" t="str">
        <f t="shared" si="7"/>
        <v/>
      </c>
      <c r="DH133" s="25" t="str">
        <f>BasicInput!$D$13&amp;$DH$2&amp;B133&amp;"_"&amp;C133&amp;D133&amp;"_"&amp;BasicInput!$D$7&amp;BasicInput!$D$8&amp;"_"&amp;DG133&amp;".xuf"</f>
        <v>C:\PWWORKING\east01\d2591108\Ramps\__2019EX_PM_.xuf</v>
      </c>
    </row>
    <row r="134" spans="39:112" x14ac:dyDescent="0.2">
      <c r="AM134" s="18"/>
      <c r="AS134" s="18"/>
      <c r="AX134" s="17"/>
      <c r="BI134" s="18"/>
      <c r="BO134" s="18"/>
      <c r="BT134" s="18"/>
      <c r="CA134" s="18"/>
      <c r="CH134" s="18"/>
      <c r="DF134" s="31" t="str">
        <f t="shared" si="6"/>
        <v xml:space="preserve">  </v>
      </c>
      <c r="DG134" s="25" t="str">
        <f t="shared" si="7"/>
        <v/>
      </c>
      <c r="DH134" s="25" t="str">
        <f>BasicInput!$D$13&amp;$DH$2&amp;B134&amp;"_"&amp;C134&amp;D134&amp;"_"&amp;BasicInput!$D$7&amp;BasicInput!$D$8&amp;"_"&amp;DG134&amp;".xuf"</f>
        <v>C:\PWWORKING\east01\d2591108\Ramps\__2019EX_PM_.xuf</v>
      </c>
    </row>
    <row r="135" spans="39:112" x14ac:dyDescent="0.2">
      <c r="AM135" s="18"/>
      <c r="AS135" s="18"/>
      <c r="AX135" s="17"/>
      <c r="BI135" s="18"/>
      <c r="BO135" s="18"/>
      <c r="BT135" s="18"/>
      <c r="CA135" s="18"/>
      <c r="CH135" s="18"/>
      <c r="DF135" s="31" t="str">
        <f t="shared" si="6"/>
        <v xml:space="preserve">  </v>
      </c>
      <c r="DG135" s="25" t="str">
        <f t="shared" si="7"/>
        <v/>
      </c>
      <c r="DH135" s="25" t="str">
        <f>BasicInput!$D$13&amp;$DH$2&amp;B135&amp;"_"&amp;C135&amp;D135&amp;"_"&amp;BasicInput!$D$7&amp;BasicInput!$D$8&amp;"_"&amp;DG135&amp;".xuf"</f>
        <v>C:\PWWORKING\east01\d2591108\Ramps\__2019EX_PM_.xuf</v>
      </c>
    </row>
    <row r="136" spans="39:112" x14ac:dyDescent="0.2">
      <c r="AM136" s="18"/>
      <c r="AS136" s="18"/>
      <c r="AX136" s="17"/>
      <c r="BI136" s="18"/>
      <c r="BO136" s="18"/>
      <c r="BT136" s="18"/>
      <c r="CA136" s="18"/>
      <c r="CH136" s="18"/>
      <c r="DF136" s="31" t="str">
        <f t="shared" si="6"/>
        <v xml:space="preserve">  </v>
      </c>
      <c r="DG136" s="25" t="str">
        <f t="shared" si="7"/>
        <v/>
      </c>
      <c r="DH136" s="25" t="str">
        <f>BasicInput!$D$13&amp;$DH$2&amp;B136&amp;"_"&amp;C136&amp;D136&amp;"_"&amp;BasicInput!$D$7&amp;BasicInput!$D$8&amp;"_"&amp;DG136&amp;".xuf"</f>
        <v>C:\PWWORKING\east01\d2591108\Ramps\__2019EX_PM_.xuf</v>
      </c>
    </row>
    <row r="137" spans="39:112" x14ac:dyDescent="0.2">
      <c r="AM137" s="18"/>
      <c r="AS137" s="18"/>
      <c r="AX137" s="17"/>
      <c r="BI137" s="18"/>
      <c r="BO137" s="18"/>
      <c r="BT137" s="18"/>
      <c r="CA137" s="18"/>
      <c r="CH137" s="18"/>
      <c r="DF137" s="31" t="str">
        <f t="shared" si="6"/>
        <v xml:space="preserve">  </v>
      </c>
      <c r="DG137" s="25" t="str">
        <f t="shared" si="7"/>
        <v/>
      </c>
      <c r="DH137" s="25" t="str">
        <f>BasicInput!$D$13&amp;$DH$2&amp;B137&amp;"_"&amp;C137&amp;D137&amp;"_"&amp;BasicInput!$D$7&amp;BasicInput!$D$8&amp;"_"&amp;DG137&amp;".xuf"</f>
        <v>C:\PWWORKING\east01\d2591108\Ramps\__2019EX_PM_.xuf</v>
      </c>
    </row>
    <row r="138" spans="39:112" x14ac:dyDescent="0.2">
      <c r="AM138" s="18"/>
      <c r="AS138" s="18"/>
      <c r="AX138" s="17"/>
      <c r="BI138" s="18"/>
      <c r="BO138" s="18"/>
      <c r="BT138" s="18"/>
      <c r="CA138" s="18"/>
      <c r="CH138" s="18"/>
      <c r="DF138" s="31" t="str">
        <f t="shared" si="6"/>
        <v xml:space="preserve">  </v>
      </c>
      <c r="DG138" s="25" t="str">
        <f t="shared" si="7"/>
        <v/>
      </c>
      <c r="DH138" s="25" t="str">
        <f>BasicInput!$D$13&amp;$DH$2&amp;B138&amp;"_"&amp;C138&amp;D138&amp;"_"&amp;BasicInput!$D$7&amp;BasicInput!$D$8&amp;"_"&amp;DG138&amp;".xuf"</f>
        <v>C:\PWWORKING\east01\d2591108\Ramps\__2019EX_PM_.xuf</v>
      </c>
    </row>
    <row r="139" spans="39:112" x14ac:dyDescent="0.2">
      <c r="AM139" s="18"/>
      <c r="AS139" s="18"/>
      <c r="AX139" s="17"/>
      <c r="BI139" s="18"/>
      <c r="BO139" s="18"/>
      <c r="BT139" s="18"/>
      <c r="CA139" s="18"/>
      <c r="CH139" s="18"/>
      <c r="DF139" s="31" t="str">
        <f t="shared" si="6"/>
        <v xml:space="preserve">  </v>
      </c>
      <c r="DG139" s="25" t="str">
        <f t="shared" si="7"/>
        <v/>
      </c>
      <c r="DH139" s="25" t="str">
        <f>BasicInput!$D$13&amp;$DH$2&amp;B139&amp;"_"&amp;C139&amp;D139&amp;"_"&amp;BasicInput!$D$7&amp;BasicInput!$D$8&amp;"_"&amp;DG139&amp;".xuf"</f>
        <v>C:\PWWORKING\east01\d2591108\Ramps\__2019EX_PM_.xuf</v>
      </c>
    </row>
    <row r="140" spans="39:112" x14ac:dyDescent="0.2">
      <c r="AM140" s="18"/>
      <c r="AS140" s="18"/>
      <c r="AX140" s="17"/>
      <c r="BI140" s="18"/>
      <c r="BO140" s="18"/>
      <c r="BT140" s="18"/>
      <c r="CA140" s="18"/>
      <c r="CH140" s="18"/>
      <c r="DF140" s="31" t="str">
        <f t="shared" si="6"/>
        <v xml:space="preserve">  </v>
      </c>
      <c r="DG140" s="25" t="str">
        <f t="shared" si="7"/>
        <v/>
      </c>
      <c r="DH140" s="25" t="str">
        <f>BasicInput!$D$13&amp;$DH$2&amp;B140&amp;"_"&amp;C140&amp;D140&amp;"_"&amp;BasicInput!$D$7&amp;BasicInput!$D$8&amp;"_"&amp;DG140&amp;".xuf"</f>
        <v>C:\PWWORKING\east01\d2591108\Ramps\__2019EX_PM_.xuf</v>
      </c>
    </row>
    <row r="141" spans="39:112" x14ac:dyDescent="0.2">
      <c r="AM141" s="18"/>
      <c r="AS141" s="18"/>
      <c r="AX141" s="17"/>
      <c r="BI141" s="18"/>
      <c r="BO141" s="18"/>
      <c r="BT141" s="18"/>
      <c r="CA141" s="18"/>
      <c r="CH141" s="18"/>
      <c r="DF141" s="31" t="str">
        <f t="shared" si="6"/>
        <v xml:space="preserve">  </v>
      </c>
      <c r="DG141" s="25" t="str">
        <f t="shared" si="7"/>
        <v/>
      </c>
      <c r="DH141" s="25" t="str">
        <f>BasicInput!$D$13&amp;$DH$2&amp;B141&amp;"_"&amp;C141&amp;D141&amp;"_"&amp;BasicInput!$D$7&amp;BasicInput!$D$8&amp;"_"&amp;DG141&amp;".xuf"</f>
        <v>C:\PWWORKING\east01\d2591108\Ramps\__2019EX_PM_.xuf</v>
      </c>
    </row>
    <row r="142" spans="39:112" x14ac:dyDescent="0.2">
      <c r="AM142" s="18"/>
      <c r="AS142" s="18"/>
      <c r="AX142" s="17"/>
      <c r="BI142" s="18"/>
      <c r="BO142" s="18"/>
      <c r="BT142" s="18"/>
      <c r="CA142" s="18"/>
      <c r="CH142" s="18"/>
      <c r="DF142" s="31" t="str">
        <f t="shared" si="6"/>
        <v xml:space="preserve">  </v>
      </c>
      <c r="DG142" s="25" t="str">
        <f t="shared" si="7"/>
        <v/>
      </c>
      <c r="DH142" s="25" t="str">
        <f>BasicInput!$D$13&amp;$DH$2&amp;B142&amp;"_"&amp;C142&amp;D142&amp;"_"&amp;BasicInput!$D$7&amp;BasicInput!$D$8&amp;"_"&amp;DG142&amp;".xuf"</f>
        <v>C:\PWWORKING\east01\d2591108\Ramps\__2019EX_PM_.xuf</v>
      </c>
    </row>
    <row r="143" spans="39:112" x14ac:dyDescent="0.2">
      <c r="AM143" s="18"/>
      <c r="AS143" s="18"/>
      <c r="AX143" s="17"/>
      <c r="BI143" s="18"/>
      <c r="BO143" s="18"/>
      <c r="BT143" s="18"/>
      <c r="CA143" s="18"/>
      <c r="CH143" s="18"/>
      <c r="DF143" s="31" t="str">
        <f t="shared" si="6"/>
        <v xml:space="preserve">  </v>
      </c>
      <c r="DG143" s="25" t="str">
        <f t="shared" si="7"/>
        <v/>
      </c>
      <c r="DH143" s="25" t="str">
        <f>BasicInput!$D$13&amp;$DH$2&amp;B143&amp;"_"&amp;C143&amp;D143&amp;"_"&amp;BasicInput!$D$7&amp;BasicInput!$D$8&amp;"_"&amp;DG143&amp;".xuf"</f>
        <v>C:\PWWORKING\east01\d2591108\Ramps\__2019EX_PM_.xuf</v>
      </c>
    </row>
    <row r="144" spans="39:112" x14ac:dyDescent="0.2">
      <c r="AM144" s="18"/>
      <c r="AS144" s="18"/>
      <c r="AX144" s="17"/>
      <c r="BI144" s="18"/>
      <c r="BO144" s="18"/>
      <c r="BT144" s="18"/>
      <c r="CA144" s="18"/>
      <c r="CH144" s="18"/>
      <c r="DF144" s="31" t="str">
        <f t="shared" si="6"/>
        <v xml:space="preserve">  </v>
      </c>
      <c r="DG144" s="25" t="str">
        <f t="shared" si="7"/>
        <v/>
      </c>
      <c r="DH144" s="25" t="str">
        <f>BasicInput!$D$13&amp;$DH$2&amp;B144&amp;"_"&amp;C144&amp;D144&amp;"_"&amp;BasicInput!$D$7&amp;BasicInput!$D$8&amp;"_"&amp;DG144&amp;".xuf"</f>
        <v>C:\PWWORKING\east01\d2591108\Ramps\__2019EX_PM_.xuf</v>
      </c>
    </row>
    <row r="145" spans="39:112" x14ac:dyDescent="0.2">
      <c r="AM145" s="18"/>
      <c r="AS145" s="18"/>
      <c r="AX145" s="17"/>
      <c r="BI145" s="18"/>
      <c r="BO145" s="18"/>
      <c r="BT145" s="18"/>
      <c r="CA145" s="18"/>
      <c r="CH145" s="18"/>
      <c r="DF145" s="31" t="str">
        <f t="shared" ref="DF145:DF208" si="8">C145&amp; " "&amp;D145&amp;" " &amp;E145</f>
        <v xml:space="preserve">  </v>
      </c>
      <c r="DG145" s="25" t="str">
        <f t="shared" ref="DG145:DG208" si="9">SUBSTITUTE(E145, "/", "_")</f>
        <v/>
      </c>
      <c r="DH145" s="25" t="str">
        <f>BasicInput!$D$13&amp;$DH$2&amp;B145&amp;"_"&amp;C145&amp;D145&amp;"_"&amp;BasicInput!$D$7&amp;BasicInput!$D$8&amp;"_"&amp;DG145&amp;".xuf"</f>
        <v>C:\PWWORKING\east01\d2591108\Ramps\__2019EX_PM_.xuf</v>
      </c>
    </row>
    <row r="146" spans="39:112" x14ac:dyDescent="0.2">
      <c r="AM146" s="18"/>
      <c r="AS146" s="18"/>
      <c r="AX146" s="17"/>
      <c r="BI146" s="18"/>
      <c r="BO146" s="18"/>
      <c r="BT146" s="18"/>
      <c r="CA146" s="18"/>
      <c r="CH146" s="18"/>
      <c r="DF146" s="31" t="str">
        <f t="shared" si="8"/>
        <v xml:space="preserve">  </v>
      </c>
      <c r="DG146" s="25" t="str">
        <f t="shared" si="9"/>
        <v/>
      </c>
      <c r="DH146" s="25" t="str">
        <f>BasicInput!$D$13&amp;$DH$2&amp;B146&amp;"_"&amp;C146&amp;D146&amp;"_"&amp;BasicInput!$D$7&amp;BasicInput!$D$8&amp;"_"&amp;DG146&amp;".xuf"</f>
        <v>C:\PWWORKING\east01\d2591108\Ramps\__2019EX_PM_.xuf</v>
      </c>
    </row>
    <row r="147" spans="39:112" x14ac:dyDescent="0.2">
      <c r="AM147" s="18"/>
      <c r="AS147" s="18"/>
      <c r="AX147" s="17"/>
      <c r="BI147" s="18"/>
      <c r="BO147" s="18"/>
      <c r="BT147" s="18"/>
      <c r="CA147" s="18"/>
      <c r="CH147" s="18"/>
      <c r="DF147" s="31" t="str">
        <f t="shared" si="8"/>
        <v xml:space="preserve">  </v>
      </c>
      <c r="DG147" s="25" t="str">
        <f t="shared" si="9"/>
        <v/>
      </c>
      <c r="DH147" s="25" t="str">
        <f>BasicInput!$D$13&amp;$DH$2&amp;B147&amp;"_"&amp;C147&amp;D147&amp;"_"&amp;BasicInput!$D$7&amp;BasicInput!$D$8&amp;"_"&amp;DG147&amp;".xuf"</f>
        <v>C:\PWWORKING\east01\d2591108\Ramps\__2019EX_PM_.xuf</v>
      </c>
    </row>
    <row r="148" spans="39:112" x14ac:dyDescent="0.2">
      <c r="AM148" s="18"/>
      <c r="AS148" s="18"/>
      <c r="AX148" s="17"/>
      <c r="BI148" s="18"/>
      <c r="BO148" s="18"/>
      <c r="BT148" s="18"/>
      <c r="CA148" s="18"/>
      <c r="CH148" s="18"/>
      <c r="DF148" s="31" t="str">
        <f t="shared" si="8"/>
        <v xml:space="preserve">  </v>
      </c>
      <c r="DG148" s="25" t="str">
        <f t="shared" si="9"/>
        <v/>
      </c>
      <c r="DH148" s="25" t="str">
        <f>BasicInput!$D$13&amp;$DH$2&amp;B148&amp;"_"&amp;C148&amp;D148&amp;"_"&amp;BasicInput!$D$7&amp;BasicInput!$D$8&amp;"_"&amp;DG148&amp;".xuf"</f>
        <v>C:\PWWORKING\east01\d2591108\Ramps\__2019EX_PM_.xuf</v>
      </c>
    </row>
    <row r="149" spans="39:112" x14ac:dyDescent="0.2">
      <c r="AM149" s="18"/>
      <c r="AS149" s="18"/>
      <c r="AX149" s="17"/>
      <c r="BI149" s="18"/>
      <c r="BO149" s="18"/>
      <c r="BT149" s="18"/>
      <c r="CA149" s="18"/>
      <c r="CH149" s="18"/>
      <c r="DF149" s="31" t="str">
        <f t="shared" si="8"/>
        <v xml:space="preserve">  </v>
      </c>
      <c r="DG149" s="25" t="str">
        <f t="shared" si="9"/>
        <v/>
      </c>
      <c r="DH149" s="25" t="str">
        <f>BasicInput!$D$13&amp;$DH$2&amp;B149&amp;"_"&amp;C149&amp;D149&amp;"_"&amp;BasicInput!$D$7&amp;BasicInput!$D$8&amp;"_"&amp;DG149&amp;".xuf"</f>
        <v>C:\PWWORKING\east01\d2591108\Ramps\__2019EX_PM_.xuf</v>
      </c>
    </row>
    <row r="150" spans="39:112" x14ac:dyDescent="0.2">
      <c r="AM150" s="18"/>
      <c r="AS150" s="18"/>
      <c r="AX150" s="17"/>
      <c r="BI150" s="18"/>
      <c r="BO150" s="18"/>
      <c r="BT150" s="18"/>
      <c r="CA150" s="18"/>
      <c r="CH150" s="18"/>
      <c r="DF150" s="31" t="str">
        <f t="shared" si="8"/>
        <v xml:space="preserve">  </v>
      </c>
      <c r="DG150" s="25" t="str">
        <f t="shared" si="9"/>
        <v/>
      </c>
      <c r="DH150" s="25" t="str">
        <f>BasicInput!$D$13&amp;$DH$2&amp;B150&amp;"_"&amp;C150&amp;D150&amp;"_"&amp;BasicInput!$D$7&amp;BasicInput!$D$8&amp;"_"&amp;DG150&amp;".xuf"</f>
        <v>C:\PWWORKING\east01\d2591108\Ramps\__2019EX_PM_.xuf</v>
      </c>
    </row>
    <row r="151" spans="39:112" x14ac:dyDescent="0.2">
      <c r="AM151" s="18"/>
      <c r="AS151" s="18"/>
      <c r="AX151" s="17"/>
      <c r="BI151" s="18"/>
      <c r="BO151" s="18"/>
      <c r="BT151" s="18"/>
      <c r="CA151" s="18"/>
      <c r="CH151" s="18"/>
      <c r="DF151" s="31" t="str">
        <f t="shared" si="8"/>
        <v xml:space="preserve">  </v>
      </c>
      <c r="DG151" s="25" t="str">
        <f t="shared" si="9"/>
        <v/>
      </c>
      <c r="DH151" s="25" t="str">
        <f>BasicInput!$D$13&amp;$DH$2&amp;B151&amp;"_"&amp;C151&amp;D151&amp;"_"&amp;BasicInput!$D$7&amp;BasicInput!$D$8&amp;"_"&amp;DG151&amp;".xuf"</f>
        <v>C:\PWWORKING\east01\d2591108\Ramps\__2019EX_PM_.xuf</v>
      </c>
    </row>
    <row r="152" spans="39:112" x14ac:dyDescent="0.2">
      <c r="AM152" s="18"/>
      <c r="AS152" s="18"/>
      <c r="AX152" s="17"/>
      <c r="BI152" s="18"/>
      <c r="BO152" s="18"/>
      <c r="BT152" s="18"/>
      <c r="CA152" s="18"/>
      <c r="CH152" s="18"/>
      <c r="DF152" s="31" t="str">
        <f t="shared" si="8"/>
        <v xml:space="preserve">  </v>
      </c>
      <c r="DG152" s="25" t="str">
        <f t="shared" si="9"/>
        <v/>
      </c>
      <c r="DH152" s="25" t="str">
        <f>BasicInput!$D$13&amp;$DH$2&amp;B152&amp;"_"&amp;C152&amp;D152&amp;"_"&amp;BasicInput!$D$7&amp;BasicInput!$D$8&amp;"_"&amp;DG152&amp;".xuf"</f>
        <v>C:\PWWORKING\east01\d2591108\Ramps\__2019EX_PM_.xuf</v>
      </c>
    </row>
    <row r="153" spans="39:112" x14ac:dyDescent="0.2">
      <c r="AM153" s="18"/>
      <c r="AS153" s="18"/>
      <c r="AX153" s="17"/>
      <c r="BI153" s="18"/>
      <c r="BO153" s="18"/>
      <c r="BT153" s="18"/>
      <c r="CA153" s="18"/>
      <c r="CH153" s="18"/>
      <c r="DF153" s="31" t="str">
        <f t="shared" si="8"/>
        <v xml:space="preserve">  </v>
      </c>
      <c r="DG153" s="25" t="str">
        <f t="shared" si="9"/>
        <v/>
      </c>
      <c r="DH153" s="25" t="str">
        <f>BasicInput!$D$13&amp;$DH$2&amp;B153&amp;"_"&amp;C153&amp;D153&amp;"_"&amp;BasicInput!$D$7&amp;BasicInput!$D$8&amp;"_"&amp;DG153&amp;".xuf"</f>
        <v>C:\PWWORKING\east01\d2591108\Ramps\__2019EX_PM_.xuf</v>
      </c>
    </row>
    <row r="154" spans="39:112" x14ac:dyDescent="0.2">
      <c r="AM154" s="18"/>
      <c r="AS154" s="18"/>
      <c r="AX154" s="17"/>
      <c r="BI154" s="18"/>
      <c r="BO154" s="18"/>
      <c r="BT154" s="18"/>
      <c r="CA154" s="18"/>
      <c r="CH154" s="18"/>
      <c r="DF154" s="31" t="str">
        <f t="shared" si="8"/>
        <v xml:space="preserve">  </v>
      </c>
      <c r="DG154" s="25" t="str">
        <f t="shared" si="9"/>
        <v/>
      </c>
      <c r="DH154" s="25" t="str">
        <f>BasicInput!$D$13&amp;$DH$2&amp;B154&amp;"_"&amp;C154&amp;D154&amp;"_"&amp;BasicInput!$D$7&amp;BasicInput!$D$8&amp;"_"&amp;DG154&amp;".xuf"</f>
        <v>C:\PWWORKING\east01\d2591108\Ramps\__2019EX_PM_.xuf</v>
      </c>
    </row>
    <row r="155" spans="39:112" x14ac:dyDescent="0.2">
      <c r="AM155" s="18"/>
      <c r="AS155" s="18"/>
      <c r="AX155" s="17"/>
      <c r="BI155" s="18"/>
      <c r="BO155" s="18"/>
      <c r="BT155" s="18"/>
      <c r="CA155" s="18"/>
      <c r="CH155" s="18"/>
      <c r="DF155" s="31" t="str">
        <f t="shared" si="8"/>
        <v xml:space="preserve">  </v>
      </c>
      <c r="DG155" s="25" t="str">
        <f t="shared" si="9"/>
        <v/>
      </c>
      <c r="DH155" s="25" t="str">
        <f>BasicInput!$D$13&amp;$DH$2&amp;B155&amp;"_"&amp;C155&amp;D155&amp;"_"&amp;BasicInput!$D$7&amp;BasicInput!$D$8&amp;"_"&amp;DG155&amp;".xuf"</f>
        <v>C:\PWWORKING\east01\d2591108\Ramps\__2019EX_PM_.xuf</v>
      </c>
    </row>
    <row r="156" spans="39:112" x14ac:dyDescent="0.2">
      <c r="AM156" s="18"/>
      <c r="AS156" s="18"/>
      <c r="AX156" s="17"/>
      <c r="BI156" s="18"/>
      <c r="BO156" s="18"/>
      <c r="BT156" s="18"/>
      <c r="CA156" s="18"/>
      <c r="CH156" s="18"/>
      <c r="DF156" s="31" t="str">
        <f t="shared" si="8"/>
        <v xml:space="preserve">  </v>
      </c>
      <c r="DG156" s="25" t="str">
        <f t="shared" si="9"/>
        <v/>
      </c>
      <c r="DH156" s="25" t="str">
        <f>BasicInput!$D$13&amp;$DH$2&amp;B156&amp;"_"&amp;C156&amp;D156&amp;"_"&amp;BasicInput!$D$7&amp;BasicInput!$D$8&amp;"_"&amp;DG156&amp;".xuf"</f>
        <v>C:\PWWORKING\east01\d2591108\Ramps\__2019EX_PM_.xuf</v>
      </c>
    </row>
    <row r="157" spans="39:112" x14ac:dyDescent="0.2">
      <c r="AM157" s="18"/>
      <c r="AS157" s="18"/>
      <c r="AX157" s="17"/>
      <c r="BI157" s="18"/>
      <c r="BO157" s="18"/>
      <c r="BT157" s="18"/>
      <c r="CA157" s="18"/>
      <c r="CH157" s="18"/>
      <c r="DF157" s="31" t="str">
        <f t="shared" si="8"/>
        <v xml:space="preserve">  </v>
      </c>
      <c r="DG157" s="25" t="str">
        <f t="shared" si="9"/>
        <v/>
      </c>
      <c r="DH157" s="25" t="str">
        <f>BasicInput!$D$13&amp;$DH$2&amp;B157&amp;"_"&amp;C157&amp;D157&amp;"_"&amp;BasicInput!$D$7&amp;BasicInput!$D$8&amp;"_"&amp;DG157&amp;".xuf"</f>
        <v>C:\PWWORKING\east01\d2591108\Ramps\__2019EX_PM_.xuf</v>
      </c>
    </row>
    <row r="158" spans="39:112" x14ac:dyDescent="0.2">
      <c r="AM158" s="18"/>
      <c r="AS158" s="18"/>
      <c r="AX158" s="17"/>
      <c r="BI158" s="18"/>
      <c r="BO158" s="18"/>
      <c r="BT158" s="18"/>
      <c r="CA158" s="18"/>
      <c r="CH158" s="18"/>
      <c r="DF158" s="31" t="str">
        <f t="shared" si="8"/>
        <v xml:space="preserve">  </v>
      </c>
      <c r="DG158" s="25" t="str">
        <f t="shared" si="9"/>
        <v/>
      </c>
      <c r="DH158" s="25" t="str">
        <f>BasicInput!$D$13&amp;$DH$2&amp;B158&amp;"_"&amp;C158&amp;D158&amp;"_"&amp;BasicInput!$D$7&amp;BasicInput!$D$8&amp;"_"&amp;DG158&amp;".xuf"</f>
        <v>C:\PWWORKING\east01\d2591108\Ramps\__2019EX_PM_.xuf</v>
      </c>
    </row>
    <row r="159" spans="39:112" x14ac:dyDescent="0.2">
      <c r="AM159" s="18"/>
      <c r="AS159" s="18"/>
      <c r="AX159" s="17"/>
      <c r="BI159" s="18"/>
      <c r="BO159" s="18"/>
      <c r="BT159" s="18"/>
      <c r="CA159" s="18"/>
      <c r="CH159" s="18"/>
      <c r="DF159" s="31" t="str">
        <f t="shared" si="8"/>
        <v xml:space="preserve">  </v>
      </c>
      <c r="DG159" s="25" t="str">
        <f t="shared" si="9"/>
        <v/>
      </c>
      <c r="DH159" s="25" t="str">
        <f>BasicInput!$D$13&amp;$DH$2&amp;B159&amp;"_"&amp;C159&amp;D159&amp;"_"&amp;BasicInput!$D$7&amp;BasicInput!$D$8&amp;"_"&amp;DG159&amp;".xuf"</f>
        <v>C:\PWWORKING\east01\d2591108\Ramps\__2019EX_PM_.xuf</v>
      </c>
    </row>
    <row r="160" spans="39:112" x14ac:dyDescent="0.2">
      <c r="AM160" s="18"/>
      <c r="AS160" s="18"/>
      <c r="AX160" s="17"/>
      <c r="BI160" s="18"/>
      <c r="BO160" s="18"/>
      <c r="BT160" s="18"/>
      <c r="CA160" s="18"/>
      <c r="CH160" s="18"/>
      <c r="DF160" s="31" t="str">
        <f t="shared" si="8"/>
        <v xml:space="preserve">  </v>
      </c>
      <c r="DG160" s="25" t="str">
        <f t="shared" si="9"/>
        <v/>
      </c>
      <c r="DH160" s="25" t="str">
        <f>BasicInput!$D$13&amp;$DH$2&amp;B160&amp;"_"&amp;C160&amp;D160&amp;"_"&amp;BasicInput!$D$7&amp;BasicInput!$D$8&amp;"_"&amp;DG160&amp;".xuf"</f>
        <v>C:\PWWORKING\east01\d2591108\Ramps\__2019EX_PM_.xuf</v>
      </c>
    </row>
    <row r="161" spans="39:112" x14ac:dyDescent="0.2">
      <c r="AM161" s="18"/>
      <c r="AS161" s="18"/>
      <c r="AX161" s="17"/>
      <c r="BI161" s="18"/>
      <c r="BO161" s="18"/>
      <c r="BT161" s="18"/>
      <c r="CA161" s="18"/>
      <c r="CH161" s="18"/>
      <c r="DF161" s="31" t="str">
        <f t="shared" si="8"/>
        <v xml:space="preserve">  </v>
      </c>
      <c r="DG161" s="25" t="str">
        <f t="shared" si="9"/>
        <v/>
      </c>
      <c r="DH161" s="25" t="str">
        <f>BasicInput!$D$13&amp;$DH$2&amp;B161&amp;"_"&amp;C161&amp;D161&amp;"_"&amp;BasicInput!$D$7&amp;BasicInput!$D$8&amp;"_"&amp;DG161&amp;".xuf"</f>
        <v>C:\PWWORKING\east01\d2591108\Ramps\__2019EX_PM_.xuf</v>
      </c>
    </row>
    <row r="162" spans="39:112" x14ac:dyDescent="0.2">
      <c r="AM162" s="18"/>
      <c r="AS162" s="18"/>
      <c r="AX162" s="17"/>
      <c r="BI162" s="18"/>
      <c r="BO162" s="18"/>
      <c r="BT162" s="18"/>
      <c r="CA162" s="18"/>
      <c r="CH162" s="18"/>
      <c r="DF162" s="31" t="str">
        <f t="shared" si="8"/>
        <v xml:space="preserve">  </v>
      </c>
      <c r="DG162" s="25" t="str">
        <f t="shared" si="9"/>
        <v/>
      </c>
      <c r="DH162" s="25" t="str">
        <f>BasicInput!$D$13&amp;$DH$2&amp;B162&amp;"_"&amp;C162&amp;D162&amp;"_"&amp;BasicInput!$D$7&amp;BasicInput!$D$8&amp;"_"&amp;DG162&amp;".xuf"</f>
        <v>C:\PWWORKING\east01\d2591108\Ramps\__2019EX_PM_.xuf</v>
      </c>
    </row>
    <row r="163" spans="39:112" x14ac:dyDescent="0.2">
      <c r="AM163" s="18"/>
      <c r="AS163" s="18"/>
      <c r="AX163" s="17"/>
      <c r="BI163" s="18"/>
      <c r="BO163" s="18"/>
      <c r="BT163" s="18"/>
      <c r="CA163" s="18"/>
      <c r="CH163" s="18"/>
      <c r="DF163" s="31" t="str">
        <f t="shared" si="8"/>
        <v xml:space="preserve">  </v>
      </c>
      <c r="DG163" s="25" t="str">
        <f t="shared" si="9"/>
        <v/>
      </c>
      <c r="DH163" s="25" t="str">
        <f>BasicInput!$D$13&amp;$DH$2&amp;B163&amp;"_"&amp;C163&amp;D163&amp;"_"&amp;BasicInput!$D$7&amp;BasicInput!$D$8&amp;"_"&amp;DG163&amp;".xuf"</f>
        <v>C:\PWWORKING\east01\d2591108\Ramps\__2019EX_PM_.xuf</v>
      </c>
    </row>
    <row r="164" spans="39:112" x14ac:dyDescent="0.2">
      <c r="AM164" s="18"/>
      <c r="AS164" s="18"/>
      <c r="AX164" s="17"/>
      <c r="BI164" s="18"/>
      <c r="BO164" s="18"/>
      <c r="BT164" s="18"/>
      <c r="CA164" s="18"/>
      <c r="CH164" s="18"/>
      <c r="DF164" s="31" t="str">
        <f t="shared" si="8"/>
        <v xml:space="preserve">  </v>
      </c>
      <c r="DG164" s="25" t="str">
        <f t="shared" si="9"/>
        <v/>
      </c>
      <c r="DH164" s="25" t="str">
        <f>BasicInput!$D$13&amp;$DH$2&amp;B164&amp;"_"&amp;C164&amp;D164&amp;"_"&amp;BasicInput!$D$7&amp;BasicInput!$D$8&amp;"_"&amp;DG164&amp;".xuf"</f>
        <v>C:\PWWORKING\east01\d2591108\Ramps\__2019EX_PM_.xuf</v>
      </c>
    </row>
    <row r="165" spans="39:112" x14ac:dyDescent="0.2">
      <c r="AM165" s="18"/>
      <c r="AS165" s="18"/>
      <c r="AX165" s="17"/>
      <c r="BI165" s="18"/>
      <c r="BO165" s="18"/>
      <c r="BT165" s="18"/>
      <c r="CA165" s="18"/>
      <c r="CH165" s="18"/>
      <c r="DF165" s="31" t="str">
        <f t="shared" si="8"/>
        <v xml:space="preserve">  </v>
      </c>
      <c r="DG165" s="25" t="str">
        <f t="shared" si="9"/>
        <v/>
      </c>
      <c r="DH165" s="25" t="str">
        <f>BasicInput!$D$13&amp;$DH$2&amp;B165&amp;"_"&amp;C165&amp;D165&amp;"_"&amp;BasicInput!$D$7&amp;BasicInput!$D$8&amp;"_"&amp;DG165&amp;".xuf"</f>
        <v>C:\PWWORKING\east01\d2591108\Ramps\__2019EX_PM_.xuf</v>
      </c>
    </row>
    <row r="166" spans="39:112" x14ac:dyDescent="0.2">
      <c r="AM166" s="18"/>
      <c r="AS166" s="18"/>
      <c r="AX166" s="17"/>
      <c r="BI166" s="18"/>
      <c r="BO166" s="18"/>
      <c r="BT166" s="18"/>
      <c r="CA166" s="18"/>
      <c r="CH166" s="18"/>
      <c r="DF166" s="31" t="str">
        <f t="shared" si="8"/>
        <v xml:space="preserve">  </v>
      </c>
      <c r="DG166" s="25" t="str">
        <f t="shared" si="9"/>
        <v/>
      </c>
      <c r="DH166" s="25" t="str">
        <f>BasicInput!$D$13&amp;$DH$2&amp;B166&amp;"_"&amp;C166&amp;D166&amp;"_"&amp;BasicInput!$D$7&amp;BasicInput!$D$8&amp;"_"&amp;DG166&amp;".xuf"</f>
        <v>C:\PWWORKING\east01\d2591108\Ramps\__2019EX_PM_.xuf</v>
      </c>
    </row>
    <row r="167" spans="39:112" x14ac:dyDescent="0.2">
      <c r="AM167" s="18"/>
      <c r="AS167" s="18"/>
      <c r="AX167" s="17"/>
      <c r="BI167" s="18"/>
      <c r="BO167" s="18"/>
      <c r="BT167" s="18"/>
      <c r="CA167" s="18"/>
      <c r="CH167" s="18"/>
      <c r="DF167" s="31" t="str">
        <f t="shared" si="8"/>
        <v xml:space="preserve">  </v>
      </c>
      <c r="DG167" s="25" t="str">
        <f t="shared" si="9"/>
        <v/>
      </c>
      <c r="DH167" s="25" t="str">
        <f>BasicInput!$D$13&amp;$DH$2&amp;B167&amp;"_"&amp;C167&amp;D167&amp;"_"&amp;BasicInput!$D$7&amp;BasicInput!$D$8&amp;"_"&amp;DG167&amp;".xuf"</f>
        <v>C:\PWWORKING\east01\d2591108\Ramps\__2019EX_PM_.xuf</v>
      </c>
    </row>
    <row r="168" spans="39:112" x14ac:dyDescent="0.2">
      <c r="AM168" s="18"/>
      <c r="AS168" s="18"/>
      <c r="AX168" s="17"/>
      <c r="BI168" s="18"/>
      <c r="BO168" s="18"/>
      <c r="BT168" s="18"/>
      <c r="CA168" s="18"/>
      <c r="CH168" s="18"/>
      <c r="DF168" s="31" t="str">
        <f t="shared" si="8"/>
        <v xml:space="preserve">  </v>
      </c>
      <c r="DG168" s="25" t="str">
        <f t="shared" si="9"/>
        <v/>
      </c>
      <c r="DH168" s="25" t="str">
        <f>BasicInput!$D$13&amp;$DH$2&amp;B168&amp;"_"&amp;C168&amp;D168&amp;"_"&amp;BasicInput!$D$7&amp;BasicInput!$D$8&amp;"_"&amp;DG168&amp;".xuf"</f>
        <v>C:\PWWORKING\east01\d2591108\Ramps\__2019EX_PM_.xuf</v>
      </c>
    </row>
    <row r="169" spans="39:112" x14ac:dyDescent="0.2">
      <c r="AM169" s="18"/>
      <c r="AS169" s="18"/>
      <c r="AX169" s="17"/>
      <c r="BI169" s="18"/>
      <c r="BO169" s="18"/>
      <c r="BT169" s="18"/>
      <c r="CA169" s="18"/>
      <c r="CH169" s="18"/>
      <c r="DF169" s="31" t="str">
        <f t="shared" si="8"/>
        <v xml:space="preserve">  </v>
      </c>
      <c r="DG169" s="25" t="str">
        <f t="shared" si="9"/>
        <v/>
      </c>
      <c r="DH169" s="25" t="str">
        <f>BasicInput!$D$13&amp;$DH$2&amp;B169&amp;"_"&amp;C169&amp;D169&amp;"_"&amp;BasicInput!$D$7&amp;BasicInput!$D$8&amp;"_"&amp;DG169&amp;".xuf"</f>
        <v>C:\PWWORKING\east01\d2591108\Ramps\__2019EX_PM_.xuf</v>
      </c>
    </row>
    <row r="170" spans="39:112" x14ac:dyDescent="0.2">
      <c r="AM170" s="18"/>
      <c r="AS170" s="18"/>
      <c r="AX170" s="17"/>
      <c r="BI170" s="18"/>
      <c r="BO170" s="18"/>
      <c r="BT170" s="18"/>
      <c r="CA170" s="18"/>
      <c r="CH170" s="18"/>
      <c r="DF170" s="31" t="str">
        <f t="shared" si="8"/>
        <v xml:space="preserve">  </v>
      </c>
      <c r="DG170" s="25" t="str">
        <f t="shared" si="9"/>
        <v/>
      </c>
      <c r="DH170" s="25" t="str">
        <f>BasicInput!$D$13&amp;$DH$2&amp;B170&amp;"_"&amp;C170&amp;D170&amp;"_"&amp;BasicInput!$D$7&amp;BasicInput!$D$8&amp;"_"&amp;DG170&amp;".xuf"</f>
        <v>C:\PWWORKING\east01\d2591108\Ramps\__2019EX_PM_.xuf</v>
      </c>
    </row>
    <row r="171" spans="39:112" x14ac:dyDescent="0.2">
      <c r="AM171" s="18"/>
      <c r="AS171" s="18"/>
      <c r="AX171" s="17"/>
      <c r="BI171" s="18"/>
      <c r="BO171" s="18"/>
      <c r="BT171" s="18"/>
      <c r="CA171" s="18"/>
      <c r="CH171" s="18"/>
      <c r="DF171" s="31" t="str">
        <f t="shared" si="8"/>
        <v xml:space="preserve">  </v>
      </c>
      <c r="DG171" s="25" t="str">
        <f t="shared" si="9"/>
        <v/>
      </c>
      <c r="DH171" s="25" t="str">
        <f>BasicInput!$D$13&amp;$DH$2&amp;B171&amp;"_"&amp;C171&amp;D171&amp;"_"&amp;BasicInput!$D$7&amp;BasicInput!$D$8&amp;"_"&amp;DG171&amp;".xuf"</f>
        <v>C:\PWWORKING\east01\d2591108\Ramps\__2019EX_PM_.xuf</v>
      </c>
    </row>
    <row r="172" spans="39:112" x14ac:dyDescent="0.2">
      <c r="AM172" s="18"/>
      <c r="AS172" s="18"/>
      <c r="AX172" s="17"/>
      <c r="BI172" s="18"/>
      <c r="BO172" s="18"/>
      <c r="BT172" s="18"/>
      <c r="CA172" s="18"/>
      <c r="CH172" s="18"/>
      <c r="DF172" s="31" t="str">
        <f t="shared" si="8"/>
        <v xml:space="preserve">  </v>
      </c>
      <c r="DG172" s="25" t="str">
        <f t="shared" si="9"/>
        <v/>
      </c>
      <c r="DH172" s="25" t="str">
        <f>BasicInput!$D$13&amp;$DH$2&amp;B172&amp;"_"&amp;C172&amp;D172&amp;"_"&amp;BasicInput!$D$7&amp;BasicInput!$D$8&amp;"_"&amp;DG172&amp;".xuf"</f>
        <v>C:\PWWORKING\east01\d2591108\Ramps\__2019EX_PM_.xuf</v>
      </c>
    </row>
    <row r="173" spans="39:112" x14ac:dyDescent="0.2">
      <c r="AM173" s="18"/>
      <c r="AS173" s="18"/>
      <c r="AX173" s="17"/>
      <c r="BI173" s="18"/>
      <c r="BO173" s="18"/>
      <c r="BT173" s="18"/>
      <c r="CA173" s="18"/>
      <c r="CH173" s="18"/>
      <c r="DF173" s="31" t="str">
        <f t="shared" si="8"/>
        <v xml:space="preserve">  </v>
      </c>
      <c r="DG173" s="25" t="str">
        <f t="shared" si="9"/>
        <v/>
      </c>
      <c r="DH173" s="25" t="str">
        <f>BasicInput!$D$13&amp;$DH$2&amp;B173&amp;"_"&amp;C173&amp;D173&amp;"_"&amp;BasicInput!$D$7&amp;BasicInput!$D$8&amp;"_"&amp;DG173&amp;".xuf"</f>
        <v>C:\PWWORKING\east01\d2591108\Ramps\__2019EX_PM_.xuf</v>
      </c>
    </row>
    <row r="174" spans="39:112" x14ac:dyDescent="0.2">
      <c r="AM174" s="18"/>
      <c r="AS174" s="18"/>
      <c r="AX174" s="17"/>
      <c r="BI174" s="18"/>
      <c r="BO174" s="18"/>
      <c r="BT174" s="18"/>
      <c r="CA174" s="18"/>
      <c r="CH174" s="18"/>
      <c r="DF174" s="31" t="str">
        <f t="shared" si="8"/>
        <v xml:space="preserve">  </v>
      </c>
      <c r="DG174" s="25" t="str">
        <f t="shared" si="9"/>
        <v/>
      </c>
      <c r="DH174" s="25" t="str">
        <f>BasicInput!$D$13&amp;$DH$2&amp;B174&amp;"_"&amp;C174&amp;D174&amp;"_"&amp;BasicInput!$D$7&amp;BasicInput!$D$8&amp;"_"&amp;DG174&amp;".xuf"</f>
        <v>C:\PWWORKING\east01\d2591108\Ramps\__2019EX_PM_.xuf</v>
      </c>
    </row>
    <row r="175" spans="39:112" x14ac:dyDescent="0.2">
      <c r="AM175" s="18"/>
      <c r="AS175" s="18"/>
      <c r="AX175" s="17"/>
      <c r="BI175" s="18"/>
      <c r="BO175" s="18"/>
      <c r="BT175" s="18"/>
      <c r="CA175" s="18"/>
      <c r="CH175" s="18"/>
      <c r="DF175" s="31" t="str">
        <f t="shared" si="8"/>
        <v xml:space="preserve">  </v>
      </c>
      <c r="DG175" s="25" t="str">
        <f t="shared" si="9"/>
        <v/>
      </c>
      <c r="DH175" s="25" t="str">
        <f>BasicInput!$D$13&amp;$DH$2&amp;B175&amp;"_"&amp;C175&amp;D175&amp;"_"&amp;BasicInput!$D$7&amp;BasicInput!$D$8&amp;"_"&amp;DG175&amp;".xuf"</f>
        <v>C:\PWWORKING\east01\d2591108\Ramps\__2019EX_PM_.xuf</v>
      </c>
    </row>
    <row r="176" spans="39:112" x14ac:dyDescent="0.2">
      <c r="AM176" s="18"/>
      <c r="AS176" s="18"/>
      <c r="AX176" s="17"/>
      <c r="BI176" s="18"/>
      <c r="BO176" s="18"/>
      <c r="BT176" s="18"/>
      <c r="CA176" s="18"/>
      <c r="CH176" s="18"/>
      <c r="DF176" s="31" t="str">
        <f t="shared" si="8"/>
        <v xml:space="preserve">  </v>
      </c>
      <c r="DG176" s="25" t="str">
        <f t="shared" si="9"/>
        <v/>
      </c>
      <c r="DH176" s="25" t="str">
        <f>BasicInput!$D$13&amp;$DH$2&amp;B176&amp;"_"&amp;C176&amp;D176&amp;"_"&amp;BasicInput!$D$7&amp;BasicInput!$D$8&amp;"_"&amp;DG176&amp;".xuf"</f>
        <v>C:\PWWORKING\east01\d2591108\Ramps\__2019EX_PM_.xuf</v>
      </c>
    </row>
    <row r="177" spans="39:112" x14ac:dyDescent="0.2">
      <c r="AM177" s="18"/>
      <c r="AS177" s="18"/>
      <c r="AX177" s="17"/>
      <c r="BI177" s="18"/>
      <c r="BO177" s="18"/>
      <c r="BT177" s="18"/>
      <c r="CA177" s="18"/>
      <c r="CH177" s="18"/>
      <c r="DF177" s="31" t="str">
        <f t="shared" si="8"/>
        <v xml:space="preserve">  </v>
      </c>
      <c r="DG177" s="25" t="str">
        <f t="shared" si="9"/>
        <v/>
      </c>
      <c r="DH177" s="25" t="str">
        <f>BasicInput!$D$13&amp;$DH$2&amp;B177&amp;"_"&amp;C177&amp;D177&amp;"_"&amp;BasicInput!$D$7&amp;BasicInput!$D$8&amp;"_"&amp;DG177&amp;".xuf"</f>
        <v>C:\PWWORKING\east01\d2591108\Ramps\__2019EX_PM_.xuf</v>
      </c>
    </row>
    <row r="178" spans="39:112" x14ac:dyDescent="0.2">
      <c r="AM178" s="18"/>
      <c r="AS178" s="18"/>
      <c r="AX178" s="17"/>
      <c r="BI178" s="18"/>
      <c r="BO178" s="18"/>
      <c r="BT178" s="18"/>
      <c r="CA178" s="18"/>
      <c r="CH178" s="18"/>
      <c r="DF178" s="31" t="str">
        <f t="shared" si="8"/>
        <v xml:space="preserve">  </v>
      </c>
      <c r="DG178" s="25" t="str">
        <f t="shared" si="9"/>
        <v/>
      </c>
      <c r="DH178" s="25" t="str">
        <f>BasicInput!$D$13&amp;$DH$2&amp;B178&amp;"_"&amp;C178&amp;D178&amp;"_"&amp;BasicInput!$D$7&amp;BasicInput!$D$8&amp;"_"&amp;DG178&amp;".xuf"</f>
        <v>C:\PWWORKING\east01\d2591108\Ramps\__2019EX_PM_.xuf</v>
      </c>
    </row>
    <row r="179" spans="39:112" x14ac:dyDescent="0.2">
      <c r="AM179" s="18"/>
      <c r="AS179" s="18"/>
      <c r="AX179" s="17"/>
      <c r="BI179" s="18"/>
      <c r="BO179" s="18"/>
      <c r="BT179" s="18"/>
      <c r="CA179" s="18"/>
      <c r="CH179" s="18"/>
      <c r="DF179" s="31" t="str">
        <f t="shared" si="8"/>
        <v xml:space="preserve">  </v>
      </c>
      <c r="DG179" s="25" t="str">
        <f t="shared" si="9"/>
        <v/>
      </c>
      <c r="DH179" s="25" t="str">
        <f>BasicInput!$D$13&amp;$DH$2&amp;B179&amp;"_"&amp;C179&amp;D179&amp;"_"&amp;BasicInput!$D$7&amp;BasicInput!$D$8&amp;"_"&amp;DG179&amp;".xuf"</f>
        <v>C:\PWWORKING\east01\d2591108\Ramps\__2019EX_PM_.xuf</v>
      </c>
    </row>
    <row r="180" spans="39:112" x14ac:dyDescent="0.2">
      <c r="AM180" s="18"/>
      <c r="AS180" s="18"/>
      <c r="AX180" s="17"/>
      <c r="BI180" s="18"/>
      <c r="BO180" s="18"/>
      <c r="BT180" s="18"/>
      <c r="CA180" s="18"/>
      <c r="CH180" s="18"/>
      <c r="DF180" s="31" t="str">
        <f t="shared" si="8"/>
        <v xml:space="preserve">  </v>
      </c>
      <c r="DG180" s="25" t="str">
        <f t="shared" si="9"/>
        <v/>
      </c>
      <c r="DH180" s="25" t="str">
        <f>BasicInput!$D$13&amp;$DH$2&amp;B180&amp;"_"&amp;C180&amp;D180&amp;"_"&amp;BasicInput!$D$7&amp;BasicInput!$D$8&amp;"_"&amp;DG180&amp;".xuf"</f>
        <v>C:\PWWORKING\east01\d2591108\Ramps\__2019EX_PM_.xuf</v>
      </c>
    </row>
    <row r="181" spans="39:112" x14ac:dyDescent="0.2">
      <c r="AM181" s="18"/>
      <c r="AS181" s="18"/>
      <c r="AX181" s="17"/>
      <c r="BI181" s="18"/>
      <c r="BO181" s="18"/>
      <c r="BT181" s="18"/>
      <c r="CA181" s="18"/>
      <c r="CH181" s="18"/>
      <c r="DF181" s="31" t="str">
        <f t="shared" si="8"/>
        <v xml:space="preserve">  </v>
      </c>
      <c r="DG181" s="25" t="str">
        <f t="shared" si="9"/>
        <v/>
      </c>
      <c r="DH181" s="25" t="str">
        <f>BasicInput!$D$13&amp;$DH$2&amp;B181&amp;"_"&amp;C181&amp;D181&amp;"_"&amp;BasicInput!$D$7&amp;BasicInput!$D$8&amp;"_"&amp;DG181&amp;".xuf"</f>
        <v>C:\PWWORKING\east01\d2591108\Ramps\__2019EX_PM_.xuf</v>
      </c>
    </row>
    <row r="182" spans="39:112" x14ac:dyDescent="0.2">
      <c r="AM182" s="18"/>
      <c r="AS182" s="18"/>
      <c r="AX182" s="17"/>
      <c r="BI182" s="18"/>
      <c r="BO182" s="18"/>
      <c r="BT182" s="18"/>
      <c r="CA182" s="18"/>
      <c r="CH182" s="18"/>
      <c r="DF182" s="31" t="str">
        <f t="shared" si="8"/>
        <v xml:space="preserve">  </v>
      </c>
      <c r="DG182" s="25" t="str">
        <f t="shared" si="9"/>
        <v/>
      </c>
      <c r="DH182" s="25" t="str">
        <f>BasicInput!$D$13&amp;$DH$2&amp;B182&amp;"_"&amp;C182&amp;D182&amp;"_"&amp;BasicInput!$D$7&amp;BasicInput!$D$8&amp;"_"&amp;DG182&amp;".xuf"</f>
        <v>C:\PWWORKING\east01\d2591108\Ramps\__2019EX_PM_.xuf</v>
      </c>
    </row>
    <row r="183" spans="39:112" x14ac:dyDescent="0.2">
      <c r="AM183" s="18"/>
      <c r="AS183" s="18"/>
      <c r="AX183" s="17"/>
      <c r="BI183" s="18"/>
      <c r="BO183" s="18"/>
      <c r="BT183" s="18"/>
      <c r="CA183" s="18"/>
      <c r="CH183" s="18"/>
      <c r="DF183" s="31" t="str">
        <f t="shared" si="8"/>
        <v xml:space="preserve">  </v>
      </c>
      <c r="DG183" s="25" t="str">
        <f t="shared" si="9"/>
        <v/>
      </c>
      <c r="DH183" s="25" t="str">
        <f>BasicInput!$D$13&amp;$DH$2&amp;B183&amp;"_"&amp;C183&amp;D183&amp;"_"&amp;BasicInput!$D$7&amp;BasicInput!$D$8&amp;"_"&amp;DG183&amp;".xuf"</f>
        <v>C:\PWWORKING\east01\d2591108\Ramps\__2019EX_PM_.xuf</v>
      </c>
    </row>
    <row r="184" spans="39:112" x14ac:dyDescent="0.2">
      <c r="AM184" s="18"/>
      <c r="AS184" s="18"/>
      <c r="AX184" s="17"/>
      <c r="BI184" s="18"/>
      <c r="BO184" s="18"/>
      <c r="BT184" s="18"/>
      <c r="CA184" s="18"/>
      <c r="CH184" s="18"/>
      <c r="DF184" s="31" t="str">
        <f t="shared" si="8"/>
        <v xml:space="preserve">  </v>
      </c>
      <c r="DG184" s="25" t="str">
        <f t="shared" si="9"/>
        <v/>
      </c>
      <c r="DH184" s="25" t="str">
        <f>BasicInput!$D$13&amp;$DH$2&amp;B184&amp;"_"&amp;C184&amp;D184&amp;"_"&amp;BasicInput!$D$7&amp;BasicInput!$D$8&amp;"_"&amp;DG184&amp;".xuf"</f>
        <v>C:\PWWORKING\east01\d2591108\Ramps\__2019EX_PM_.xuf</v>
      </c>
    </row>
    <row r="185" spans="39:112" x14ac:dyDescent="0.2">
      <c r="AM185" s="18"/>
      <c r="AS185" s="18"/>
      <c r="AX185" s="17"/>
      <c r="BI185" s="18"/>
      <c r="BO185" s="18"/>
      <c r="BT185" s="18"/>
      <c r="CA185" s="18"/>
      <c r="CH185" s="18"/>
      <c r="DF185" s="31" t="str">
        <f t="shared" si="8"/>
        <v xml:space="preserve">  </v>
      </c>
      <c r="DG185" s="25" t="str">
        <f t="shared" si="9"/>
        <v/>
      </c>
      <c r="DH185" s="25" t="str">
        <f>BasicInput!$D$13&amp;$DH$2&amp;B185&amp;"_"&amp;C185&amp;D185&amp;"_"&amp;BasicInput!$D$7&amp;BasicInput!$D$8&amp;"_"&amp;DG185&amp;".xuf"</f>
        <v>C:\PWWORKING\east01\d2591108\Ramps\__2019EX_PM_.xuf</v>
      </c>
    </row>
    <row r="186" spans="39:112" x14ac:dyDescent="0.2">
      <c r="AM186" s="18"/>
      <c r="AS186" s="18"/>
      <c r="AX186" s="17"/>
      <c r="BI186" s="18"/>
      <c r="BO186" s="18"/>
      <c r="BT186" s="18"/>
      <c r="CA186" s="18"/>
      <c r="CH186" s="18"/>
      <c r="DF186" s="31" t="str">
        <f t="shared" si="8"/>
        <v xml:space="preserve">  </v>
      </c>
      <c r="DG186" s="25" t="str">
        <f t="shared" si="9"/>
        <v/>
      </c>
      <c r="DH186" s="25" t="str">
        <f>BasicInput!$D$13&amp;$DH$2&amp;B186&amp;"_"&amp;C186&amp;D186&amp;"_"&amp;BasicInput!$D$7&amp;BasicInput!$D$8&amp;"_"&amp;DG186&amp;".xuf"</f>
        <v>C:\PWWORKING\east01\d2591108\Ramps\__2019EX_PM_.xuf</v>
      </c>
    </row>
    <row r="187" spans="39:112" x14ac:dyDescent="0.2">
      <c r="AM187" s="18"/>
      <c r="AS187" s="18"/>
      <c r="AX187" s="17"/>
      <c r="BI187" s="18"/>
      <c r="BO187" s="18"/>
      <c r="BT187" s="18"/>
      <c r="CA187" s="18"/>
      <c r="CH187" s="18"/>
      <c r="DF187" s="31" t="str">
        <f t="shared" si="8"/>
        <v xml:space="preserve">  </v>
      </c>
      <c r="DG187" s="25" t="str">
        <f t="shared" si="9"/>
        <v/>
      </c>
      <c r="DH187" s="25" t="str">
        <f>BasicInput!$D$13&amp;$DH$2&amp;B187&amp;"_"&amp;C187&amp;D187&amp;"_"&amp;BasicInput!$D$7&amp;BasicInput!$D$8&amp;"_"&amp;DG187&amp;".xuf"</f>
        <v>C:\PWWORKING\east01\d2591108\Ramps\__2019EX_PM_.xuf</v>
      </c>
    </row>
    <row r="188" spans="39:112" x14ac:dyDescent="0.2">
      <c r="AM188" s="18"/>
      <c r="AS188" s="18"/>
      <c r="AX188" s="17"/>
      <c r="BI188" s="18"/>
      <c r="BO188" s="18"/>
      <c r="BT188" s="18"/>
      <c r="CA188" s="18"/>
      <c r="CH188" s="18"/>
      <c r="DF188" s="31" t="str">
        <f t="shared" si="8"/>
        <v xml:space="preserve">  </v>
      </c>
      <c r="DG188" s="25" t="str">
        <f t="shared" si="9"/>
        <v/>
      </c>
      <c r="DH188" s="25" t="str">
        <f>BasicInput!$D$13&amp;$DH$2&amp;B188&amp;"_"&amp;C188&amp;D188&amp;"_"&amp;BasicInput!$D$7&amp;BasicInput!$D$8&amp;"_"&amp;DG188&amp;".xuf"</f>
        <v>C:\PWWORKING\east01\d2591108\Ramps\__2019EX_PM_.xuf</v>
      </c>
    </row>
    <row r="189" spans="39:112" x14ac:dyDescent="0.2">
      <c r="AM189" s="18"/>
      <c r="AS189" s="18"/>
      <c r="AX189" s="17"/>
      <c r="BI189" s="18"/>
      <c r="BO189" s="18"/>
      <c r="BT189" s="18"/>
      <c r="CA189" s="18"/>
      <c r="CH189" s="18"/>
      <c r="DF189" s="31" t="str">
        <f t="shared" si="8"/>
        <v xml:space="preserve">  </v>
      </c>
      <c r="DG189" s="25" t="str">
        <f t="shared" si="9"/>
        <v/>
      </c>
      <c r="DH189" s="25" t="str">
        <f>BasicInput!$D$13&amp;$DH$2&amp;B189&amp;"_"&amp;C189&amp;D189&amp;"_"&amp;BasicInput!$D$7&amp;BasicInput!$D$8&amp;"_"&amp;DG189&amp;".xuf"</f>
        <v>C:\PWWORKING\east01\d2591108\Ramps\__2019EX_PM_.xuf</v>
      </c>
    </row>
    <row r="190" spans="39:112" x14ac:dyDescent="0.2">
      <c r="AM190" s="18"/>
      <c r="AS190" s="18"/>
      <c r="AX190" s="17"/>
      <c r="BI190" s="18"/>
      <c r="BO190" s="18"/>
      <c r="BT190" s="18"/>
      <c r="CA190" s="18"/>
      <c r="CH190" s="18"/>
      <c r="DF190" s="31" t="str">
        <f t="shared" si="8"/>
        <v xml:space="preserve">  </v>
      </c>
      <c r="DG190" s="25" t="str">
        <f t="shared" si="9"/>
        <v/>
      </c>
      <c r="DH190" s="25" t="str">
        <f>BasicInput!$D$13&amp;$DH$2&amp;B190&amp;"_"&amp;C190&amp;D190&amp;"_"&amp;BasicInput!$D$7&amp;BasicInput!$D$8&amp;"_"&amp;DG190&amp;".xuf"</f>
        <v>C:\PWWORKING\east01\d2591108\Ramps\__2019EX_PM_.xuf</v>
      </c>
    </row>
    <row r="191" spans="39:112" x14ac:dyDescent="0.2">
      <c r="AM191" s="18"/>
      <c r="AS191" s="18"/>
      <c r="AX191" s="17"/>
      <c r="BI191" s="18"/>
      <c r="BO191" s="18"/>
      <c r="BT191" s="18"/>
      <c r="CA191" s="18"/>
      <c r="CH191" s="18"/>
      <c r="DF191" s="31" t="str">
        <f t="shared" si="8"/>
        <v xml:space="preserve">  </v>
      </c>
      <c r="DG191" s="25" t="str">
        <f t="shared" si="9"/>
        <v/>
      </c>
      <c r="DH191" s="25" t="str">
        <f>BasicInput!$D$13&amp;$DH$2&amp;B191&amp;"_"&amp;C191&amp;D191&amp;"_"&amp;BasicInput!$D$7&amp;BasicInput!$D$8&amp;"_"&amp;DG191&amp;".xuf"</f>
        <v>C:\PWWORKING\east01\d2591108\Ramps\__2019EX_PM_.xuf</v>
      </c>
    </row>
    <row r="192" spans="39:112" x14ac:dyDescent="0.2">
      <c r="AM192" s="18"/>
      <c r="AS192" s="18"/>
      <c r="AX192" s="17"/>
      <c r="BI192" s="18"/>
      <c r="BO192" s="18"/>
      <c r="BT192" s="18"/>
      <c r="CA192" s="18"/>
      <c r="CH192" s="18"/>
      <c r="DF192" s="31" t="str">
        <f t="shared" si="8"/>
        <v xml:space="preserve">  </v>
      </c>
      <c r="DG192" s="25" t="str">
        <f t="shared" si="9"/>
        <v/>
      </c>
      <c r="DH192" s="25" t="str">
        <f>BasicInput!$D$13&amp;$DH$2&amp;B192&amp;"_"&amp;C192&amp;D192&amp;"_"&amp;BasicInput!$D$7&amp;BasicInput!$D$8&amp;"_"&amp;DG192&amp;".xuf"</f>
        <v>C:\PWWORKING\east01\d2591108\Ramps\__2019EX_PM_.xuf</v>
      </c>
    </row>
    <row r="193" spans="39:112" x14ac:dyDescent="0.2">
      <c r="AM193" s="18"/>
      <c r="AS193" s="18"/>
      <c r="AX193" s="17"/>
      <c r="BI193" s="18"/>
      <c r="BO193" s="18"/>
      <c r="BT193" s="18"/>
      <c r="CA193" s="18"/>
      <c r="CH193" s="18"/>
      <c r="DF193" s="31" t="str">
        <f t="shared" si="8"/>
        <v xml:space="preserve">  </v>
      </c>
      <c r="DG193" s="25" t="str">
        <f t="shared" si="9"/>
        <v/>
      </c>
      <c r="DH193" s="25" t="str">
        <f>BasicInput!$D$13&amp;$DH$2&amp;B193&amp;"_"&amp;C193&amp;D193&amp;"_"&amp;BasicInput!$D$7&amp;BasicInput!$D$8&amp;"_"&amp;DG193&amp;".xuf"</f>
        <v>C:\PWWORKING\east01\d2591108\Ramps\__2019EX_PM_.xuf</v>
      </c>
    </row>
    <row r="194" spans="39:112" x14ac:dyDescent="0.2">
      <c r="AM194" s="18"/>
      <c r="AS194" s="18"/>
      <c r="AX194" s="17"/>
      <c r="BI194" s="18"/>
      <c r="BO194" s="18"/>
      <c r="BT194" s="18"/>
      <c r="CA194" s="18"/>
      <c r="CH194" s="18"/>
      <c r="DF194" s="31" t="str">
        <f t="shared" si="8"/>
        <v xml:space="preserve">  </v>
      </c>
      <c r="DG194" s="25" t="str">
        <f t="shared" si="9"/>
        <v/>
      </c>
      <c r="DH194" s="25" t="str">
        <f>BasicInput!$D$13&amp;$DH$2&amp;B194&amp;"_"&amp;C194&amp;D194&amp;"_"&amp;BasicInput!$D$7&amp;BasicInput!$D$8&amp;"_"&amp;DG194&amp;".xuf"</f>
        <v>C:\PWWORKING\east01\d2591108\Ramps\__2019EX_PM_.xuf</v>
      </c>
    </row>
    <row r="195" spans="39:112" x14ac:dyDescent="0.2">
      <c r="AM195" s="18"/>
      <c r="AS195" s="18"/>
      <c r="AX195" s="17"/>
      <c r="BI195" s="18"/>
      <c r="BO195" s="18"/>
      <c r="BT195" s="18"/>
      <c r="CA195" s="18"/>
      <c r="CH195" s="18"/>
      <c r="DF195" s="31" t="str">
        <f t="shared" si="8"/>
        <v xml:space="preserve">  </v>
      </c>
      <c r="DG195" s="25" t="str">
        <f t="shared" si="9"/>
        <v/>
      </c>
      <c r="DH195" s="25" t="str">
        <f>BasicInput!$D$13&amp;$DH$2&amp;B195&amp;"_"&amp;C195&amp;D195&amp;"_"&amp;BasicInput!$D$7&amp;BasicInput!$D$8&amp;"_"&amp;DG195&amp;".xuf"</f>
        <v>C:\PWWORKING\east01\d2591108\Ramps\__2019EX_PM_.xuf</v>
      </c>
    </row>
    <row r="196" spans="39:112" x14ac:dyDescent="0.2">
      <c r="AM196" s="18"/>
      <c r="AS196" s="18"/>
      <c r="AX196" s="17"/>
      <c r="BI196" s="18"/>
      <c r="BO196" s="18"/>
      <c r="BT196" s="18"/>
      <c r="CA196" s="18"/>
      <c r="CH196" s="18"/>
      <c r="DF196" s="31" t="str">
        <f t="shared" si="8"/>
        <v xml:space="preserve">  </v>
      </c>
      <c r="DG196" s="25" t="str">
        <f t="shared" si="9"/>
        <v/>
      </c>
      <c r="DH196" s="25" t="str">
        <f>BasicInput!$D$13&amp;$DH$2&amp;B196&amp;"_"&amp;C196&amp;D196&amp;"_"&amp;BasicInput!$D$7&amp;BasicInput!$D$8&amp;"_"&amp;DG196&amp;".xuf"</f>
        <v>C:\PWWORKING\east01\d2591108\Ramps\__2019EX_PM_.xuf</v>
      </c>
    </row>
    <row r="197" spans="39:112" x14ac:dyDescent="0.2">
      <c r="AM197" s="18"/>
      <c r="AS197" s="18"/>
      <c r="AX197" s="17"/>
      <c r="BI197" s="18"/>
      <c r="BO197" s="18"/>
      <c r="BT197" s="18"/>
      <c r="CA197" s="18"/>
      <c r="CH197" s="18"/>
      <c r="DF197" s="31" t="str">
        <f t="shared" si="8"/>
        <v xml:space="preserve">  </v>
      </c>
      <c r="DG197" s="25" t="str">
        <f t="shared" si="9"/>
        <v/>
      </c>
      <c r="DH197" s="25" t="str">
        <f>BasicInput!$D$13&amp;$DH$2&amp;B197&amp;"_"&amp;C197&amp;D197&amp;"_"&amp;BasicInput!$D$7&amp;BasicInput!$D$8&amp;"_"&amp;DG197&amp;".xuf"</f>
        <v>C:\PWWORKING\east01\d2591108\Ramps\__2019EX_PM_.xuf</v>
      </c>
    </row>
    <row r="198" spans="39:112" x14ac:dyDescent="0.2">
      <c r="AM198" s="18"/>
      <c r="AS198" s="18"/>
      <c r="AX198" s="17"/>
      <c r="BI198" s="18"/>
      <c r="BO198" s="18"/>
      <c r="BT198" s="18"/>
      <c r="CA198" s="18"/>
      <c r="CH198" s="18"/>
      <c r="DF198" s="31" t="str">
        <f t="shared" si="8"/>
        <v xml:space="preserve">  </v>
      </c>
      <c r="DG198" s="25" t="str">
        <f t="shared" si="9"/>
        <v/>
      </c>
      <c r="DH198" s="25" t="str">
        <f>BasicInput!$D$13&amp;$DH$2&amp;B198&amp;"_"&amp;C198&amp;D198&amp;"_"&amp;BasicInput!$D$7&amp;BasicInput!$D$8&amp;"_"&amp;DG198&amp;".xuf"</f>
        <v>C:\PWWORKING\east01\d2591108\Ramps\__2019EX_PM_.xuf</v>
      </c>
    </row>
    <row r="199" spans="39:112" x14ac:dyDescent="0.2">
      <c r="AM199" s="18"/>
      <c r="AS199" s="18"/>
      <c r="AX199" s="17"/>
      <c r="BI199" s="18"/>
      <c r="BO199" s="18"/>
      <c r="BT199" s="18"/>
      <c r="CA199" s="18"/>
      <c r="CH199" s="18"/>
      <c r="DF199" s="31" t="str">
        <f t="shared" si="8"/>
        <v xml:space="preserve">  </v>
      </c>
      <c r="DG199" s="25" t="str">
        <f t="shared" si="9"/>
        <v/>
      </c>
      <c r="DH199" s="25" t="str">
        <f>BasicInput!$D$13&amp;$DH$2&amp;B199&amp;"_"&amp;C199&amp;D199&amp;"_"&amp;BasicInput!$D$7&amp;BasicInput!$D$8&amp;"_"&amp;DG199&amp;".xuf"</f>
        <v>C:\PWWORKING\east01\d2591108\Ramps\__2019EX_PM_.xuf</v>
      </c>
    </row>
    <row r="200" spans="39:112" x14ac:dyDescent="0.2">
      <c r="AM200" s="18"/>
      <c r="AS200" s="18"/>
      <c r="AX200" s="17"/>
      <c r="BI200" s="18"/>
      <c r="BO200" s="18"/>
      <c r="BT200" s="18"/>
      <c r="CA200" s="18"/>
      <c r="CH200" s="18"/>
      <c r="DF200" s="31" t="str">
        <f t="shared" si="8"/>
        <v xml:space="preserve">  </v>
      </c>
      <c r="DG200" s="25" t="str">
        <f t="shared" si="9"/>
        <v/>
      </c>
      <c r="DH200" s="25" t="str">
        <f>BasicInput!$D$13&amp;$DH$2&amp;B200&amp;"_"&amp;C200&amp;D200&amp;"_"&amp;BasicInput!$D$7&amp;BasicInput!$D$8&amp;"_"&amp;DG200&amp;".xuf"</f>
        <v>C:\PWWORKING\east01\d2591108\Ramps\__2019EX_PM_.xuf</v>
      </c>
    </row>
    <row r="201" spans="39:112" x14ac:dyDescent="0.2">
      <c r="AM201" s="18"/>
      <c r="AS201" s="18"/>
      <c r="AX201" s="17"/>
      <c r="BI201" s="18"/>
      <c r="BO201" s="18"/>
      <c r="BT201" s="18"/>
      <c r="CA201" s="18"/>
      <c r="CH201" s="18"/>
      <c r="DF201" s="31" t="str">
        <f t="shared" si="8"/>
        <v xml:space="preserve">  </v>
      </c>
      <c r="DG201" s="25" t="str">
        <f t="shared" si="9"/>
        <v/>
      </c>
      <c r="DH201" s="25" t="str">
        <f>BasicInput!$D$13&amp;$DH$2&amp;B201&amp;"_"&amp;C201&amp;D201&amp;"_"&amp;BasicInput!$D$7&amp;BasicInput!$D$8&amp;"_"&amp;DG201&amp;".xuf"</f>
        <v>C:\PWWORKING\east01\d2591108\Ramps\__2019EX_PM_.xuf</v>
      </c>
    </row>
    <row r="202" spans="39:112" x14ac:dyDescent="0.2">
      <c r="AM202" s="18"/>
      <c r="AS202" s="18"/>
      <c r="AX202" s="17"/>
      <c r="BI202" s="18"/>
      <c r="BO202" s="18"/>
      <c r="BT202" s="18"/>
      <c r="CA202" s="18"/>
      <c r="CH202" s="18"/>
      <c r="DF202" s="31" t="str">
        <f t="shared" si="8"/>
        <v xml:space="preserve">  </v>
      </c>
      <c r="DG202" s="25" t="str">
        <f t="shared" si="9"/>
        <v/>
      </c>
      <c r="DH202" s="25" t="str">
        <f>BasicInput!$D$13&amp;$DH$2&amp;B202&amp;"_"&amp;C202&amp;D202&amp;"_"&amp;BasicInput!$D$7&amp;BasicInput!$D$8&amp;"_"&amp;DG202&amp;".xuf"</f>
        <v>C:\PWWORKING\east01\d2591108\Ramps\__2019EX_PM_.xuf</v>
      </c>
    </row>
    <row r="203" spans="39:112" x14ac:dyDescent="0.2">
      <c r="AM203" s="18"/>
      <c r="AS203" s="18"/>
      <c r="AX203" s="17"/>
      <c r="BI203" s="18"/>
      <c r="BO203" s="18"/>
      <c r="BT203" s="18"/>
      <c r="CA203" s="18"/>
      <c r="CH203" s="18"/>
      <c r="DF203" s="31" t="str">
        <f t="shared" si="8"/>
        <v xml:space="preserve">  </v>
      </c>
      <c r="DG203" s="25" t="str">
        <f t="shared" si="9"/>
        <v/>
      </c>
      <c r="DH203" s="25" t="str">
        <f>BasicInput!$D$13&amp;$DH$2&amp;B203&amp;"_"&amp;C203&amp;D203&amp;"_"&amp;BasicInput!$D$7&amp;BasicInput!$D$8&amp;"_"&amp;DG203&amp;".xuf"</f>
        <v>C:\PWWORKING\east01\d2591108\Ramps\__2019EX_PM_.xuf</v>
      </c>
    </row>
    <row r="204" spans="39:112" x14ac:dyDescent="0.2">
      <c r="AM204" s="18"/>
      <c r="AS204" s="18"/>
      <c r="AX204" s="17"/>
      <c r="BI204" s="18"/>
      <c r="BO204" s="18"/>
      <c r="BT204" s="18"/>
      <c r="CA204" s="18"/>
      <c r="CH204" s="18"/>
      <c r="DF204" s="31" t="str">
        <f t="shared" si="8"/>
        <v xml:space="preserve">  </v>
      </c>
      <c r="DG204" s="25" t="str">
        <f t="shared" si="9"/>
        <v/>
      </c>
      <c r="DH204" s="25" t="str">
        <f>BasicInput!$D$13&amp;$DH$2&amp;B204&amp;"_"&amp;C204&amp;D204&amp;"_"&amp;BasicInput!$D$7&amp;BasicInput!$D$8&amp;"_"&amp;DG204&amp;".xuf"</f>
        <v>C:\PWWORKING\east01\d2591108\Ramps\__2019EX_PM_.xuf</v>
      </c>
    </row>
    <row r="205" spans="39:112" x14ac:dyDescent="0.2">
      <c r="AM205" s="18"/>
      <c r="AS205" s="18"/>
      <c r="AX205" s="17"/>
      <c r="BI205" s="18"/>
      <c r="BO205" s="18"/>
      <c r="BT205" s="18"/>
      <c r="CA205" s="18"/>
      <c r="CH205" s="18"/>
      <c r="DF205" s="31" t="str">
        <f t="shared" si="8"/>
        <v xml:space="preserve">  </v>
      </c>
      <c r="DG205" s="25" t="str">
        <f t="shared" si="9"/>
        <v/>
      </c>
      <c r="DH205" s="25" t="str">
        <f>BasicInput!$D$13&amp;$DH$2&amp;B205&amp;"_"&amp;C205&amp;D205&amp;"_"&amp;BasicInput!$D$7&amp;BasicInput!$D$8&amp;"_"&amp;DG205&amp;".xuf"</f>
        <v>C:\PWWORKING\east01\d2591108\Ramps\__2019EX_PM_.xuf</v>
      </c>
    </row>
    <row r="206" spans="39:112" x14ac:dyDescent="0.2">
      <c r="AM206" s="18"/>
      <c r="AS206" s="18"/>
      <c r="AX206" s="17"/>
      <c r="BI206" s="18"/>
      <c r="BO206" s="18"/>
      <c r="BT206" s="18"/>
      <c r="CA206" s="18"/>
      <c r="CH206" s="18"/>
      <c r="DF206" s="31" t="str">
        <f t="shared" si="8"/>
        <v xml:space="preserve">  </v>
      </c>
      <c r="DG206" s="25" t="str">
        <f t="shared" si="9"/>
        <v/>
      </c>
      <c r="DH206" s="25" t="str">
        <f>BasicInput!$D$13&amp;$DH$2&amp;B206&amp;"_"&amp;C206&amp;D206&amp;"_"&amp;BasicInput!$D$7&amp;BasicInput!$D$8&amp;"_"&amp;DG206&amp;".xuf"</f>
        <v>C:\PWWORKING\east01\d2591108\Ramps\__2019EX_PM_.xuf</v>
      </c>
    </row>
    <row r="207" spans="39:112" x14ac:dyDescent="0.2">
      <c r="AM207" s="18"/>
      <c r="AS207" s="18"/>
      <c r="AX207" s="17"/>
      <c r="BI207" s="18"/>
      <c r="BO207" s="18"/>
      <c r="BT207" s="18"/>
      <c r="CA207" s="18"/>
      <c r="CH207" s="18"/>
      <c r="DF207" s="31" t="str">
        <f t="shared" si="8"/>
        <v xml:space="preserve">  </v>
      </c>
      <c r="DG207" s="25" t="str">
        <f t="shared" si="9"/>
        <v/>
      </c>
      <c r="DH207" s="25" t="str">
        <f>BasicInput!$D$13&amp;$DH$2&amp;B207&amp;"_"&amp;C207&amp;D207&amp;"_"&amp;BasicInput!$D$7&amp;BasicInput!$D$8&amp;"_"&amp;DG207&amp;".xuf"</f>
        <v>C:\PWWORKING\east01\d2591108\Ramps\__2019EX_PM_.xuf</v>
      </c>
    </row>
    <row r="208" spans="39:112" x14ac:dyDescent="0.2">
      <c r="AM208" s="18"/>
      <c r="AS208" s="18"/>
      <c r="AX208" s="17"/>
      <c r="BI208" s="18"/>
      <c r="BO208" s="18"/>
      <c r="BT208" s="18"/>
      <c r="CA208" s="18"/>
      <c r="CH208" s="18"/>
      <c r="DF208" s="31" t="str">
        <f t="shared" si="8"/>
        <v xml:space="preserve">  </v>
      </c>
      <c r="DG208" s="25" t="str">
        <f t="shared" si="9"/>
        <v/>
      </c>
      <c r="DH208" s="25" t="str">
        <f>BasicInput!$D$13&amp;$DH$2&amp;B208&amp;"_"&amp;C208&amp;D208&amp;"_"&amp;BasicInput!$D$7&amp;BasicInput!$D$8&amp;"_"&amp;DG208&amp;".xuf"</f>
        <v>C:\PWWORKING\east01\d2591108\Ramps\__2019EX_PM_.xuf</v>
      </c>
    </row>
    <row r="209" spans="39:112" x14ac:dyDescent="0.2">
      <c r="AM209" s="18"/>
      <c r="AS209" s="18"/>
      <c r="AX209" s="17"/>
      <c r="BI209" s="18"/>
      <c r="BO209" s="18"/>
      <c r="BT209" s="18"/>
      <c r="CA209" s="18"/>
      <c r="CH209" s="18"/>
      <c r="DF209" s="31" t="str">
        <f t="shared" ref="DF209:DF272" si="10">C209&amp; " "&amp;D209&amp;" " &amp;E209</f>
        <v xml:space="preserve">  </v>
      </c>
      <c r="DG209" s="25" t="str">
        <f t="shared" ref="DG209:DG272" si="11">SUBSTITUTE(E209, "/", "_")</f>
        <v/>
      </c>
      <c r="DH209" s="25" t="str">
        <f>BasicInput!$D$13&amp;$DH$2&amp;B209&amp;"_"&amp;C209&amp;D209&amp;"_"&amp;BasicInput!$D$7&amp;BasicInput!$D$8&amp;"_"&amp;DG209&amp;".xuf"</f>
        <v>C:\PWWORKING\east01\d2591108\Ramps\__2019EX_PM_.xuf</v>
      </c>
    </row>
    <row r="210" spans="39:112" x14ac:dyDescent="0.2">
      <c r="AM210" s="18"/>
      <c r="AS210" s="18"/>
      <c r="AX210" s="17"/>
      <c r="BI210" s="18"/>
      <c r="BO210" s="18"/>
      <c r="BT210" s="18"/>
      <c r="CA210" s="18"/>
      <c r="CH210" s="18"/>
      <c r="DF210" s="31" t="str">
        <f t="shared" si="10"/>
        <v xml:space="preserve">  </v>
      </c>
      <c r="DG210" s="25" t="str">
        <f t="shared" si="11"/>
        <v/>
      </c>
      <c r="DH210" s="25" t="str">
        <f>BasicInput!$D$13&amp;$DH$2&amp;B210&amp;"_"&amp;C210&amp;D210&amp;"_"&amp;BasicInput!$D$7&amp;BasicInput!$D$8&amp;"_"&amp;DG210&amp;".xuf"</f>
        <v>C:\PWWORKING\east01\d2591108\Ramps\__2019EX_PM_.xuf</v>
      </c>
    </row>
    <row r="211" spans="39:112" x14ac:dyDescent="0.2">
      <c r="AM211" s="18"/>
      <c r="AS211" s="18"/>
      <c r="AX211" s="17"/>
      <c r="BI211" s="18"/>
      <c r="BO211" s="18"/>
      <c r="BT211" s="18"/>
      <c r="CA211" s="18"/>
      <c r="CH211" s="18"/>
      <c r="DF211" s="31" t="str">
        <f t="shared" si="10"/>
        <v xml:space="preserve">  </v>
      </c>
      <c r="DG211" s="25" t="str">
        <f t="shared" si="11"/>
        <v/>
      </c>
      <c r="DH211" s="25" t="str">
        <f>BasicInput!$D$13&amp;$DH$2&amp;B211&amp;"_"&amp;C211&amp;D211&amp;"_"&amp;BasicInput!$D$7&amp;BasicInput!$D$8&amp;"_"&amp;DG211&amp;".xuf"</f>
        <v>C:\PWWORKING\east01\d2591108\Ramps\__2019EX_PM_.xuf</v>
      </c>
    </row>
    <row r="212" spans="39:112" x14ac:dyDescent="0.2">
      <c r="AM212" s="18"/>
      <c r="AS212" s="18"/>
      <c r="AX212" s="17"/>
      <c r="BI212" s="18"/>
      <c r="BO212" s="18"/>
      <c r="BT212" s="18"/>
      <c r="CA212" s="18"/>
      <c r="CH212" s="18"/>
      <c r="DF212" s="31" t="str">
        <f t="shared" si="10"/>
        <v xml:space="preserve">  </v>
      </c>
      <c r="DG212" s="25" t="str">
        <f t="shared" si="11"/>
        <v/>
      </c>
      <c r="DH212" s="25" t="str">
        <f>BasicInput!$D$13&amp;$DH$2&amp;B212&amp;"_"&amp;C212&amp;D212&amp;"_"&amp;BasicInput!$D$7&amp;BasicInput!$D$8&amp;"_"&amp;DG212&amp;".xuf"</f>
        <v>C:\PWWORKING\east01\d2591108\Ramps\__2019EX_PM_.xuf</v>
      </c>
    </row>
    <row r="213" spans="39:112" x14ac:dyDescent="0.2">
      <c r="AM213" s="18"/>
      <c r="AS213" s="18"/>
      <c r="AX213" s="17"/>
      <c r="BI213" s="18"/>
      <c r="BO213" s="18"/>
      <c r="BT213" s="18"/>
      <c r="CA213" s="18"/>
      <c r="CH213" s="18"/>
      <c r="DF213" s="31" t="str">
        <f t="shared" si="10"/>
        <v xml:space="preserve">  </v>
      </c>
      <c r="DG213" s="25" t="str">
        <f t="shared" si="11"/>
        <v/>
      </c>
      <c r="DH213" s="25" t="str">
        <f>BasicInput!$D$13&amp;$DH$2&amp;B213&amp;"_"&amp;C213&amp;D213&amp;"_"&amp;BasicInput!$D$7&amp;BasicInput!$D$8&amp;"_"&amp;DG213&amp;".xuf"</f>
        <v>C:\PWWORKING\east01\d2591108\Ramps\__2019EX_PM_.xuf</v>
      </c>
    </row>
    <row r="214" spans="39:112" x14ac:dyDescent="0.2">
      <c r="AM214" s="18"/>
      <c r="AS214" s="18"/>
      <c r="AX214" s="17"/>
      <c r="BI214" s="18"/>
      <c r="BO214" s="18"/>
      <c r="BT214" s="18"/>
      <c r="CA214" s="18"/>
      <c r="CH214" s="18"/>
      <c r="DF214" s="31" t="str">
        <f t="shared" si="10"/>
        <v xml:space="preserve">  </v>
      </c>
      <c r="DG214" s="25" t="str">
        <f t="shared" si="11"/>
        <v/>
      </c>
      <c r="DH214" s="25" t="str">
        <f>BasicInput!$D$13&amp;$DH$2&amp;B214&amp;"_"&amp;C214&amp;D214&amp;"_"&amp;BasicInput!$D$7&amp;BasicInput!$D$8&amp;"_"&amp;DG214&amp;".xuf"</f>
        <v>C:\PWWORKING\east01\d2591108\Ramps\__2019EX_PM_.xuf</v>
      </c>
    </row>
    <row r="215" spans="39:112" x14ac:dyDescent="0.2">
      <c r="AM215" s="18"/>
      <c r="AS215" s="18"/>
      <c r="AX215" s="17"/>
      <c r="BI215" s="18"/>
      <c r="BO215" s="18"/>
      <c r="BT215" s="18"/>
      <c r="CA215" s="18"/>
      <c r="CH215" s="18"/>
      <c r="DF215" s="31" t="str">
        <f t="shared" si="10"/>
        <v xml:space="preserve">  </v>
      </c>
      <c r="DG215" s="25" t="str">
        <f t="shared" si="11"/>
        <v/>
      </c>
      <c r="DH215" s="25" t="str">
        <f>BasicInput!$D$13&amp;$DH$2&amp;B215&amp;"_"&amp;C215&amp;D215&amp;"_"&amp;BasicInput!$D$7&amp;BasicInput!$D$8&amp;"_"&amp;DG215&amp;".xuf"</f>
        <v>C:\PWWORKING\east01\d2591108\Ramps\__2019EX_PM_.xuf</v>
      </c>
    </row>
    <row r="216" spans="39:112" x14ac:dyDescent="0.2">
      <c r="AM216" s="18"/>
      <c r="AS216" s="18"/>
      <c r="AX216" s="17"/>
      <c r="BI216" s="18"/>
      <c r="BO216" s="18"/>
      <c r="BT216" s="18"/>
      <c r="CA216" s="18"/>
      <c r="CH216" s="18"/>
      <c r="DF216" s="31" t="str">
        <f t="shared" si="10"/>
        <v xml:space="preserve">  </v>
      </c>
      <c r="DG216" s="25" t="str">
        <f t="shared" si="11"/>
        <v/>
      </c>
      <c r="DH216" s="25" t="str">
        <f>BasicInput!$D$13&amp;$DH$2&amp;B216&amp;"_"&amp;C216&amp;D216&amp;"_"&amp;BasicInput!$D$7&amp;BasicInput!$D$8&amp;"_"&amp;DG216&amp;".xuf"</f>
        <v>C:\PWWORKING\east01\d2591108\Ramps\__2019EX_PM_.xuf</v>
      </c>
    </row>
    <row r="217" spans="39:112" x14ac:dyDescent="0.2">
      <c r="AM217" s="18"/>
      <c r="AS217" s="18"/>
      <c r="AX217" s="17"/>
      <c r="BI217" s="18"/>
      <c r="BO217" s="18"/>
      <c r="BT217" s="18"/>
      <c r="CA217" s="18"/>
      <c r="CH217" s="18"/>
      <c r="DF217" s="31" t="str">
        <f t="shared" si="10"/>
        <v xml:space="preserve">  </v>
      </c>
      <c r="DG217" s="25" t="str">
        <f t="shared" si="11"/>
        <v/>
      </c>
      <c r="DH217" s="25" t="str">
        <f>BasicInput!$D$13&amp;$DH$2&amp;B217&amp;"_"&amp;C217&amp;D217&amp;"_"&amp;BasicInput!$D$7&amp;BasicInput!$D$8&amp;"_"&amp;DG217&amp;".xuf"</f>
        <v>C:\PWWORKING\east01\d2591108\Ramps\__2019EX_PM_.xuf</v>
      </c>
    </row>
    <row r="218" spans="39:112" x14ac:dyDescent="0.2">
      <c r="AM218" s="18"/>
      <c r="AS218" s="18"/>
      <c r="AX218" s="17"/>
      <c r="BI218" s="18"/>
      <c r="BO218" s="18"/>
      <c r="BT218" s="18"/>
      <c r="CA218" s="18"/>
      <c r="CH218" s="18"/>
      <c r="DF218" s="31" t="str">
        <f t="shared" si="10"/>
        <v xml:space="preserve">  </v>
      </c>
      <c r="DG218" s="25" t="str">
        <f t="shared" si="11"/>
        <v/>
      </c>
      <c r="DH218" s="25" t="str">
        <f>BasicInput!$D$13&amp;$DH$2&amp;B218&amp;"_"&amp;C218&amp;D218&amp;"_"&amp;BasicInput!$D$7&amp;BasicInput!$D$8&amp;"_"&amp;DG218&amp;".xuf"</f>
        <v>C:\PWWORKING\east01\d2591108\Ramps\__2019EX_PM_.xuf</v>
      </c>
    </row>
    <row r="219" spans="39:112" x14ac:dyDescent="0.2">
      <c r="AM219" s="18"/>
      <c r="AS219" s="18"/>
      <c r="AX219" s="17"/>
      <c r="BI219" s="18"/>
      <c r="BO219" s="18"/>
      <c r="BT219" s="18"/>
      <c r="CA219" s="18"/>
      <c r="CH219" s="18"/>
      <c r="DF219" s="31" t="str">
        <f t="shared" si="10"/>
        <v xml:space="preserve">  </v>
      </c>
      <c r="DG219" s="25" t="str">
        <f t="shared" si="11"/>
        <v/>
      </c>
      <c r="DH219" s="25" t="str">
        <f>BasicInput!$D$13&amp;$DH$2&amp;B219&amp;"_"&amp;C219&amp;D219&amp;"_"&amp;BasicInput!$D$7&amp;BasicInput!$D$8&amp;"_"&amp;DG219&amp;".xuf"</f>
        <v>C:\PWWORKING\east01\d2591108\Ramps\__2019EX_PM_.xuf</v>
      </c>
    </row>
    <row r="220" spans="39:112" x14ac:dyDescent="0.2">
      <c r="AM220" s="18"/>
      <c r="AS220" s="18"/>
      <c r="AX220" s="17"/>
      <c r="BI220" s="18"/>
      <c r="BO220" s="18"/>
      <c r="BT220" s="18"/>
      <c r="CA220" s="18"/>
      <c r="CH220" s="18"/>
      <c r="DF220" s="31" t="str">
        <f t="shared" si="10"/>
        <v xml:space="preserve">  </v>
      </c>
      <c r="DG220" s="25" t="str">
        <f t="shared" si="11"/>
        <v/>
      </c>
      <c r="DH220" s="25" t="str">
        <f>BasicInput!$D$13&amp;$DH$2&amp;B220&amp;"_"&amp;C220&amp;D220&amp;"_"&amp;BasicInput!$D$7&amp;BasicInput!$D$8&amp;"_"&amp;DG220&amp;".xuf"</f>
        <v>C:\PWWORKING\east01\d2591108\Ramps\__2019EX_PM_.xuf</v>
      </c>
    </row>
    <row r="221" spans="39:112" x14ac:dyDescent="0.2">
      <c r="AM221" s="18"/>
      <c r="AS221" s="18"/>
      <c r="AX221" s="17"/>
      <c r="BI221" s="18"/>
      <c r="BO221" s="18"/>
      <c r="BT221" s="18"/>
      <c r="CA221" s="18"/>
      <c r="CH221" s="18"/>
      <c r="DF221" s="31" t="str">
        <f t="shared" si="10"/>
        <v xml:space="preserve">  </v>
      </c>
      <c r="DG221" s="25" t="str">
        <f t="shared" si="11"/>
        <v/>
      </c>
      <c r="DH221" s="25" t="str">
        <f>BasicInput!$D$13&amp;$DH$2&amp;B221&amp;"_"&amp;C221&amp;D221&amp;"_"&amp;BasicInput!$D$7&amp;BasicInput!$D$8&amp;"_"&amp;DG221&amp;".xuf"</f>
        <v>C:\PWWORKING\east01\d2591108\Ramps\__2019EX_PM_.xuf</v>
      </c>
    </row>
    <row r="222" spans="39:112" x14ac:dyDescent="0.2">
      <c r="AM222" s="18"/>
      <c r="AS222" s="18"/>
      <c r="AX222" s="17"/>
      <c r="BI222" s="18"/>
      <c r="BO222" s="18"/>
      <c r="BT222" s="18"/>
      <c r="CA222" s="18"/>
      <c r="CH222" s="18"/>
      <c r="DF222" s="31" t="str">
        <f t="shared" si="10"/>
        <v xml:space="preserve">  </v>
      </c>
      <c r="DG222" s="25" t="str">
        <f t="shared" si="11"/>
        <v/>
      </c>
      <c r="DH222" s="25" t="str">
        <f>BasicInput!$D$13&amp;$DH$2&amp;B222&amp;"_"&amp;C222&amp;D222&amp;"_"&amp;BasicInput!$D$7&amp;BasicInput!$D$8&amp;"_"&amp;DG222&amp;".xuf"</f>
        <v>C:\PWWORKING\east01\d2591108\Ramps\__2019EX_PM_.xuf</v>
      </c>
    </row>
    <row r="223" spans="39:112" x14ac:dyDescent="0.2">
      <c r="AM223" s="18"/>
      <c r="AS223" s="18"/>
      <c r="AX223" s="17"/>
      <c r="BI223" s="18"/>
      <c r="BO223" s="18"/>
      <c r="BT223" s="18"/>
      <c r="CA223" s="18"/>
      <c r="CH223" s="18"/>
      <c r="DF223" s="31" t="str">
        <f t="shared" si="10"/>
        <v xml:space="preserve">  </v>
      </c>
      <c r="DG223" s="25" t="str">
        <f t="shared" si="11"/>
        <v/>
      </c>
      <c r="DH223" s="25" t="str">
        <f>BasicInput!$D$13&amp;$DH$2&amp;B223&amp;"_"&amp;C223&amp;D223&amp;"_"&amp;BasicInput!$D$7&amp;BasicInput!$D$8&amp;"_"&amp;DG223&amp;".xuf"</f>
        <v>C:\PWWORKING\east01\d2591108\Ramps\__2019EX_PM_.xuf</v>
      </c>
    </row>
    <row r="224" spans="39:112" x14ac:dyDescent="0.2">
      <c r="AM224" s="18"/>
      <c r="AS224" s="18"/>
      <c r="AX224" s="17"/>
      <c r="BI224" s="18"/>
      <c r="BO224" s="18"/>
      <c r="BT224" s="18"/>
      <c r="CA224" s="18"/>
      <c r="CH224" s="18"/>
      <c r="DF224" s="31" t="str">
        <f t="shared" si="10"/>
        <v xml:space="preserve">  </v>
      </c>
      <c r="DG224" s="25" t="str">
        <f t="shared" si="11"/>
        <v/>
      </c>
      <c r="DH224" s="25" t="str">
        <f>BasicInput!$D$13&amp;$DH$2&amp;B224&amp;"_"&amp;C224&amp;D224&amp;"_"&amp;BasicInput!$D$7&amp;BasicInput!$D$8&amp;"_"&amp;DG224&amp;".xuf"</f>
        <v>C:\PWWORKING\east01\d2591108\Ramps\__2019EX_PM_.xuf</v>
      </c>
    </row>
    <row r="225" spans="39:112" x14ac:dyDescent="0.2">
      <c r="AM225" s="18"/>
      <c r="AS225" s="18"/>
      <c r="AX225" s="17"/>
      <c r="BI225" s="18"/>
      <c r="BO225" s="18"/>
      <c r="BT225" s="18"/>
      <c r="CA225" s="18"/>
      <c r="CH225" s="18"/>
      <c r="DF225" s="31" t="str">
        <f t="shared" si="10"/>
        <v xml:space="preserve">  </v>
      </c>
      <c r="DG225" s="25" t="str">
        <f t="shared" si="11"/>
        <v/>
      </c>
      <c r="DH225" s="25" t="str">
        <f>BasicInput!$D$13&amp;$DH$2&amp;B225&amp;"_"&amp;C225&amp;D225&amp;"_"&amp;BasicInput!$D$7&amp;BasicInput!$D$8&amp;"_"&amp;DG225&amp;".xuf"</f>
        <v>C:\PWWORKING\east01\d2591108\Ramps\__2019EX_PM_.xuf</v>
      </c>
    </row>
    <row r="226" spans="39:112" x14ac:dyDescent="0.2">
      <c r="AM226" s="18"/>
      <c r="AS226" s="18"/>
      <c r="AX226" s="17"/>
      <c r="BI226" s="18"/>
      <c r="BO226" s="18"/>
      <c r="BT226" s="18"/>
      <c r="CA226" s="18"/>
      <c r="CH226" s="18"/>
      <c r="DF226" s="31" t="str">
        <f t="shared" si="10"/>
        <v xml:space="preserve">  </v>
      </c>
      <c r="DG226" s="25" t="str">
        <f t="shared" si="11"/>
        <v/>
      </c>
      <c r="DH226" s="25" t="str">
        <f>BasicInput!$D$13&amp;$DH$2&amp;B226&amp;"_"&amp;C226&amp;D226&amp;"_"&amp;BasicInput!$D$7&amp;BasicInput!$D$8&amp;"_"&amp;DG226&amp;".xuf"</f>
        <v>C:\PWWORKING\east01\d2591108\Ramps\__2019EX_PM_.xuf</v>
      </c>
    </row>
    <row r="227" spans="39:112" x14ac:dyDescent="0.2">
      <c r="AM227" s="18"/>
      <c r="AS227" s="18"/>
      <c r="AX227" s="17"/>
      <c r="BI227" s="18"/>
      <c r="BO227" s="18"/>
      <c r="BT227" s="18"/>
      <c r="CA227" s="18"/>
      <c r="CH227" s="18"/>
      <c r="DF227" s="31" t="str">
        <f t="shared" si="10"/>
        <v xml:space="preserve">  </v>
      </c>
      <c r="DG227" s="25" t="str">
        <f t="shared" si="11"/>
        <v/>
      </c>
      <c r="DH227" s="25" t="str">
        <f>BasicInput!$D$13&amp;$DH$2&amp;B227&amp;"_"&amp;C227&amp;D227&amp;"_"&amp;BasicInput!$D$7&amp;BasicInput!$D$8&amp;"_"&amp;DG227&amp;".xuf"</f>
        <v>C:\PWWORKING\east01\d2591108\Ramps\__2019EX_PM_.xuf</v>
      </c>
    </row>
    <row r="228" spans="39:112" x14ac:dyDescent="0.2">
      <c r="AM228" s="18"/>
      <c r="AS228" s="18"/>
      <c r="AX228" s="17"/>
      <c r="BI228" s="18"/>
      <c r="BO228" s="18"/>
      <c r="BT228" s="18"/>
      <c r="CA228" s="18"/>
      <c r="CH228" s="18"/>
      <c r="DF228" s="31" t="str">
        <f t="shared" si="10"/>
        <v xml:space="preserve">  </v>
      </c>
      <c r="DG228" s="25" t="str">
        <f t="shared" si="11"/>
        <v/>
      </c>
      <c r="DH228" s="25" t="str">
        <f>BasicInput!$D$13&amp;$DH$2&amp;B228&amp;"_"&amp;C228&amp;D228&amp;"_"&amp;BasicInput!$D$7&amp;BasicInput!$D$8&amp;"_"&amp;DG228&amp;".xuf"</f>
        <v>C:\PWWORKING\east01\d2591108\Ramps\__2019EX_PM_.xuf</v>
      </c>
    </row>
    <row r="229" spans="39:112" x14ac:dyDescent="0.2">
      <c r="AM229" s="18"/>
      <c r="AS229" s="18"/>
      <c r="AX229" s="17"/>
      <c r="BI229" s="18"/>
      <c r="BO229" s="18"/>
      <c r="BT229" s="18"/>
      <c r="CA229" s="18"/>
      <c r="CH229" s="18"/>
      <c r="DF229" s="31" t="str">
        <f t="shared" si="10"/>
        <v xml:space="preserve">  </v>
      </c>
      <c r="DG229" s="25" t="str">
        <f t="shared" si="11"/>
        <v/>
      </c>
      <c r="DH229" s="25" t="str">
        <f>BasicInput!$D$13&amp;$DH$2&amp;B229&amp;"_"&amp;C229&amp;D229&amp;"_"&amp;BasicInput!$D$7&amp;BasicInput!$D$8&amp;"_"&amp;DG229&amp;".xuf"</f>
        <v>C:\PWWORKING\east01\d2591108\Ramps\__2019EX_PM_.xuf</v>
      </c>
    </row>
    <row r="230" spans="39:112" x14ac:dyDescent="0.2">
      <c r="AM230" s="18"/>
      <c r="AS230" s="18"/>
      <c r="AX230" s="17"/>
      <c r="BI230" s="18"/>
      <c r="BO230" s="18"/>
      <c r="BT230" s="18"/>
      <c r="CA230" s="18"/>
      <c r="CH230" s="18"/>
      <c r="DF230" s="31" t="str">
        <f t="shared" si="10"/>
        <v xml:space="preserve">  </v>
      </c>
      <c r="DG230" s="25" t="str">
        <f t="shared" si="11"/>
        <v/>
      </c>
      <c r="DH230" s="25" t="str">
        <f>BasicInput!$D$13&amp;$DH$2&amp;B230&amp;"_"&amp;C230&amp;D230&amp;"_"&amp;BasicInput!$D$7&amp;BasicInput!$D$8&amp;"_"&amp;DG230&amp;".xuf"</f>
        <v>C:\PWWORKING\east01\d2591108\Ramps\__2019EX_PM_.xuf</v>
      </c>
    </row>
    <row r="231" spans="39:112" x14ac:dyDescent="0.2">
      <c r="AM231" s="18"/>
      <c r="AS231" s="18"/>
      <c r="AX231" s="17"/>
      <c r="BI231" s="18"/>
      <c r="BO231" s="18"/>
      <c r="BT231" s="18"/>
      <c r="CA231" s="18"/>
      <c r="CH231" s="18"/>
      <c r="DF231" s="31" t="str">
        <f t="shared" si="10"/>
        <v xml:space="preserve">  </v>
      </c>
      <c r="DG231" s="25" t="str">
        <f t="shared" si="11"/>
        <v/>
      </c>
      <c r="DH231" s="25" t="str">
        <f>BasicInput!$D$13&amp;$DH$2&amp;B231&amp;"_"&amp;C231&amp;D231&amp;"_"&amp;BasicInput!$D$7&amp;BasicInput!$D$8&amp;"_"&amp;DG231&amp;".xuf"</f>
        <v>C:\PWWORKING\east01\d2591108\Ramps\__2019EX_PM_.xuf</v>
      </c>
    </row>
    <row r="232" spans="39:112" x14ac:dyDescent="0.2">
      <c r="AM232" s="18"/>
      <c r="AS232" s="18"/>
      <c r="AX232" s="17"/>
      <c r="BI232" s="18"/>
      <c r="BO232" s="18"/>
      <c r="BT232" s="18"/>
      <c r="CA232" s="18"/>
      <c r="CH232" s="18"/>
      <c r="DF232" s="31" t="str">
        <f t="shared" si="10"/>
        <v xml:space="preserve">  </v>
      </c>
      <c r="DG232" s="25" t="str">
        <f t="shared" si="11"/>
        <v/>
      </c>
      <c r="DH232" s="25" t="str">
        <f>BasicInput!$D$13&amp;$DH$2&amp;B232&amp;"_"&amp;C232&amp;D232&amp;"_"&amp;BasicInput!$D$7&amp;BasicInput!$D$8&amp;"_"&amp;DG232&amp;".xuf"</f>
        <v>C:\PWWORKING\east01\d2591108\Ramps\__2019EX_PM_.xuf</v>
      </c>
    </row>
    <row r="233" spans="39:112" x14ac:dyDescent="0.2">
      <c r="AM233" s="18"/>
      <c r="AS233" s="18"/>
      <c r="AX233" s="17"/>
      <c r="BI233" s="18"/>
      <c r="BO233" s="18"/>
      <c r="BT233" s="18"/>
      <c r="CA233" s="18"/>
      <c r="CH233" s="18"/>
      <c r="DF233" s="31" t="str">
        <f t="shared" si="10"/>
        <v xml:space="preserve">  </v>
      </c>
      <c r="DG233" s="25" t="str">
        <f t="shared" si="11"/>
        <v/>
      </c>
      <c r="DH233" s="25" t="str">
        <f>BasicInput!$D$13&amp;$DH$2&amp;B233&amp;"_"&amp;C233&amp;D233&amp;"_"&amp;BasicInput!$D$7&amp;BasicInput!$D$8&amp;"_"&amp;DG233&amp;".xuf"</f>
        <v>C:\PWWORKING\east01\d2591108\Ramps\__2019EX_PM_.xuf</v>
      </c>
    </row>
    <row r="234" spans="39:112" x14ac:dyDescent="0.2">
      <c r="AM234" s="18"/>
      <c r="AS234" s="18"/>
      <c r="AX234" s="17"/>
      <c r="BI234" s="18"/>
      <c r="BO234" s="18"/>
      <c r="BT234" s="18"/>
      <c r="CA234" s="18"/>
      <c r="CH234" s="18"/>
      <c r="DF234" s="31" t="str">
        <f t="shared" si="10"/>
        <v xml:space="preserve">  </v>
      </c>
      <c r="DG234" s="25" t="str">
        <f t="shared" si="11"/>
        <v/>
      </c>
      <c r="DH234" s="25" t="str">
        <f>BasicInput!$D$13&amp;$DH$2&amp;B234&amp;"_"&amp;C234&amp;D234&amp;"_"&amp;BasicInput!$D$7&amp;BasicInput!$D$8&amp;"_"&amp;DG234&amp;".xuf"</f>
        <v>C:\PWWORKING\east01\d2591108\Ramps\__2019EX_PM_.xuf</v>
      </c>
    </row>
    <row r="235" spans="39:112" x14ac:dyDescent="0.2">
      <c r="AM235" s="18"/>
      <c r="AS235" s="18"/>
      <c r="AX235" s="17"/>
      <c r="BI235" s="18"/>
      <c r="BO235" s="18"/>
      <c r="BT235" s="18"/>
      <c r="CA235" s="18"/>
      <c r="CH235" s="18"/>
      <c r="DF235" s="31" t="str">
        <f t="shared" si="10"/>
        <v xml:space="preserve">  </v>
      </c>
      <c r="DG235" s="25" t="str">
        <f t="shared" si="11"/>
        <v/>
      </c>
      <c r="DH235" s="25" t="str">
        <f>BasicInput!$D$13&amp;$DH$2&amp;B235&amp;"_"&amp;C235&amp;D235&amp;"_"&amp;BasicInput!$D$7&amp;BasicInput!$D$8&amp;"_"&amp;DG235&amp;".xuf"</f>
        <v>C:\PWWORKING\east01\d2591108\Ramps\__2019EX_PM_.xuf</v>
      </c>
    </row>
    <row r="236" spans="39:112" x14ac:dyDescent="0.2">
      <c r="AM236" s="18"/>
      <c r="AS236" s="18"/>
      <c r="AX236" s="17"/>
      <c r="BI236" s="18"/>
      <c r="BO236" s="18"/>
      <c r="BT236" s="18"/>
      <c r="CA236" s="18"/>
      <c r="CH236" s="18"/>
      <c r="DF236" s="31" t="str">
        <f t="shared" si="10"/>
        <v xml:space="preserve">  </v>
      </c>
      <c r="DG236" s="25" t="str">
        <f t="shared" si="11"/>
        <v/>
      </c>
      <c r="DH236" s="25" t="str">
        <f>BasicInput!$D$13&amp;$DH$2&amp;B236&amp;"_"&amp;C236&amp;D236&amp;"_"&amp;BasicInput!$D$7&amp;BasicInput!$D$8&amp;"_"&amp;DG236&amp;".xuf"</f>
        <v>C:\PWWORKING\east01\d2591108\Ramps\__2019EX_PM_.xuf</v>
      </c>
    </row>
    <row r="237" spans="39:112" x14ac:dyDescent="0.2">
      <c r="AM237" s="18"/>
      <c r="AS237" s="18"/>
      <c r="AX237" s="17"/>
      <c r="BI237" s="18"/>
      <c r="BO237" s="18"/>
      <c r="BT237" s="18"/>
      <c r="CA237" s="18"/>
      <c r="CH237" s="18"/>
      <c r="DF237" s="31" t="str">
        <f t="shared" si="10"/>
        <v xml:space="preserve">  </v>
      </c>
      <c r="DG237" s="25" t="str">
        <f t="shared" si="11"/>
        <v/>
      </c>
      <c r="DH237" s="25" t="str">
        <f>BasicInput!$D$13&amp;$DH$2&amp;B237&amp;"_"&amp;C237&amp;D237&amp;"_"&amp;BasicInput!$D$7&amp;BasicInput!$D$8&amp;"_"&amp;DG237&amp;".xuf"</f>
        <v>C:\PWWORKING\east01\d2591108\Ramps\__2019EX_PM_.xuf</v>
      </c>
    </row>
    <row r="238" spans="39:112" x14ac:dyDescent="0.2">
      <c r="AM238" s="18"/>
      <c r="AS238" s="18"/>
      <c r="AX238" s="17"/>
      <c r="BI238" s="18"/>
      <c r="BO238" s="18"/>
      <c r="BT238" s="18"/>
      <c r="CA238" s="18"/>
      <c r="CH238" s="18"/>
      <c r="DF238" s="31" t="str">
        <f t="shared" si="10"/>
        <v xml:space="preserve">  </v>
      </c>
      <c r="DG238" s="25" t="str">
        <f t="shared" si="11"/>
        <v/>
      </c>
      <c r="DH238" s="25" t="str">
        <f>BasicInput!$D$13&amp;$DH$2&amp;B238&amp;"_"&amp;C238&amp;D238&amp;"_"&amp;BasicInput!$D$7&amp;BasicInput!$D$8&amp;"_"&amp;DG238&amp;".xuf"</f>
        <v>C:\PWWORKING\east01\d2591108\Ramps\__2019EX_PM_.xuf</v>
      </c>
    </row>
    <row r="239" spans="39:112" x14ac:dyDescent="0.2">
      <c r="AM239" s="18"/>
      <c r="AS239" s="18"/>
      <c r="AX239" s="17"/>
      <c r="BI239" s="18"/>
      <c r="BO239" s="18"/>
      <c r="BT239" s="18"/>
      <c r="CA239" s="18"/>
      <c r="CH239" s="18"/>
      <c r="DF239" s="31" t="str">
        <f t="shared" si="10"/>
        <v xml:space="preserve">  </v>
      </c>
      <c r="DG239" s="25" t="str">
        <f t="shared" si="11"/>
        <v/>
      </c>
      <c r="DH239" s="25" t="str">
        <f>BasicInput!$D$13&amp;$DH$2&amp;B239&amp;"_"&amp;C239&amp;D239&amp;"_"&amp;BasicInput!$D$7&amp;BasicInput!$D$8&amp;"_"&amp;DG239&amp;".xuf"</f>
        <v>C:\PWWORKING\east01\d2591108\Ramps\__2019EX_PM_.xuf</v>
      </c>
    </row>
    <row r="240" spans="39:112" x14ac:dyDescent="0.2">
      <c r="AM240" s="18"/>
      <c r="AS240" s="18"/>
      <c r="AX240" s="17"/>
      <c r="BI240" s="18"/>
      <c r="BO240" s="18"/>
      <c r="BT240" s="18"/>
      <c r="CA240" s="18"/>
      <c r="CH240" s="18"/>
      <c r="DF240" s="31" t="str">
        <f t="shared" si="10"/>
        <v xml:space="preserve">  </v>
      </c>
      <c r="DG240" s="25" t="str">
        <f t="shared" si="11"/>
        <v/>
      </c>
      <c r="DH240" s="25" t="str">
        <f>BasicInput!$D$13&amp;$DH$2&amp;B240&amp;"_"&amp;C240&amp;D240&amp;"_"&amp;BasicInput!$D$7&amp;BasicInput!$D$8&amp;"_"&amp;DG240&amp;".xuf"</f>
        <v>C:\PWWORKING\east01\d2591108\Ramps\__2019EX_PM_.xuf</v>
      </c>
    </row>
    <row r="241" spans="39:112" x14ac:dyDescent="0.2">
      <c r="AM241" s="18"/>
      <c r="AS241" s="18"/>
      <c r="AX241" s="17"/>
      <c r="BI241" s="18"/>
      <c r="BO241" s="18"/>
      <c r="BT241" s="18"/>
      <c r="CA241" s="18"/>
      <c r="CH241" s="18"/>
      <c r="DF241" s="31" t="str">
        <f t="shared" si="10"/>
        <v xml:space="preserve">  </v>
      </c>
      <c r="DG241" s="25" t="str">
        <f t="shared" si="11"/>
        <v/>
      </c>
      <c r="DH241" s="25" t="str">
        <f>BasicInput!$D$13&amp;$DH$2&amp;B241&amp;"_"&amp;C241&amp;D241&amp;"_"&amp;BasicInput!$D$7&amp;BasicInput!$D$8&amp;"_"&amp;DG241&amp;".xuf"</f>
        <v>C:\PWWORKING\east01\d2591108\Ramps\__2019EX_PM_.xuf</v>
      </c>
    </row>
    <row r="242" spans="39:112" x14ac:dyDescent="0.2">
      <c r="AM242" s="18"/>
      <c r="AS242" s="18"/>
      <c r="AX242" s="17"/>
      <c r="BI242" s="18"/>
      <c r="BO242" s="18"/>
      <c r="BT242" s="18"/>
      <c r="CA242" s="18"/>
      <c r="CH242" s="18"/>
      <c r="DF242" s="31" t="str">
        <f t="shared" si="10"/>
        <v xml:space="preserve">  </v>
      </c>
      <c r="DG242" s="25" t="str">
        <f t="shared" si="11"/>
        <v/>
      </c>
      <c r="DH242" s="25" t="str">
        <f>BasicInput!$D$13&amp;$DH$2&amp;B242&amp;"_"&amp;C242&amp;D242&amp;"_"&amp;BasicInput!$D$7&amp;BasicInput!$D$8&amp;"_"&amp;DG242&amp;".xuf"</f>
        <v>C:\PWWORKING\east01\d2591108\Ramps\__2019EX_PM_.xuf</v>
      </c>
    </row>
    <row r="243" spans="39:112" x14ac:dyDescent="0.2">
      <c r="AM243" s="18"/>
      <c r="AS243" s="18"/>
      <c r="AX243" s="17"/>
      <c r="BI243" s="18"/>
      <c r="BO243" s="18"/>
      <c r="BT243" s="18"/>
      <c r="CA243" s="18"/>
      <c r="CH243" s="18"/>
      <c r="DF243" s="31" t="str">
        <f t="shared" si="10"/>
        <v xml:space="preserve">  </v>
      </c>
      <c r="DG243" s="25" t="str">
        <f t="shared" si="11"/>
        <v/>
      </c>
      <c r="DH243" s="25" t="str">
        <f>BasicInput!$D$13&amp;$DH$2&amp;B243&amp;"_"&amp;C243&amp;D243&amp;"_"&amp;BasicInput!$D$7&amp;BasicInput!$D$8&amp;"_"&amp;DG243&amp;".xuf"</f>
        <v>C:\PWWORKING\east01\d2591108\Ramps\__2019EX_PM_.xuf</v>
      </c>
    </row>
    <row r="244" spans="39:112" x14ac:dyDescent="0.2">
      <c r="AM244" s="18"/>
      <c r="AS244" s="18"/>
      <c r="AX244" s="17"/>
      <c r="BI244" s="18"/>
      <c r="BO244" s="18"/>
      <c r="BT244" s="18"/>
      <c r="CA244" s="18"/>
      <c r="CH244" s="18"/>
      <c r="DF244" s="31" t="str">
        <f t="shared" si="10"/>
        <v xml:space="preserve">  </v>
      </c>
      <c r="DG244" s="25" t="str">
        <f t="shared" si="11"/>
        <v/>
      </c>
      <c r="DH244" s="25" t="str">
        <f>BasicInput!$D$13&amp;$DH$2&amp;B244&amp;"_"&amp;C244&amp;D244&amp;"_"&amp;BasicInput!$D$7&amp;BasicInput!$D$8&amp;"_"&amp;DG244&amp;".xuf"</f>
        <v>C:\PWWORKING\east01\d2591108\Ramps\__2019EX_PM_.xuf</v>
      </c>
    </row>
    <row r="245" spans="39:112" x14ac:dyDescent="0.2">
      <c r="AM245" s="18"/>
      <c r="AS245" s="18"/>
      <c r="AX245" s="17"/>
      <c r="BI245" s="18"/>
      <c r="BO245" s="18"/>
      <c r="BT245" s="18"/>
      <c r="CA245" s="18"/>
      <c r="CH245" s="18"/>
      <c r="DF245" s="31" t="str">
        <f t="shared" si="10"/>
        <v xml:space="preserve">  </v>
      </c>
      <c r="DG245" s="25" t="str">
        <f t="shared" si="11"/>
        <v/>
      </c>
      <c r="DH245" s="25" t="str">
        <f>BasicInput!$D$13&amp;$DH$2&amp;B245&amp;"_"&amp;C245&amp;D245&amp;"_"&amp;BasicInput!$D$7&amp;BasicInput!$D$8&amp;"_"&amp;DG245&amp;".xuf"</f>
        <v>C:\PWWORKING\east01\d2591108\Ramps\__2019EX_PM_.xuf</v>
      </c>
    </row>
    <row r="246" spans="39:112" x14ac:dyDescent="0.2">
      <c r="AM246" s="18"/>
      <c r="AS246" s="18"/>
      <c r="AX246" s="17"/>
      <c r="BI246" s="18"/>
      <c r="BO246" s="18"/>
      <c r="BT246" s="18"/>
      <c r="CA246" s="18"/>
      <c r="CH246" s="18"/>
      <c r="DF246" s="31" t="str">
        <f t="shared" si="10"/>
        <v xml:space="preserve">  </v>
      </c>
      <c r="DG246" s="25" t="str">
        <f t="shared" si="11"/>
        <v/>
      </c>
      <c r="DH246" s="25" t="str">
        <f>BasicInput!$D$13&amp;$DH$2&amp;B246&amp;"_"&amp;C246&amp;D246&amp;"_"&amp;BasicInput!$D$7&amp;BasicInput!$D$8&amp;"_"&amp;DG246&amp;".xuf"</f>
        <v>C:\PWWORKING\east01\d2591108\Ramps\__2019EX_PM_.xuf</v>
      </c>
    </row>
    <row r="247" spans="39:112" x14ac:dyDescent="0.2">
      <c r="AM247" s="18"/>
      <c r="AS247" s="18"/>
      <c r="AX247" s="17"/>
      <c r="BI247" s="18"/>
      <c r="BO247" s="18"/>
      <c r="BT247" s="18"/>
      <c r="CA247" s="18"/>
      <c r="CH247" s="18"/>
      <c r="DF247" s="31" t="str">
        <f t="shared" si="10"/>
        <v xml:space="preserve">  </v>
      </c>
      <c r="DG247" s="25" t="str">
        <f t="shared" si="11"/>
        <v/>
      </c>
      <c r="DH247" s="25" t="str">
        <f>BasicInput!$D$13&amp;$DH$2&amp;B247&amp;"_"&amp;C247&amp;D247&amp;"_"&amp;BasicInput!$D$7&amp;BasicInput!$D$8&amp;"_"&amp;DG247&amp;".xuf"</f>
        <v>C:\PWWORKING\east01\d2591108\Ramps\__2019EX_PM_.xuf</v>
      </c>
    </row>
    <row r="248" spans="39:112" x14ac:dyDescent="0.2">
      <c r="AM248" s="18"/>
      <c r="AS248" s="18"/>
      <c r="AX248" s="17"/>
      <c r="BI248" s="18"/>
      <c r="BO248" s="18"/>
      <c r="BT248" s="18"/>
      <c r="CA248" s="18"/>
      <c r="CH248" s="18"/>
      <c r="DF248" s="31" t="str">
        <f t="shared" si="10"/>
        <v xml:space="preserve">  </v>
      </c>
      <c r="DG248" s="25" t="str">
        <f t="shared" si="11"/>
        <v/>
      </c>
      <c r="DH248" s="25" t="str">
        <f>BasicInput!$D$13&amp;$DH$2&amp;B248&amp;"_"&amp;C248&amp;D248&amp;"_"&amp;BasicInput!$D$7&amp;BasicInput!$D$8&amp;"_"&amp;DG248&amp;".xuf"</f>
        <v>C:\PWWORKING\east01\d2591108\Ramps\__2019EX_PM_.xuf</v>
      </c>
    </row>
    <row r="249" spans="39:112" x14ac:dyDescent="0.2">
      <c r="AM249" s="18"/>
      <c r="AS249" s="18"/>
      <c r="AX249" s="17"/>
      <c r="BI249" s="18"/>
      <c r="BO249" s="18"/>
      <c r="BT249" s="18"/>
      <c r="CA249" s="18"/>
      <c r="CH249" s="18"/>
      <c r="DF249" s="31" t="str">
        <f t="shared" si="10"/>
        <v xml:space="preserve">  </v>
      </c>
      <c r="DG249" s="25" t="str">
        <f t="shared" si="11"/>
        <v/>
      </c>
      <c r="DH249" s="25" t="str">
        <f>BasicInput!$D$13&amp;$DH$2&amp;B249&amp;"_"&amp;C249&amp;D249&amp;"_"&amp;BasicInput!$D$7&amp;BasicInput!$D$8&amp;"_"&amp;DG249&amp;".xuf"</f>
        <v>C:\PWWORKING\east01\d2591108\Ramps\__2019EX_PM_.xuf</v>
      </c>
    </row>
    <row r="250" spans="39:112" x14ac:dyDescent="0.2">
      <c r="AM250" s="18"/>
      <c r="AS250" s="18"/>
      <c r="AX250" s="17"/>
      <c r="BI250" s="18"/>
      <c r="BO250" s="18"/>
      <c r="BT250" s="18"/>
      <c r="CA250" s="18"/>
      <c r="CH250" s="18"/>
      <c r="DF250" s="31" t="str">
        <f t="shared" si="10"/>
        <v xml:space="preserve">  </v>
      </c>
      <c r="DG250" s="25" t="str">
        <f t="shared" si="11"/>
        <v/>
      </c>
      <c r="DH250" s="25" t="str">
        <f>BasicInput!$D$13&amp;$DH$2&amp;B250&amp;"_"&amp;C250&amp;D250&amp;"_"&amp;BasicInput!$D$7&amp;BasicInput!$D$8&amp;"_"&amp;DG250&amp;".xuf"</f>
        <v>C:\PWWORKING\east01\d2591108\Ramps\__2019EX_PM_.xuf</v>
      </c>
    </row>
    <row r="251" spans="39:112" x14ac:dyDescent="0.2">
      <c r="AM251" s="18"/>
      <c r="AS251" s="18"/>
      <c r="AX251" s="17"/>
      <c r="BI251" s="18"/>
      <c r="BO251" s="18"/>
      <c r="BT251" s="18"/>
      <c r="CA251" s="18"/>
      <c r="CH251" s="18"/>
      <c r="DF251" s="31" t="str">
        <f t="shared" si="10"/>
        <v xml:space="preserve">  </v>
      </c>
      <c r="DG251" s="25" t="str">
        <f t="shared" si="11"/>
        <v/>
      </c>
      <c r="DH251" s="25" t="str">
        <f>BasicInput!$D$13&amp;$DH$2&amp;B251&amp;"_"&amp;C251&amp;D251&amp;"_"&amp;BasicInput!$D$7&amp;BasicInput!$D$8&amp;"_"&amp;DG251&amp;".xuf"</f>
        <v>C:\PWWORKING\east01\d2591108\Ramps\__2019EX_PM_.xuf</v>
      </c>
    </row>
    <row r="252" spans="39:112" x14ac:dyDescent="0.2">
      <c r="AM252" s="18"/>
      <c r="AS252" s="18"/>
      <c r="AX252" s="17"/>
      <c r="BI252" s="18"/>
      <c r="BO252" s="18"/>
      <c r="BT252" s="18"/>
      <c r="CA252" s="18"/>
      <c r="CH252" s="18"/>
      <c r="DF252" s="31" t="str">
        <f t="shared" si="10"/>
        <v xml:space="preserve">  </v>
      </c>
      <c r="DG252" s="25" t="str">
        <f t="shared" si="11"/>
        <v/>
      </c>
      <c r="DH252" s="25" t="str">
        <f>BasicInput!$D$13&amp;$DH$2&amp;B252&amp;"_"&amp;C252&amp;D252&amp;"_"&amp;BasicInput!$D$7&amp;BasicInput!$D$8&amp;"_"&amp;DG252&amp;".xuf"</f>
        <v>C:\PWWORKING\east01\d2591108\Ramps\__2019EX_PM_.xuf</v>
      </c>
    </row>
    <row r="253" spans="39:112" x14ac:dyDescent="0.2">
      <c r="AM253" s="18"/>
      <c r="AS253" s="18"/>
      <c r="AX253" s="17"/>
      <c r="BI253" s="18"/>
      <c r="BO253" s="18"/>
      <c r="BT253" s="18"/>
      <c r="CA253" s="18"/>
      <c r="CH253" s="18"/>
      <c r="DF253" s="31" t="str">
        <f t="shared" si="10"/>
        <v xml:space="preserve">  </v>
      </c>
      <c r="DG253" s="25" t="str">
        <f t="shared" si="11"/>
        <v/>
      </c>
      <c r="DH253" s="25" t="str">
        <f>BasicInput!$D$13&amp;$DH$2&amp;B253&amp;"_"&amp;C253&amp;D253&amp;"_"&amp;BasicInput!$D$7&amp;BasicInput!$D$8&amp;"_"&amp;DG253&amp;".xuf"</f>
        <v>C:\PWWORKING\east01\d2591108\Ramps\__2019EX_PM_.xuf</v>
      </c>
    </row>
    <row r="254" spans="39:112" x14ac:dyDescent="0.2">
      <c r="AM254" s="18"/>
      <c r="AS254" s="18"/>
      <c r="AX254" s="17"/>
      <c r="BI254" s="18"/>
      <c r="BO254" s="18"/>
      <c r="BT254" s="18"/>
      <c r="CA254" s="18"/>
      <c r="CH254" s="18"/>
      <c r="DF254" s="31" t="str">
        <f t="shared" si="10"/>
        <v xml:space="preserve">  </v>
      </c>
      <c r="DG254" s="25" t="str">
        <f t="shared" si="11"/>
        <v/>
      </c>
      <c r="DH254" s="25" t="str">
        <f>BasicInput!$D$13&amp;$DH$2&amp;B254&amp;"_"&amp;C254&amp;D254&amp;"_"&amp;BasicInput!$D$7&amp;BasicInput!$D$8&amp;"_"&amp;DG254&amp;".xuf"</f>
        <v>C:\PWWORKING\east01\d2591108\Ramps\__2019EX_PM_.xuf</v>
      </c>
    </row>
    <row r="255" spans="39:112" x14ac:dyDescent="0.2">
      <c r="AM255" s="18"/>
      <c r="AS255" s="18"/>
      <c r="AX255" s="17"/>
      <c r="BI255" s="18"/>
      <c r="BO255" s="18"/>
      <c r="BT255" s="18"/>
      <c r="CA255" s="18"/>
      <c r="CH255" s="18"/>
      <c r="DF255" s="31" t="str">
        <f t="shared" si="10"/>
        <v xml:space="preserve">  </v>
      </c>
      <c r="DG255" s="25" t="str">
        <f t="shared" si="11"/>
        <v/>
      </c>
      <c r="DH255" s="25" t="str">
        <f>BasicInput!$D$13&amp;$DH$2&amp;B255&amp;"_"&amp;C255&amp;D255&amp;"_"&amp;BasicInput!$D$7&amp;BasicInput!$D$8&amp;"_"&amp;DG255&amp;".xuf"</f>
        <v>C:\PWWORKING\east01\d2591108\Ramps\__2019EX_PM_.xuf</v>
      </c>
    </row>
    <row r="256" spans="39:112" x14ac:dyDescent="0.2">
      <c r="AM256" s="18"/>
      <c r="AS256" s="18"/>
      <c r="AX256" s="17"/>
      <c r="BI256" s="18"/>
      <c r="BO256" s="18"/>
      <c r="BT256" s="18"/>
      <c r="CA256" s="18"/>
      <c r="CH256" s="18"/>
      <c r="DF256" s="31" t="str">
        <f t="shared" si="10"/>
        <v xml:space="preserve">  </v>
      </c>
      <c r="DG256" s="25" t="str">
        <f t="shared" si="11"/>
        <v/>
      </c>
      <c r="DH256" s="25" t="str">
        <f>BasicInput!$D$13&amp;$DH$2&amp;B256&amp;"_"&amp;C256&amp;D256&amp;"_"&amp;BasicInput!$D$7&amp;BasicInput!$D$8&amp;"_"&amp;DG256&amp;".xuf"</f>
        <v>C:\PWWORKING\east01\d2591108\Ramps\__2019EX_PM_.xuf</v>
      </c>
    </row>
    <row r="257" spans="39:112" x14ac:dyDescent="0.2">
      <c r="AM257" s="18"/>
      <c r="AS257" s="18"/>
      <c r="AX257" s="17"/>
      <c r="BI257" s="18"/>
      <c r="BO257" s="18"/>
      <c r="BT257" s="18"/>
      <c r="CA257" s="18"/>
      <c r="CH257" s="18"/>
      <c r="DF257" s="31" t="str">
        <f t="shared" si="10"/>
        <v xml:space="preserve">  </v>
      </c>
      <c r="DG257" s="25" t="str">
        <f t="shared" si="11"/>
        <v/>
      </c>
      <c r="DH257" s="25" t="str">
        <f>BasicInput!$D$13&amp;$DH$2&amp;B257&amp;"_"&amp;C257&amp;D257&amp;"_"&amp;BasicInput!$D$7&amp;BasicInput!$D$8&amp;"_"&amp;DG257&amp;".xuf"</f>
        <v>C:\PWWORKING\east01\d2591108\Ramps\__2019EX_PM_.xuf</v>
      </c>
    </row>
    <row r="258" spans="39:112" x14ac:dyDescent="0.2">
      <c r="AM258" s="18"/>
      <c r="AS258" s="18"/>
      <c r="AX258" s="17"/>
      <c r="BI258" s="18"/>
      <c r="BO258" s="18"/>
      <c r="BT258" s="18"/>
      <c r="CA258" s="18"/>
      <c r="CH258" s="18"/>
      <c r="DF258" s="31" t="str">
        <f t="shared" si="10"/>
        <v xml:space="preserve">  </v>
      </c>
      <c r="DG258" s="25" t="str">
        <f t="shared" si="11"/>
        <v/>
      </c>
      <c r="DH258" s="25" t="str">
        <f>BasicInput!$D$13&amp;$DH$2&amp;B258&amp;"_"&amp;C258&amp;D258&amp;"_"&amp;BasicInput!$D$7&amp;BasicInput!$D$8&amp;"_"&amp;DG258&amp;".xuf"</f>
        <v>C:\PWWORKING\east01\d2591108\Ramps\__2019EX_PM_.xuf</v>
      </c>
    </row>
    <row r="259" spans="39:112" x14ac:dyDescent="0.2">
      <c r="AM259" s="18"/>
      <c r="AS259" s="18"/>
      <c r="AX259" s="17"/>
      <c r="BI259" s="18"/>
      <c r="BO259" s="18"/>
      <c r="BT259" s="18"/>
      <c r="CA259" s="18"/>
      <c r="CH259" s="18"/>
      <c r="DF259" s="31" t="str">
        <f t="shared" si="10"/>
        <v xml:space="preserve">  </v>
      </c>
      <c r="DG259" s="25" t="str">
        <f t="shared" si="11"/>
        <v/>
      </c>
      <c r="DH259" s="25" t="str">
        <f>BasicInput!$D$13&amp;$DH$2&amp;B259&amp;"_"&amp;C259&amp;D259&amp;"_"&amp;BasicInput!$D$7&amp;BasicInput!$D$8&amp;"_"&amp;DG259&amp;".xuf"</f>
        <v>C:\PWWORKING\east01\d2591108\Ramps\__2019EX_PM_.xuf</v>
      </c>
    </row>
    <row r="260" spans="39:112" x14ac:dyDescent="0.2">
      <c r="AM260" s="18"/>
      <c r="AS260" s="18"/>
      <c r="AX260" s="17"/>
      <c r="BI260" s="18"/>
      <c r="BO260" s="18"/>
      <c r="BT260" s="18"/>
      <c r="CA260" s="18"/>
      <c r="CH260" s="18"/>
      <c r="DF260" s="31" t="str">
        <f t="shared" si="10"/>
        <v xml:space="preserve">  </v>
      </c>
      <c r="DG260" s="25" t="str">
        <f t="shared" si="11"/>
        <v/>
      </c>
      <c r="DH260" s="25" t="str">
        <f>BasicInput!$D$13&amp;$DH$2&amp;B260&amp;"_"&amp;C260&amp;D260&amp;"_"&amp;BasicInput!$D$7&amp;BasicInput!$D$8&amp;"_"&amp;DG260&amp;".xuf"</f>
        <v>C:\PWWORKING\east01\d2591108\Ramps\__2019EX_PM_.xuf</v>
      </c>
    </row>
    <row r="261" spans="39:112" x14ac:dyDescent="0.2">
      <c r="AM261" s="18"/>
      <c r="AS261" s="18"/>
      <c r="AX261" s="17"/>
      <c r="BI261" s="18"/>
      <c r="BO261" s="18"/>
      <c r="BT261" s="18"/>
      <c r="CA261" s="18"/>
      <c r="CH261" s="18"/>
      <c r="DF261" s="31" t="str">
        <f t="shared" si="10"/>
        <v xml:space="preserve">  </v>
      </c>
      <c r="DG261" s="25" t="str">
        <f t="shared" si="11"/>
        <v/>
      </c>
      <c r="DH261" s="25" t="str">
        <f>BasicInput!$D$13&amp;$DH$2&amp;B261&amp;"_"&amp;C261&amp;D261&amp;"_"&amp;BasicInput!$D$7&amp;BasicInput!$D$8&amp;"_"&amp;DG261&amp;".xuf"</f>
        <v>C:\PWWORKING\east01\d2591108\Ramps\__2019EX_PM_.xuf</v>
      </c>
    </row>
    <row r="262" spans="39:112" x14ac:dyDescent="0.2">
      <c r="AM262" s="18"/>
      <c r="AS262" s="18"/>
      <c r="AX262" s="17"/>
      <c r="BI262" s="18"/>
      <c r="BO262" s="18"/>
      <c r="BT262" s="18"/>
      <c r="CA262" s="18"/>
      <c r="CH262" s="18"/>
      <c r="DF262" s="31" t="str">
        <f t="shared" si="10"/>
        <v xml:space="preserve">  </v>
      </c>
      <c r="DG262" s="25" t="str">
        <f t="shared" si="11"/>
        <v/>
      </c>
      <c r="DH262" s="25" t="str">
        <f>BasicInput!$D$13&amp;$DH$2&amp;B262&amp;"_"&amp;C262&amp;D262&amp;"_"&amp;BasicInput!$D$7&amp;BasicInput!$D$8&amp;"_"&amp;DG262&amp;".xuf"</f>
        <v>C:\PWWORKING\east01\d2591108\Ramps\__2019EX_PM_.xuf</v>
      </c>
    </row>
    <row r="263" spans="39:112" x14ac:dyDescent="0.2">
      <c r="AM263" s="18"/>
      <c r="AS263" s="18"/>
      <c r="AX263" s="17"/>
      <c r="BI263" s="18"/>
      <c r="BO263" s="18"/>
      <c r="BT263" s="18"/>
      <c r="CA263" s="18"/>
      <c r="CH263" s="18"/>
      <c r="DF263" s="31" t="str">
        <f t="shared" si="10"/>
        <v xml:space="preserve">  </v>
      </c>
      <c r="DG263" s="25" t="str">
        <f t="shared" si="11"/>
        <v/>
      </c>
      <c r="DH263" s="25" t="str">
        <f>BasicInput!$D$13&amp;$DH$2&amp;B263&amp;"_"&amp;C263&amp;D263&amp;"_"&amp;BasicInput!$D$7&amp;BasicInput!$D$8&amp;"_"&amp;DG263&amp;".xuf"</f>
        <v>C:\PWWORKING\east01\d2591108\Ramps\__2019EX_PM_.xuf</v>
      </c>
    </row>
    <row r="264" spans="39:112" x14ac:dyDescent="0.2">
      <c r="AM264" s="18"/>
      <c r="AS264" s="18"/>
      <c r="AX264" s="17"/>
      <c r="BI264" s="18"/>
      <c r="BO264" s="18"/>
      <c r="BT264" s="18"/>
      <c r="CA264" s="18"/>
      <c r="CH264" s="18"/>
      <c r="DF264" s="31" t="str">
        <f t="shared" si="10"/>
        <v xml:space="preserve">  </v>
      </c>
      <c r="DG264" s="25" t="str">
        <f t="shared" si="11"/>
        <v/>
      </c>
      <c r="DH264" s="25" t="str">
        <f>BasicInput!$D$13&amp;$DH$2&amp;B264&amp;"_"&amp;C264&amp;D264&amp;"_"&amp;BasicInput!$D$7&amp;BasicInput!$D$8&amp;"_"&amp;DG264&amp;".xuf"</f>
        <v>C:\PWWORKING\east01\d2591108\Ramps\__2019EX_PM_.xuf</v>
      </c>
    </row>
    <row r="265" spans="39:112" x14ac:dyDescent="0.2">
      <c r="AM265" s="18"/>
      <c r="AS265" s="18"/>
      <c r="AX265" s="17"/>
      <c r="BI265" s="18"/>
      <c r="BO265" s="18"/>
      <c r="BT265" s="18"/>
      <c r="CA265" s="18"/>
      <c r="CH265" s="18"/>
      <c r="DF265" s="31" t="str">
        <f t="shared" si="10"/>
        <v xml:space="preserve">  </v>
      </c>
      <c r="DG265" s="25" t="str">
        <f t="shared" si="11"/>
        <v/>
      </c>
      <c r="DH265" s="25" t="str">
        <f>BasicInput!$D$13&amp;$DH$2&amp;B265&amp;"_"&amp;C265&amp;D265&amp;"_"&amp;BasicInput!$D$7&amp;BasicInput!$D$8&amp;"_"&amp;DG265&amp;".xuf"</f>
        <v>C:\PWWORKING\east01\d2591108\Ramps\__2019EX_PM_.xuf</v>
      </c>
    </row>
    <row r="266" spans="39:112" x14ac:dyDescent="0.2">
      <c r="AM266" s="18"/>
      <c r="AS266" s="18"/>
      <c r="AX266" s="17"/>
      <c r="BI266" s="18"/>
      <c r="BO266" s="18"/>
      <c r="BT266" s="18"/>
      <c r="CA266" s="18"/>
      <c r="CH266" s="18"/>
      <c r="DF266" s="31" t="str">
        <f t="shared" si="10"/>
        <v xml:space="preserve">  </v>
      </c>
      <c r="DG266" s="25" t="str">
        <f t="shared" si="11"/>
        <v/>
      </c>
      <c r="DH266" s="25" t="str">
        <f>BasicInput!$D$13&amp;$DH$2&amp;B266&amp;"_"&amp;C266&amp;D266&amp;"_"&amp;BasicInput!$D$7&amp;BasicInput!$D$8&amp;"_"&amp;DG266&amp;".xuf"</f>
        <v>C:\PWWORKING\east01\d2591108\Ramps\__2019EX_PM_.xuf</v>
      </c>
    </row>
    <row r="267" spans="39:112" x14ac:dyDescent="0.2">
      <c r="AM267" s="18"/>
      <c r="AS267" s="18"/>
      <c r="AX267" s="17"/>
      <c r="BI267" s="18"/>
      <c r="BO267" s="18"/>
      <c r="BT267" s="18"/>
      <c r="CA267" s="18"/>
      <c r="CH267" s="18"/>
      <c r="DF267" s="31" t="str">
        <f t="shared" si="10"/>
        <v xml:space="preserve">  </v>
      </c>
      <c r="DG267" s="25" t="str">
        <f t="shared" si="11"/>
        <v/>
      </c>
      <c r="DH267" s="25" t="str">
        <f>BasicInput!$D$13&amp;$DH$2&amp;B267&amp;"_"&amp;C267&amp;D267&amp;"_"&amp;BasicInput!$D$7&amp;BasicInput!$D$8&amp;"_"&amp;DG267&amp;".xuf"</f>
        <v>C:\PWWORKING\east01\d2591108\Ramps\__2019EX_PM_.xuf</v>
      </c>
    </row>
    <row r="268" spans="39:112" x14ac:dyDescent="0.2">
      <c r="AM268" s="18"/>
      <c r="AS268" s="18"/>
      <c r="AX268" s="17"/>
      <c r="BI268" s="18"/>
      <c r="BO268" s="18"/>
      <c r="BT268" s="18"/>
      <c r="CA268" s="18"/>
      <c r="CH268" s="18"/>
      <c r="DF268" s="31" t="str">
        <f t="shared" si="10"/>
        <v xml:space="preserve">  </v>
      </c>
      <c r="DG268" s="25" t="str">
        <f t="shared" si="11"/>
        <v/>
      </c>
      <c r="DH268" s="25" t="str">
        <f>BasicInput!$D$13&amp;$DH$2&amp;B268&amp;"_"&amp;C268&amp;D268&amp;"_"&amp;BasicInput!$D$7&amp;BasicInput!$D$8&amp;"_"&amp;DG268&amp;".xuf"</f>
        <v>C:\PWWORKING\east01\d2591108\Ramps\__2019EX_PM_.xuf</v>
      </c>
    </row>
    <row r="269" spans="39:112" x14ac:dyDescent="0.2">
      <c r="AM269" s="18"/>
      <c r="AS269" s="18"/>
      <c r="AX269" s="17"/>
      <c r="BI269" s="18"/>
      <c r="BO269" s="18"/>
      <c r="BT269" s="18"/>
      <c r="CA269" s="18"/>
      <c r="CH269" s="18"/>
      <c r="DF269" s="31" t="str">
        <f t="shared" si="10"/>
        <v xml:space="preserve">  </v>
      </c>
      <c r="DG269" s="25" t="str">
        <f t="shared" si="11"/>
        <v/>
      </c>
      <c r="DH269" s="25" t="str">
        <f>BasicInput!$D$13&amp;$DH$2&amp;B269&amp;"_"&amp;C269&amp;D269&amp;"_"&amp;BasicInput!$D$7&amp;BasicInput!$D$8&amp;"_"&amp;DG269&amp;".xuf"</f>
        <v>C:\PWWORKING\east01\d2591108\Ramps\__2019EX_PM_.xuf</v>
      </c>
    </row>
    <row r="270" spans="39:112" x14ac:dyDescent="0.2">
      <c r="AM270" s="18"/>
      <c r="AS270" s="18"/>
      <c r="AX270" s="17"/>
      <c r="BI270" s="18"/>
      <c r="BO270" s="18"/>
      <c r="BT270" s="18"/>
      <c r="CA270" s="18"/>
      <c r="CH270" s="18"/>
      <c r="DF270" s="31" t="str">
        <f t="shared" si="10"/>
        <v xml:space="preserve">  </v>
      </c>
      <c r="DG270" s="25" t="str">
        <f t="shared" si="11"/>
        <v/>
      </c>
      <c r="DH270" s="25" t="str">
        <f>BasicInput!$D$13&amp;$DH$2&amp;B270&amp;"_"&amp;C270&amp;D270&amp;"_"&amp;BasicInput!$D$7&amp;BasicInput!$D$8&amp;"_"&amp;DG270&amp;".xuf"</f>
        <v>C:\PWWORKING\east01\d2591108\Ramps\__2019EX_PM_.xuf</v>
      </c>
    </row>
    <row r="271" spans="39:112" x14ac:dyDescent="0.2">
      <c r="AM271" s="18"/>
      <c r="AS271" s="18"/>
      <c r="AX271" s="17"/>
      <c r="BI271" s="18"/>
      <c r="BO271" s="18"/>
      <c r="BT271" s="18"/>
      <c r="CA271" s="18"/>
      <c r="CH271" s="18"/>
      <c r="DF271" s="31" t="str">
        <f t="shared" si="10"/>
        <v xml:space="preserve">  </v>
      </c>
      <c r="DG271" s="25" t="str">
        <f t="shared" si="11"/>
        <v/>
      </c>
      <c r="DH271" s="25" t="str">
        <f>BasicInput!$D$13&amp;$DH$2&amp;B271&amp;"_"&amp;C271&amp;D271&amp;"_"&amp;BasicInput!$D$7&amp;BasicInput!$D$8&amp;"_"&amp;DG271&amp;".xuf"</f>
        <v>C:\PWWORKING\east01\d2591108\Ramps\__2019EX_PM_.xuf</v>
      </c>
    </row>
    <row r="272" spans="39:112" x14ac:dyDescent="0.2">
      <c r="AM272" s="18"/>
      <c r="AS272" s="18"/>
      <c r="AX272" s="17"/>
      <c r="BI272" s="18"/>
      <c r="BO272" s="18"/>
      <c r="BT272" s="18"/>
      <c r="CA272" s="18"/>
      <c r="CH272" s="18"/>
      <c r="DF272" s="31" t="str">
        <f t="shared" si="10"/>
        <v xml:space="preserve">  </v>
      </c>
      <c r="DG272" s="25" t="str">
        <f t="shared" si="11"/>
        <v/>
      </c>
      <c r="DH272" s="25" t="str">
        <f>BasicInput!$D$13&amp;$DH$2&amp;B272&amp;"_"&amp;C272&amp;D272&amp;"_"&amp;BasicInput!$D$7&amp;BasicInput!$D$8&amp;"_"&amp;DG272&amp;".xuf"</f>
        <v>C:\PWWORKING\east01\d2591108\Ramps\__2019EX_PM_.xuf</v>
      </c>
    </row>
    <row r="273" spans="39:112" x14ac:dyDescent="0.2">
      <c r="AM273" s="18"/>
      <c r="AS273" s="18"/>
      <c r="AX273" s="17"/>
      <c r="BI273" s="18"/>
      <c r="BO273" s="18"/>
      <c r="BT273" s="18"/>
      <c r="CA273" s="18"/>
      <c r="CH273" s="18"/>
      <c r="DF273" s="31" t="str">
        <f t="shared" ref="DF273:DF336" si="12">C273&amp; " "&amp;D273&amp;" " &amp;E273</f>
        <v xml:space="preserve">  </v>
      </c>
      <c r="DG273" s="25" t="str">
        <f t="shared" ref="DG273:DG336" si="13">SUBSTITUTE(E273, "/", "_")</f>
        <v/>
      </c>
      <c r="DH273" s="25" t="str">
        <f>BasicInput!$D$13&amp;$DH$2&amp;B273&amp;"_"&amp;C273&amp;D273&amp;"_"&amp;BasicInput!$D$7&amp;BasicInput!$D$8&amp;"_"&amp;DG273&amp;".xuf"</f>
        <v>C:\PWWORKING\east01\d2591108\Ramps\__2019EX_PM_.xuf</v>
      </c>
    </row>
    <row r="274" spans="39:112" x14ac:dyDescent="0.2">
      <c r="AM274" s="18"/>
      <c r="AS274" s="18"/>
      <c r="AX274" s="17"/>
      <c r="BI274" s="18"/>
      <c r="BO274" s="18"/>
      <c r="BT274" s="18"/>
      <c r="CA274" s="18"/>
      <c r="CH274" s="18"/>
      <c r="DF274" s="31" t="str">
        <f t="shared" si="12"/>
        <v xml:space="preserve">  </v>
      </c>
      <c r="DG274" s="25" t="str">
        <f t="shared" si="13"/>
        <v/>
      </c>
      <c r="DH274" s="25" t="str">
        <f>BasicInput!$D$13&amp;$DH$2&amp;B274&amp;"_"&amp;C274&amp;D274&amp;"_"&amp;BasicInput!$D$7&amp;BasicInput!$D$8&amp;"_"&amp;DG274&amp;".xuf"</f>
        <v>C:\PWWORKING\east01\d2591108\Ramps\__2019EX_PM_.xuf</v>
      </c>
    </row>
    <row r="275" spans="39:112" x14ac:dyDescent="0.2">
      <c r="AM275" s="18"/>
      <c r="AS275" s="18"/>
      <c r="AX275" s="17"/>
      <c r="BI275" s="18"/>
      <c r="BO275" s="18"/>
      <c r="BT275" s="18"/>
      <c r="CA275" s="18"/>
      <c r="CH275" s="18"/>
      <c r="DF275" s="31" t="str">
        <f t="shared" si="12"/>
        <v xml:space="preserve">  </v>
      </c>
      <c r="DG275" s="25" t="str">
        <f t="shared" si="13"/>
        <v/>
      </c>
      <c r="DH275" s="25" t="str">
        <f>BasicInput!$D$13&amp;$DH$2&amp;B275&amp;"_"&amp;C275&amp;D275&amp;"_"&amp;BasicInput!$D$7&amp;BasicInput!$D$8&amp;"_"&amp;DG275&amp;".xuf"</f>
        <v>C:\PWWORKING\east01\d2591108\Ramps\__2019EX_PM_.xuf</v>
      </c>
    </row>
    <row r="276" spans="39:112" x14ac:dyDescent="0.2">
      <c r="AM276" s="18"/>
      <c r="AS276" s="18"/>
      <c r="AX276" s="17"/>
      <c r="BI276" s="18"/>
      <c r="BO276" s="18"/>
      <c r="BT276" s="18"/>
      <c r="CA276" s="18"/>
      <c r="CH276" s="18"/>
      <c r="DF276" s="31" t="str">
        <f t="shared" si="12"/>
        <v xml:space="preserve">  </v>
      </c>
      <c r="DG276" s="25" t="str">
        <f t="shared" si="13"/>
        <v/>
      </c>
      <c r="DH276" s="25" t="str">
        <f>BasicInput!$D$13&amp;$DH$2&amp;B276&amp;"_"&amp;C276&amp;D276&amp;"_"&amp;BasicInput!$D$7&amp;BasicInput!$D$8&amp;"_"&amp;DG276&amp;".xuf"</f>
        <v>C:\PWWORKING\east01\d2591108\Ramps\__2019EX_PM_.xuf</v>
      </c>
    </row>
    <row r="277" spans="39:112" x14ac:dyDescent="0.2">
      <c r="AM277" s="18"/>
      <c r="AS277" s="18"/>
      <c r="AX277" s="17"/>
      <c r="BI277" s="18"/>
      <c r="BO277" s="18"/>
      <c r="BT277" s="18"/>
      <c r="CA277" s="18"/>
      <c r="CH277" s="18"/>
      <c r="DF277" s="31" t="str">
        <f t="shared" si="12"/>
        <v xml:space="preserve">  </v>
      </c>
      <c r="DG277" s="25" t="str">
        <f t="shared" si="13"/>
        <v/>
      </c>
      <c r="DH277" s="25" t="str">
        <f>BasicInput!$D$13&amp;$DH$2&amp;B277&amp;"_"&amp;C277&amp;D277&amp;"_"&amp;BasicInput!$D$7&amp;BasicInput!$D$8&amp;"_"&amp;DG277&amp;".xuf"</f>
        <v>C:\PWWORKING\east01\d2591108\Ramps\__2019EX_PM_.xuf</v>
      </c>
    </row>
    <row r="278" spans="39:112" x14ac:dyDescent="0.2">
      <c r="AM278" s="18"/>
      <c r="AS278" s="18"/>
      <c r="AX278" s="17"/>
      <c r="BI278" s="18"/>
      <c r="BO278" s="18"/>
      <c r="BT278" s="18"/>
      <c r="CA278" s="18"/>
      <c r="CH278" s="18"/>
      <c r="DF278" s="31" t="str">
        <f t="shared" si="12"/>
        <v xml:space="preserve">  </v>
      </c>
      <c r="DG278" s="25" t="str">
        <f t="shared" si="13"/>
        <v/>
      </c>
      <c r="DH278" s="25" t="str">
        <f>BasicInput!$D$13&amp;$DH$2&amp;B278&amp;"_"&amp;C278&amp;D278&amp;"_"&amp;BasicInput!$D$7&amp;BasicInput!$D$8&amp;"_"&amp;DG278&amp;".xuf"</f>
        <v>C:\PWWORKING\east01\d2591108\Ramps\__2019EX_PM_.xuf</v>
      </c>
    </row>
    <row r="279" spans="39:112" x14ac:dyDescent="0.2">
      <c r="AM279" s="18"/>
      <c r="AS279" s="18"/>
      <c r="AX279" s="17"/>
      <c r="BI279" s="18"/>
      <c r="BO279" s="18"/>
      <c r="BT279" s="18"/>
      <c r="CA279" s="18"/>
      <c r="CH279" s="18"/>
      <c r="DF279" s="31" t="str">
        <f t="shared" si="12"/>
        <v xml:space="preserve">  </v>
      </c>
      <c r="DG279" s="25" t="str">
        <f t="shared" si="13"/>
        <v/>
      </c>
      <c r="DH279" s="25" t="str">
        <f>BasicInput!$D$13&amp;$DH$2&amp;B279&amp;"_"&amp;C279&amp;D279&amp;"_"&amp;BasicInput!$D$7&amp;BasicInput!$D$8&amp;"_"&amp;DG279&amp;".xuf"</f>
        <v>C:\PWWORKING\east01\d2591108\Ramps\__2019EX_PM_.xuf</v>
      </c>
    </row>
    <row r="280" spans="39:112" x14ac:dyDescent="0.2">
      <c r="AM280" s="18"/>
      <c r="AS280" s="18"/>
      <c r="AX280" s="17"/>
      <c r="BI280" s="18"/>
      <c r="BO280" s="18"/>
      <c r="BT280" s="18"/>
      <c r="CA280" s="18"/>
      <c r="CH280" s="18"/>
      <c r="DF280" s="31" t="str">
        <f t="shared" si="12"/>
        <v xml:space="preserve">  </v>
      </c>
      <c r="DG280" s="25" t="str">
        <f t="shared" si="13"/>
        <v/>
      </c>
      <c r="DH280" s="25" t="str">
        <f>BasicInput!$D$13&amp;$DH$2&amp;B280&amp;"_"&amp;C280&amp;D280&amp;"_"&amp;BasicInput!$D$7&amp;BasicInput!$D$8&amp;"_"&amp;DG280&amp;".xuf"</f>
        <v>C:\PWWORKING\east01\d2591108\Ramps\__2019EX_PM_.xuf</v>
      </c>
    </row>
    <row r="281" spans="39:112" x14ac:dyDescent="0.2">
      <c r="AM281" s="18"/>
      <c r="AS281" s="18"/>
      <c r="AX281" s="17"/>
      <c r="BI281" s="18"/>
      <c r="BO281" s="18"/>
      <c r="BT281" s="18"/>
      <c r="CA281" s="18"/>
      <c r="CH281" s="18"/>
      <c r="DF281" s="31" t="str">
        <f t="shared" si="12"/>
        <v xml:space="preserve">  </v>
      </c>
      <c r="DG281" s="25" t="str">
        <f t="shared" si="13"/>
        <v/>
      </c>
      <c r="DH281" s="25" t="str">
        <f>BasicInput!$D$13&amp;$DH$2&amp;B281&amp;"_"&amp;C281&amp;D281&amp;"_"&amp;BasicInput!$D$7&amp;BasicInput!$D$8&amp;"_"&amp;DG281&amp;".xuf"</f>
        <v>C:\PWWORKING\east01\d2591108\Ramps\__2019EX_PM_.xuf</v>
      </c>
    </row>
    <row r="282" spans="39:112" x14ac:dyDescent="0.2">
      <c r="AM282" s="18"/>
      <c r="AS282" s="18"/>
      <c r="AX282" s="17"/>
      <c r="BI282" s="18"/>
      <c r="BO282" s="18"/>
      <c r="BT282" s="18"/>
      <c r="CA282" s="18"/>
      <c r="CH282" s="18"/>
      <c r="DF282" s="31" t="str">
        <f t="shared" si="12"/>
        <v xml:space="preserve">  </v>
      </c>
      <c r="DG282" s="25" t="str">
        <f t="shared" si="13"/>
        <v/>
      </c>
      <c r="DH282" s="25" t="str">
        <f>BasicInput!$D$13&amp;$DH$2&amp;B282&amp;"_"&amp;C282&amp;D282&amp;"_"&amp;BasicInput!$D$7&amp;BasicInput!$D$8&amp;"_"&amp;DG282&amp;".xuf"</f>
        <v>C:\PWWORKING\east01\d2591108\Ramps\__2019EX_PM_.xuf</v>
      </c>
    </row>
    <row r="283" spans="39:112" x14ac:dyDescent="0.2">
      <c r="AM283" s="18"/>
      <c r="AS283" s="18"/>
      <c r="AX283" s="17"/>
      <c r="BI283" s="18"/>
      <c r="BO283" s="18"/>
      <c r="BT283" s="18"/>
      <c r="CA283" s="18"/>
      <c r="CH283" s="18"/>
      <c r="DF283" s="31" t="str">
        <f t="shared" si="12"/>
        <v xml:space="preserve">  </v>
      </c>
      <c r="DG283" s="25" t="str">
        <f t="shared" si="13"/>
        <v/>
      </c>
      <c r="DH283" s="25" t="str">
        <f>BasicInput!$D$13&amp;$DH$2&amp;B283&amp;"_"&amp;C283&amp;D283&amp;"_"&amp;BasicInput!$D$7&amp;BasicInput!$D$8&amp;"_"&amp;DG283&amp;".xuf"</f>
        <v>C:\PWWORKING\east01\d2591108\Ramps\__2019EX_PM_.xuf</v>
      </c>
    </row>
    <row r="284" spans="39:112" x14ac:dyDescent="0.2">
      <c r="AM284" s="18"/>
      <c r="AS284" s="18"/>
      <c r="AX284" s="17"/>
      <c r="BI284" s="18"/>
      <c r="BO284" s="18"/>
      <c r="BT284" s="18"/>
      <c r="CA284" s="18"/>
      <c r="CH284" s="18"/>
      <c r="DF284" s="31" t="str">
        <f t="shared" si="12"/>
        <v xml:space="preserve">  </v>
      </c>
      <c r="DG284" s="25" t="str">
        <f t="shared" si="13"/>
        <v/>
      </c>
      <c r="DH284" s="25" t="str">
        <f>BasicInput!$D$13&amp;$DH$2&amp;B284&amp;"_"&amp;C284&amp;D284&amp;"_"&amp;BasicInput!$D$7&amp;BasicInput!$D$8&amp;"_"&amp;DG284&amp;".xuf"</f>
        <v>C:\PWWORKING\east01\d2591108\Ramps\__2019EX_PM_.xuf</v>
      </c>
    </row>
    <row r="285" spans="39:112" x14ac:dyDescent="0.2">
      <c r="AM285" s="18"/>
      <c r="AS285" s="18"/>
      <c r="AX285" s="17"/>
      <c r="BI285" s="18"/>
      <c r="BO285" s="18"/>
      <c r="BT285" s="18"/>
      <c r="CA285" s="18"/>
      <c r="CH285" s="18"/>
      <c r="DF285" s="31" t="str">
        <f t="shared" si="12"/>
        <v xml:space="preserve">  </v>
      </c>
      <c r="DG285" s="25" t="str">
        <f t="shared" si="13"/>
        <v/>
      </c>
      <c r="DH285" s="25" t="str">
        <f>BasicInput!$D$13&amp;$DH$2&amp;B285&amp;"_"&amp;C285&amp;D285&amp;"_"&amp;BasicInput!$D$7&amp;BasicInput!$D$8&amp;"_"&amp;DG285&amp;".xuf"</f>
        <v>C:\PWWORKING\east01\d2591108\Ramps\__2019EX_PM_.xuf</v>
      </c>
    </row>
    <row r="286" spans="39:112" x14ac:dyDescent="0.2">
      <c r="AM286" s="18"/>
      <c r="AS286" s="18"/>
      <c r="AX286" s="17"/>
      <c r="BI286" s="18"/>
      <c r="BO286" s="18"/>
      <c r="BT286" s="18"/>
      <c r="CA286" s="18"/>
      <c r="CH286" s="18"/>
      <c r="DF286" s="31" t="str">
        <f t="shared" si="12"/>
        <v xml:space="preserve">  </v>
      </c>
      <c r="DG286" s="25" t="str">
        <f t="shared" si="13"/>
        <v/>
      </c>
      <c r="DH286" s="25" t="str">
        <f>BasicInput!$D$13&amp;$DH$2&amp;B286&amp;"_"&amp;C286&amp;D286&amp;"_"&amp;BasicInput!$D$7&amp;BasicInput!$D$8&amp;"_"&amp;DG286&amp;".xuf"</f>
        <v>C:\PWWORKING\east01\d2591108\Ramps\__2019EX_PM_.xuf</v>
      </c>
    </row>
    <row r="287" spans="39:112" x14ac:dyDescent="0.2">
      <c r="AM287" s="18"/>
      <c r="AS287" s="18"/>
      <c r="AX287" s="17"/>
      <c r="BI287" s="18"/>
      <c r="BO287" s="18"/>
      <c r="BT287" s="18"/>
      <c r="CA287" s="18"/>
      <c r="CH287" s="18"/>
      <c r="DF287" s="31" t="str">
        <f t="shared" si="12"/>
        <v xml:space="preserve">  </v>
      </c>
      <c r="DG287" s="25" t="str">
        <f t="shared" si="13"/>
        <v/>
      </c>
      <c r="DH287" s="25" t="str">
        <f>BasicInput!$D$13&amp;$DH$2&amp;B287&amp;"_"&amp;C287&amp;D287&amp;"_"&amp;BasicInput!$D$7&amp;BasicInput!$D$8&amp;"_"&amp;DG287&amp;".xuf"</f>
        <v>C:\PWWORKING\east01\d2591108\Ramps\__2019EX_PM_.xuf</v>
      </c>
    </row>
    <row r="288" spans="39:112" x14ac:dyDescent="0.2">
      <c r="AM288" s="18"/>
      <c r="AS288" s="18"/>
      <c r="AX288" s="17"/>
      <c r="BI288" s="18"/>
      <c r="BO288" s="18"/>
      <c r="BT288" s="18"/>
      <c r="CA288" s="18"/>
      <c r="CH288" s="18"/>
      <c r="DF288" s="31" t="str">
        <f t="shared" si="12"/>
        <v xml:space="preserve">  </v>
      </c>
      <c r="DG288" s="25" t="str">
        <f t="shared" si="13"/>
        <v/>
      </c>
      <c r="DH288" s="25" t="str">
        <f>BasicInput!$D$13&amp;$DH$2&amp;B288&amp;"_"&amp;C288&amp;D288&amp;"_"&amp;BasicInput!$D$7&amp;BasicInput!$D$8&amp;"_"&amp;DG288&amp;".xuf"</f>
        <v>C:\PWWORKING\east01\d2591108\Ramps\__2019EX_PM_.xuf</v>
      </c>
    </row>
    <row r="289" spans="39:112" x14ac:dyDescent="0.2">
      <c r="AM289" s="18"/>
      <c r="AS289" s="18"/>
      <c r="AX289" s="17"/>
      <c r="BI289" s="18"/>
      <c r="BO289" s="18"/>
      <c r="BT289" s="18"/>
      <c r="CA289" s="18"/>
      <c r="CH289" s="18"/>
      <c r="DF289" s="31" t="str">
        <f t="shared" si="12"/>
        <v xml:space="preserve">  </v>
      </c>
      <c r="DG289" s="25" t="str">
        <f t="shared" si="13"/>
        <v/>
      </c>
      <c r="DH289" s="25" t="str">
        <f>BasicInput!$D$13&amp;$DH$2&amp;B289&amp;"_"&amp;C289&amp;D289&amp;"_"&amp;BasicInput!$D$7&amp;BasicInput!$D$8&amp;"_"&amp;DG289&amp;".xuf"</f>
        <v>C:\PWWORKING\east01\d2591108\Ramps\__2019EX_PM_.xuf</v>
      </c>
    </row>
    <row r="290" spans="39:112" x14ac:dyDescent="0.2">
      <c r="AM290" s="18"/>
      <c r="AS290" s="18"/>
      <c r="AX290" s="17"/>
      <c r="BI290" s="18"/>
      <c r="BO290" s="18"/>
      <c r="BT290" s="18"/>
      <c r="CA290" s="18"/>
      <c r="CH290" s="18"/>
      <c r="DF290" s="31" t="str">
        <f t="shared" si="12"/>
        <v xml:space="preserve">  </v>
      </c>
      <c r="DG290" s="25" t="str">
        <f t="shared" si="13"/>
        <v/>
      </c>
      <c r="DH290" s="25" t="str">
        <f>BasicInput!$D$13&amp;$DH$2&amp;B290&amp;"_"&amp;C290&amp;D290&amp;"_"&amp;BasicInput!$D$7&amp;BasicInput!$D$8&amp;"_"&amp;DG290&amp;".xuf"</f>
        <v>C:\PWWORKING\east01\d2591108\Ramps\__2019EX_PM_.xuf</v>
      </c>
    </row>
    <row r="291" spans="39:112" x14ac:dyDescent="0.2">
      <c r="AM291" s="18"/>
      <c r="AS291" s="18"/>
      <c r="AX291" s="17"/>
      <c r="BI291" s="18"/>
      <c r="BO291" s="18"/>
      <c r="BT291" s="18"/>
      <c r="CA291" s="18"/>
      <c r="CH291" s="18"/>
      <c r="DF291" s="31" t="str">
        <f t="shared" si="12"/>
        <v xml:space="preserve">  </v>
      </c>
      <c r="DG291" s="25" t="str">
        <f t="shared" si="13"/>
        <v/>
      </c>
      <c r="DH291" s="25" t="str">
        <f>BasicInput!$D$13&amp;$DH$2&amp;B291&amp;"_"&amp;C291&amp;D291&amp;"_"&amp;BasicInput!$D$7&amp;BasicInput!$D$8&amp;"_"&amp;DG291&amp;".xuf"</f>
        <v>C:\PWWORKING\east01\d2591108\Ramps\__2019EX_PM_.xuf</v>
      </c>
    </row>
    <row r="292" spans="39:112" x14ac:dyDescent="0.2">
      <c r="AM292" s="18"/>
      <c r="AS292" s="18"/>
      <c r="AX292" s="17"/>
      <c r="BI292" s="18"/>
      <c r="BO292" s="18"/>
      <c r="BT292" s="18"/>
      <c r="CA292" s="18"/>
      <c r="CH292" s="18"/>
      <c r="DF292" s="31" t="str">
        <f t="shared" si="12"/>
        <v xml:space="preserve">  </v>
      </c>
      <c r="DG292" s="25" t="str">
        <f t="shared" si="13"/>
        <v/>
      </c>
      <c r="DH292" s="25" t="str">
        <f>BasicInput!$D$13&amp;$DH$2&amp;B292&amp;"_"&amp;C292&amp;D292&amp;"_"&amp;BasicInput!$D$7&amp;BasicInput!$D$8&amp;"_"&amp;DG292&amp;".xuf"</f>
        <v>C:\PWWORKING\east01\d2591108\Ramps\__2019EX_PM_.xuf</v>
      </c>
    </row>
    <row r="293" spans="39:112" x14ac:dyDescent="0.2">
      <c r="AM293" s="18"/>
      <c r="AS293" s="18"/>
      <c r="AX293" s="17"/>
      <c r="BI293" s="18"/>
      <c r="BO293" s="18"/>
      <c r="BT293" s="18"/>
      <c r="CA293" s="18"/>
      <c r="CH293" s="18"/>
      <c r="DF293" s="31" t="str">
        <f t="shared" si="12"/>
        <v xml:space="preserve">  </v>
      </c>
      <c r="DG293" s="25" t="str">
        <f t="shared" si="13"/>
        <v/>
      </c>
      <c r="DH293" s="25" t="str">
        <f>BasicInput!$D$13&amp;$DH$2&amp;B293&amp;"_"&amp;C293&amp;D293&amp;"_"&amp;BasicInput!$D$7&amp;BasicInput!$D$8&amp;"_"&amp;DG293&amp;".xuf"</f>
        <v>C:\PWWORKING\east01\d2591108\Ramps\__2019EX_PM_.xuf</v>
      </c>
    </row>
    <row r="294" spans="39:112" x14ac:dyDescent="0.2">
      <c r="AM294" s="18"/>
      <c r="AS294" s="18"/>
      <c r="AX294" s="17"/>
      <c r="BI294" s="18"/>
      <c r="BO294" s="18"/>
      <c r="BT294" s="18"/>
      <c r="CA294" s="18"/>
      <c r="CH294" s="18"/>
      <c r="DF294" s="31" t="str">
        <f t="shared" si="12"/>
        <v xml:space="preserve">  </v>
      </c>
      <c r="DG294" s="25" t="str">
        <f t="shared" si="13"/>
        <v/>
      </c>
      <c r="DH294" s="25" t="str">
        <f>BasicInput!$D$13&amp;$DH$2&amp;B294&amp;"_"&amp;C294&amp;D294&amp;"_"&amp;BasicInput!$D$7&amp;BasicInput!$D$8&amp;"_"&amp;DG294&amp;".xuf"</f>
        <v>C:\PWWORKING\east01\d2591108\Ramps\__2019EX_PM_.xuf</v>
      </c>
    </row>
    <row r="295" spans="39:112" x14ac:dyDescent="0.2">
      <c r="AM295" s="18"/>
      <c r="AS295" s="18"/>
      <c r="AX295" s="17"/>
      <c r="BI295" s="18"/>
      <c r="BO295" s="18"/>
      <c r="BT295" s="18"/>
      <c r="CA295" s="18"/>
      <c r="CH295" s="18"/>
      <c r="DF295" s="31" t="str">
        <f t="shared" si="12"/>
        <v xml:space="preserve">  </v>
      </c>
      <c r="DG295" s="25" t="str">
        <f t="shared" si="13"/>
        <v/>
      </c>
      <c r="DH295" s="25" t="str">
        <f>BasicInput!$D$13&amp;$DH$2&amp;B295&amp;"_"&amp;C295&amp;D295&amp;"_"&amp;BasicInput!$D$7&amp;BasicInput!$D$8&amp;"_"&amp;DG295&amp;".xuf"</f>
        <v>C:\PWWORKING\east01\d2591108\Ramps\__2019EX_PM_.xuf</v>
      </c>
    </row>
    <row r="296" spans="39:112" x14ac:dyDescent="0.2">
      <c r="AM296" s="18"/>
      <c r="AS296" s="18"/>
      <c r="AX296" s="17"/>
      <c r="BI296" s="18"/>
      <c r="BO296" s="18"/>
      <c r="BT296" s="18"/>
      <c r="CA296" s="18"/>
      <c r="CH296" s="18"/>
      <c r="DF296" s="31" t="str">
        <f t="shared" si="12"/>
        <v xml:space="preserve">  </v>
      </c>
      <c r="DG296" s="25" t="str">
        <f t="shared" si="13"/>
        <v/>
      </c>
      <c r="DH296" s="25" t="str">
        <f>BasicInput!$D$13&amp;$DH$2&amp;B296&amp;"_"&amp;C296&amp;D296&amp;"_"&amp;BasicInput!$D$7&amp;BasicInput!$D$8&amp;"_"&amp;DG296&amp;".xuf"</f>
        <v>C:\PWWORKING\east01\d2591108\Ramps\__2019EX_PM_.xuf</v>
      </c>
    </row>
    <row r="297" spans="39:112" x14ac:dyDescent="0.2">
      <c r="AM297" s="18"/>
      <c r="AS297" s="18"/>
      <c r="AX297" s="17"/>
      <c r="BI297" s="18"/>
      <c r="BO297" s="18"/>
      <c r="BT297" s="18"/>
      <c r="CA297" s="18"/>
      <c r="CH297" s="18"/>
      <c r="DF297" s="31" t="str">
        <f t="shared" si="12"/>
        <v xml:space="preserve">  </v>
      </c>
      <c r="DG297" s="25" t="str">
        <f t="shared" si="13"/>
        <v/>
      </c>
      <c r="DH297" s="25" t="str">
        <f>BasicInput!$D$13&amp;$DH$2&amp;B297&amp;"_"&amp;C297&amp;D297&amp;"_"&amp;BasicInput!$D$7&amp;BasicInput!$D$8&amp;"_"&amp;DG297&amp;".xuf"</f>
        <v>C:\PWWORKING\east01\d2591108\Ramps\__2019EX_PM_.xuf</v>
      </c>
    </row>
    <row r="298" spans="39:112" x14ac:dyDescent="0.2">
      <c r="AM298" s="18"/>
      <c r="AS298" s="18"/>
      <c r="AX298" s="17"/>
      <c r="BI298" s="18"/>
      <c r="BO298" s="18"/>
      <c r="BT298" s="18"/>
      <c r="CA298" s="18"/>
      <c r="CH298" s="18"/>
      <c r="DF298" s="31" t="str">
        <f t="shared" si="12"/>
        <v xml:space="preserve">  </v>
      </c>
      <c r="DG298" s="25" t="str">
        <f t="shared" si="13"/>
        <v/>
      </c>
      <c r="DH298" s="25" t="str">
        <f>BasicInput!$D$13&amp;$DH$2&amp;B298&amp;"_"&amp;C298&amp;D298&amp;"_"&amp;BasicInput!$D$7&amp;BasicInput!$D$8&amp;"_"&amp;DG298&amp;".xuf"</f>
        <v>C:\PWWORKING\east01\d2591108\Ramps\__2019EX_PM_.xuf</v>
      </c>
    </row>
    <row r="299" spans="39:112" x14ac:dyDescent="0.2">
      <c r="AM299" s="18"/>
      <c r="AS299" s="18"/>
      <c r="AX299" s="17"/>
      <c r="BI299" s="18"/>
      <c r="BO299" s="18"/>
      <c r="BT299" s="18"/>
      <c r="CA299" s="18"/>
      <c r="CH299" s="18"/>
      <c r="DF299" s="31" t="str">
        <f t="shared" si="12"/>
        <v xml:space="preserve">  </v>
      </c>
      <c r="DG299" s="25" t="str">
        <f t="shared" si="13"/>
        <v/>
      </c>
      <c r="DH299" s="25" t="str">
        <f>BasicInput!$D$13&amp;$DH$2&amp;B299&amp;"_"&amp;C299&amp;D299&amp;"_"&amp;BasicInput!$D$7&amp;BasicInput!$D$8&amp;"_"&amp;DG299&amp;".xuf"</f>
        <v>C:\PWWORKING\east01\d2591108\Ramps\__2019EX_PM_.xuf</v>
      </c>
    </row>
    <row r="300" spans="39:112" x14ac:dyDescent="0.2">
      <c r="AM300" s="18"/>
      <c r="AS300" s="18"/>
      <c r="AX300" s="17"/>
      <c r="BI300" s="18"/>
      <c r="BO300" s="18"/>
      <c r="BT300" s="18"/>
      <c r="CA300" s="18"/>
      <c r="CH300" s="18"/>
      <c r="DF300" s="31" t="str">
        <f t="shared" si="12"/>
        <v xml:space="preserve">  </v>
      </c>
      <c r="DG300" s="25" t="str">
        <f t="shared" si="13"/>
        <v/>
      </c>
      <c r="DH300" s="25" t="str">
        <f>BasicInput!$D$13&amp;$DH$2&amp;B300&amp;"_"&amp;C300&amp;D300&amp;"_"&amp;BasicInput!$D$7&amp;BasicInput!$D$8&amp;"_"&amp;DG300&amp;".xuf"</f>
        <v>C:\PWWORKING\east01\d2591108\Ramps\__2019EX_PM_.xuf</v>
      </c>
    </row>
    <row r="301" spans="39:112" x14ac:dyDescent="0.2">
      <c r="AM301" s="18"/>
      <c r="AS301" s="18"/>
      <c r="AX301" s="17"/>
      <c r="BI301" s="18"/>
      <c r="BO301" s="18"/>
      <c r="BT301" s="18"/>
      <c r="CA301" s="18"/>
      <c r="CH301" s="18"/>
      <c r="DF301" s="31" t="str">
        <f t="shared" si="12"/>
        <v xml:space="preserve">  </v>
      </c>
      <c r="DG301" s="25" t="str">
        <f t="shared" si="13"/>
        <v/>
      </c>
      <c r="DH301" s="25" t="str">
        <f>BasicInput!$D$13&amp;$DH$2&amp;B301&amp;"_"&amp;C301&amp;D301&amp;"_"&amp;BasicInput!$D$7&amp;BasicInput!$D$8&amp;"_"&amp;DG301&amp;".xuf"</f>
        <v>C:\PWWORKING\east01\d2591108\Ramps\__2019EX_PM_.xuf</v>
      </c>
    </row>
    <row r="302" spans="39:112" x14ac:dyDescent="0.2">
      <c r="AM302" s="18"/>
      <c r="AS302" s="18"/>
      <c r="AX302" s="17"/>
      <c r="BI302" s="18"/>
      <c r="BO302" s="18"/>
      <c r="BT302" s="18"/>
      <c r="CA302" s="18"/>
      <c r="CH302" s="18"/>
      <c r="DF302" s="31" t="str">
        <f t="shared" si="12"/>
        <v xml:space="preserve">  </v>
      </c>
      <c r="DG302" s="25" t="str">
        <f t="shared" si="13"/>
        <v/>
      </c>
      <c r="DH302" s="25" t="str">
        <f>BasicInput!$D$13&amp;$DH$2&amp;B302&amp;"_"&amp;C302&amp;D302&amp;"_"&amp;BasicInput!$D$7&amp;BasicInput!$D$8&amp;"_"&amp;DG302&amp;".xuf"</f>
        <v>C:\PWWORKING\east01\d2591108\Ramps\__2019EX_PM_.xuf</v>
      </c>
    </row>
    <row r="303" spans="39:112" x14ac:dyDescent="0.2">
      <c r="AM303" s="18"/>
      <c r="AS303" s="18"/>
      <c r="AX303" s="17"/>
      <c r="BI303" s="18"/>
      <c r="BO303" s="18"/>
      <c r="BT303" s="18"/>
      <c r="CA303" s="18"/>
      <c r="CH303" s="18"/>
      <c r="DF303" s="31" t="str">
        <f t="shared" si="12"/>
        <v xml:space="preserve">  </v>
      </c>
      <c r="DG303" s="25" t="str">
        <f t="shared" si="13"/>
        <v/>
      </c>
      <c r="DH303" s="25" t="str">
        <f>BasicInput!$D$13&amp;$DH$2&amp;B303&amp;"_"&amp;C303&amp;D303&amp;"_"&amp;BasicInput!$D$7&amp;BasicInput!$D$8&amp;"_"&amp;DG303&amp;".xuf"</f>
        <v>C:\PWWORKING\east01\d2591108\Ramps\__2019EX_PM_.xuf</v>
      </c>
    </row>
    <row r="304" spans="39:112" x14ac:dyDescent="0.2">
      <c r="AM304" s="18"/>
      <c r="AS304" s="18"/>
      <c r="AX304" s="17"/>
      <c r="BI304" s="18"/>
      <c r="BO304" s="18"/>
      <c r="BT304" s="18"/>
      <c r="CA304" s="18"/>
      <c r="CH304" s="18"/>
      <c r="DF304" s="31" t="str">
        <f t="shared" si="12"/>
        <v xml:space="preserve">  </v>
      </c>
      <c r="DG304" s="25" t="str">
        <f t="shared" si="13"/>
        <v/>
      </c>
      <c r="DH304" s="25" t="str">
        <f>BasicInput!$D$13&amp;$DH$2&amp;B304&amp;"_"&amp;C304&amp;D304&amp;"_"&amp;BasicInput!$D$7&amp;BasicInput!$D$8&amp;"_"&amp;DG304&amp;".xuf"</f>
        <v>C:\PWWORKING\east01\d2591108\Ramps\__2019EX_PM_.xuf</v>
      </c>
    </row>
    <row r="305" spans="39:112" x14ac:dyDescent="0.2">
      <c r="AM305" s="18"/>
      <c r="AS305" s="18"/>
      <c r="AX305" s="17"/>
      <c r="BI305" s="18"/>
      <c r="BO305" s="18"/>
      <c r="BT305" s="18"/>
      <c r="CA305" s="18"/>
      <c r="CH305" s="18"/>
      <c r="DF305" s="31" t="str">
        <f t="shared" si="12"/>
        <v xml:space="preserve">  </v>
      </c>
      <c r="DG305" s="25" t="str">
        <f t="shared" si="13"/>
        <v/>
      </c>
      <c r="DH305" s="25" t="str">
        <f>BasicInput!$D$13&amp;$DH$2&amp;B305&amp;"_"&amp;C305&amp;D305&amp;"_"&amp;BasicInput!$D$7&amp;BasicInput!$D$8&amp;"_"&amp;DG305&amp;".xuf"</f>
        <v>C:\PWWORKING\east01\d2591108\Ramps\__2019EX_PM_.xuf</v>
      </c>
    </row>
    <row r="306" spans="39:112" x14ac:dyDescent="0.2">
      <c r="AM306" s="18"/>
      <c r="AS306" s="18"/>
      <c r="AX306" s="17"/>
      <c r="BI306" s="18"/>
      <c r="BO306" s="18"/>
      <c r="BT306" s="18"/>
      <c r="CA306" s="18"/>
      <c r="CH306" s="18"/>
      <c r="DF306" s="31" t="str">
        <f t="shared" si="12"/>
        <v xml:space="preserve">  </v>
      </c>
      <c r="DG306" s="25" t="str">
        <f t="shared" si="13"/>
        <v/>
      </c>
      <c r="DH306" s="25" t="str">
        <f>BasicInput!$D$13&amp;$DH$2&amp;B306&amp;"_"&amp;C306&amp;D306&amp;"_"&amp;BasicInput!$D$7&amp;BasicInput!$D$8&amp;"_"&amp;DG306&amp;".xuf"</f>
        <v>C:\PWWORKING\east01\d2591108\Ramps\__2019EX_PM_.xuf</v>
      </c>
    </row>
    <row r="307" spans="39:112" x14ac:dyDescent="0.2">
      <c r="AM307" s="18"/>
      <c r="AS307" s="18"/>
      <c r="AX307" s="17"/>
      <c r="BI307" s="18"/>
      <c r="BO307" s="18"/>
      <c r="BT307" s="18"/>
      <c r="CA307" s="18"/>
      <c r="CH307" s="18"/>
      <c r="DF307" s="31" t="str">
        <f t="shared" si="12"/>
        <v xml:space="preserve">  </v>
      </c>
      <c r="DG307" s="25" t="str">
        <f t="shared" si="13"/>
        <v/>
      </c>
      <c r="DH307" s="25" t="str">
        <f>BasicInput!$D$13&amp;$DH$2&amp;B307&amp;"_"&amp;C307&amp;D307&amp;"_"&amp;BasicInput!$D$7&amp;BasicInput!$D$8&amp;"_"&amp;DG307&amp;".xuf"</f>
        <v>C:\PWWORKING\east01\d2591108\Ramps\__2019EX_PM_.xuf</v>
      </c>
    </row>
    <row r="308" spans="39:112" x14ac:dyDescent="0.2">
      <c r="AM308" s="18"/>
      <c r="AS308" s="18"/>
      <c r="AX308" s="17"/>
      <c r="BI308" s="18"/>
      <c r="BO308" s="18"/>
      <c r="BT308" s="18"/>
      <c r="CA308" s="18"/>
      <c r="CH308" s="18"/>
      <c r="DF308" s="31" t="str">
        <f t="shared" si="12"/>
        <v xml:space="preserve">  </v>
      </c>
      <c r="DG308" s="25" t="str">
        <f t="shared" si="13"/>
        <v/>
      </c>
      <c r="DH308" s="25" t="str">
        <f>BasicInput!$D$13&amp;$DH$2&amp;B308&amp;"_"&amp;C308&amp;D308&amp;"_"&amp;BasicInput!$D$7&amp;BasicInput!$D$8&amp;"_"&amp;DG308&amp;".xuf"</f>
        <v>C:\PWWORKING\east01\d2591108\Ramps\__2019EX_PM_.xuf</v>
      </c>
    </row>
    <row r="309" spans="39:112" x14ac:dyDescent="0.2">
      <c r="AM309" s="18"/>
      <c r="AS309" s="18"/>
      <c r="AX309" s="17"/>
      <c r="BI309" s="18"/>
      <c r="BO309" s="18"/>
      <c r="BT309" s="18"/>
      <c r="CA309" s="18"/>
      <c r="CH309" s="18"/>
      <c r="DF309" s="31" t="str">
        <f t="shared" si="12"/>
        <v xml:space="preserve">  </v>
      </c>
      <c r="DG309" s="25" t="str">
        <f t="shared" si="13"/>
        <v/>
      </c>
      <c r="DH309" s="25" t="str">
        <f>BasicInput!$D$13&amp;$DH$2&amp;B309&amp;"_"&amp;C309&amp;D309&amp;"_"&amp;BasicInput!$D$7&amp;BasicInput!$D$8&amp;"_"&amp;DG309&amp;".xuf"</f>
        <v>C:\PWWORKING\east01\d2591108\Ramps\__2019EX_PM_.xuf</v>
      </c>
    </row>
    <row r="310" spans="39:112" x14ac:dyDescent="0.2">
      <c r="AM310" s="18"/>
      <c r="AS310" s="18"/>
      <c r="AX310" s="17"/>
      <c r="BI310" s="18"/>
      <c r="BO310" s="18"/>
      <c r="BT310" s="18"/>
      <c r="CA310" s="18"/>
      <c r="CH310" s="18"/>
      <c r="DF310" s="31" t="str">
        <f t="shared" si="12"/>
        <v xml:space="preserve">  </v>
      </c>
      <c r="DG310" s="25" t="str">
        <f t="shared" si="13"/>
        <v/>
      </c>
      <c r="DH310" s="25" t="str">
        <f>BasicInput!$D$13&amp;$DH$2&amp;B310&amp;"_"&amp;C310&amp;D310&amp;"_"&amp;BasicInput!$D$7&amp;BasicInput!$D$8&amp;"_"&amp;DG310&amp;".xuf"</f>
        <v>C:\PWWORKING\east01\d2591108\Ramps\__2019EX_PM_.xuf</v>
      </c>
    </row>
    <row r="311" spans="39:112" x14ac:dyDescent="0.2">
      <c r="AM311" s="18"/>
      <c r="AS311" s="18"/>
      <c r="AX311" s="17"/>
      <c r="BI311" s="18"/>
      <c r="BO311" s="18"/>
      <c r="BT311" s="18"/>
      <c r="CA311" s="18"/>
      <c r="CH311" s="18"/>
      <c r="DF311" s="31" t="str">
        <f t="shared" si="12"/>
        <v xml:space="preserve">  </v>
      </c>
      <c r="DG311" s="25" t="str">
        <f t="shared" si="13"/>
        <v/>
      </c>
      <c r="DH311" s="25" t="str">
        <f>BasicInput!$D$13&amp;$DH$2&amp;B311&amp;"_"&amp;C311&amp;D311&amp;"_"&amp;BasicInput!$D$7&amp;BasicInput!$D$8&amp;"_"&amp;DG311&amp;".xuf"</f>
        <v>C:\PWWORKING\east01\d2591108\Ramps\__2019EX_PM_.xuf</v>
      </c>
    </row>
    <row r="312" spans="39:112" x14ac:dyDescent="0.2">
      <c r="AM312" s="18"/>
      <c r="AS312" s="18"/>
      <c r="AX312" s="17"/>
      <c r="BI312" s="18"/>
      <c r="BO312" s="18"/>
      <c r="BT312" s="18"/>
      <c r="CA312" s="18"/>
      <c r="CH312" s="18"/>
      <c r="DF312" s="31" t="str">
        <f t="shared" si="12"/>
        <v xml:space="preserve">  </v>
      </c>
      <c r="DG312" s="25" t="str">
        <f t="shared" si="13"/>
        <v/>
      </c>
      <c r="DH312" s="25" t="str">
        <f>BasicInput!$D$13&amp;$DH$2&amp;B312&amp;"_"&amp;C312&amp;D312&amp;"_"&amp;BasicInput!$D$7&amp;BasicInput!$D$8&amp;"_"&amp;DG312&amp;".xuf"</f>
        <v>C:\PWWORKING\east01\d2591108\Ramps\__2019EX_PM_.xuf</v>
      </c>
    </row>
    <row r="313" spans="39:112" x14ac:dyDescent="0.2">
      <c r="AM313" s="18"/>
      <c r="AS313" s="18"/>
      <c r="AX313" s="17"/>
      <c r="BI313" s="18"/>
      <c r="BO313" s="18"/>
      <c r="BT313" s="18"/>
      <c r="CA313" s="18"/>
      <c r="CH313" s="18"/>
      <c r="DF313" s="31" t="str">
        <f t="shared" si="12"/>
        <v xml:space="preserve">  </v>
      </c>
      <c r="DG313" s="25" t="str">
        <f t="shared" si="13"/>
        <v/>
      </c>
      <c r="DH313" s="25" t="str">
        <f>BasicInput!$D$13&amp;$DH$2&amp;B313&amp;"_"&amp;C313&amp;D313&amp;"_"&amp;BasicInput!$D$7&amp;BasicInput!$D$8&amp;"_"&amp;DG313&amp;".xuf"</f>
        <v>C:\PWWORKING\east01\d2591108\Ramps\__2019EX_PM_.xuf</v>
      </c>
    </row>
    <row r="314" spans="39:112" x14ac:dyDescent="0.2">
      <c r="AM314" s="18"/>
      <c r="AS314" s="18"/>
      <c r="AX314" s="17"/>
      <c r="BI314" s="18"/>
      <c r="BO314" s="18"/>
      <c r="BT314" s="18"/>
      <c r="CA314" s="18"/>
      <c r="CH314" s="18"/>
      <c r="DF314" s="31" t="str">
        <f t="shared" si="12"/>
        <v xml:space="preserve">  </v>
      </c>
      <c r="DG314" s="25" t="str">
        <f t="shared" si="13"/>
        <v/>
      </c>
      <c r="DH314" s="25" t="str">
        <f>BasicInput!$D$13&amp;$DH$2&amp;B314&amp;"_"&amp;C314&amp;D314&amp;"_"&amp;BasicInput!$D$7&amp;BasicInput!$D$8&amp;"_"&amp;DG314&amp;".xuf"</f>
        <v>C:\PWWORKING\east01\d2591108\Ramps\__2019EX_PM_.xuf</v>
      </c>
    </row>
    <row r="315" spans="39:112" x14ac:dyDescent="0.2">
      <c r="AM315" s="18"/>
      <c r="AS315" s="18"/>
      <c r="AX315" s="17"/>
      <c r="BI315" s="18"/>
      <c r="BO315" s="18"/>
      <c r="BT315" s="18"/>
      <c r="CA315" s="18"/>
      <c r="CH315" s="18"/>
      <c r="DF315" s="31" t="str">
        <f t="shared" si="12"/>
        <v xml:space="preserve">  </v>
      </c>
      <c r="DG315" s="25" t="str">
        <f t="shared" si="13"/>
        <v/>
      </c>
      <c r="DH315" s="25" t="str">
        <f>BasicInput!$D$13&amp;$DH$2&amp;B315&amp;"_"&amp;C315&amp;D315&amp;"_"&amp;BasicInput!$D$7&amp;BasicInput!$D$8&amp;"_"&amp;DG315&amp;".xuf"</f>
        <v>C:\PWWORKING\east01\d2591108\Ramps\__2019EX_PM_.xuf</v>
      </c>
    </row>
    <row r="316" spans="39:112" x14ac:dyDescent="0.2">
      <c r="AM316" s="18"/>
      <c r="AS316" s="18"/>
      <c r="AX316" s="17"/>
      <c r="BI316" s="18"/>
      <c r="BO316" s="18"/>
      <c r="BT316" s="18"/>
      <c r="CA316" s="18"/>
      <c r="CH316" s="18"/>
      <c r="DF316" s="31" t="str">
        <f t="shared" si="12"/>
        <v xml:space="preserve">  </v>
      </c>
      <c r="DG316" s="25" t="str">
        <f t="shared" si="13"/>
        <v/>
      </c>
      <c r="DH316" s="25" t="str">
        <f>BasicInput!$D$13&amp;$DH$2&amp;B316&amp;"_"&amp;C316&amp;D316&amp;"_"&amp;BasicInput!$D$7&amp;BasicInput!$D$8&amp;"_"&amp;DG316&amp;".xuf"</f>
        <v>C:\PWWORKING\east01\d2591108\Ramps\__2019EX_PM_.xuf</v>
      </c>
    </row>
    <row r="317" spans="39:112" x14ac:dyDescent="0.2">
      <c r="AM317" s="18"/>
      <c r="AS317" s="18"/>
      <c r="AX317" s="17"/>
      <c r="BI317" s="18"/>
      <c r="BO317" s="18"/>
      <c r="BT317" s="18"/>
      <c r="CA317" s="18"/>
      <c r="CH317" s="18"/>
      <c r="DF317" s="31" t="str">
        <f t="shared" si="12"/>
        <v xml:space="preserve">  </v>
      </c>
      <c r="DG317" s="25" t="str">
        <f t="shared" si="13"/>
        <v/>
      </c>
      <c r="DH317" s="25" t="str">
        <f>BasicInput!$D$13&amp;$DH$2&amp;B317&amp;"_"&amp;C317&amp;D317&amp;"_"&amp;BasicInput!$D$7&amp;BasicInput!$D$8&amp;"_"&amp;DG317&amp;".xuf"</f>
        <v>C:\PWWORKING\east01\d2591108\Ramps\__2019EX_PM_.xuf</v>
      </c>
    </row>
    <row r="318" spans="39:112" x14ac:dyDescent="0.2">
      <c r="AM318" s="18"/>
      <c r="AS318" s="18"/>
      <c r="AX318" s="17"/>
      <c r="BI318" s="18"/>
      <c r="BO318" s="18"/>
      <c r="BT318" s="18"/>
      <c r="CA318" s="18"/>
      <c r="CH318" s="18"/>
      <c r="DF318" s="31" t="str">
        <f t="shared" si="12"/>
        <v xml:space="preserve">  </v>
      </c>
      <c r="DG318" s="25" t="str">
        <f t="shared" si="13"/>
        <v/>
      </c>
      <c r="DH318" s="25" t="str">
        <f>BasicInput!$D$13&amp;$DH$2&amp;B318&amp;"_"&amp;C318&amp;D318&amp;"_"&amp;BasicInput!$D$7&amp;BasicInput!$D$8&amp;"_"&amp;DG318&amp;".xuf"</f>
        <v>C:\PWWORKING\east01\d2591108\Ramps\__2019EX_PM_.xuf</v>
      </c>
    </row>
    <row r="319" spans="39:112" x14ac:dyDescent="0.2">
      <c r="AM319" s="18"/>
      <c r="AS319" s="18"/>
      <c r="AX319" s="17"/>
      <c r="BI319" s="18"/>
      <c r="BO319" s="18"/>
      <c r="BT319" s="18"/>
      <c r="CA319" s="18"/>
      <c r="CH319" s="18"/>
      <c r="DF319" s="31" t="str">
        <f t="shared" si="12"/>
        <v xml:space="preserve">  </v>
      </c>
      <c r="DG319" s="25" t="str">
        <f t="shared" si="13"/>
        <v/>
      </c>
      <c r="DH319" s="25" t="str">
        <f>BasicInput!$D$13&amp;$DH$2&amp;B319&amp;"_"&amp;C319&amp;D319&amp;"_"&amp;BasicInput!$D$7&amp;BasicInput!$D$8&amp;"_"&amp;DG319&amp;".xuf"</f>
        <v>C:\PWWORKING\east01\d2591108\Ramps\__2019EX_PM_.xuf</v>
      </c>
    </row>
    <row r="320" spans="39:112" x14ac:dyDescent="0.2">
      <c r="AM320" s="18"/>
      <c r="AS320" s="18"/>
      <c r="AX320" s="17"/>
      <c r="BI320" s="18"/>
      <c r="BO320" s="18"/>
      <c r="BT320" s="18"/>
      <c r="CA320" s="18"/>
      <c r="CH320" s="18"/>
      <c r="DF320" s="31" t="str">
        <f t="shared" si="12"/>
        <v xml:space="preserve">  </v>
      </c>
      <c r="DG320" s="25" t="str">
        <f t="shared" si="13"/>
        <v/>
      </c>
      <c r="DH320" s="25" t="str">
        <f>BasicInput!$D$13&amp;$DH$2&amp;B320&amp;"_"&amp;C320&amp;D320&amp;"_"&amp;BasicInput!$D$7&amp;BasicInput!$D$8&amp;"_"&amp;DG320&amp;".xuf"</f>
        <v>C:\PWWORKING\east01\d2591108\Ramps\__2019EX_PM_.xuf</v>
      </c>
    </row>
    <row r="321" spans="39:112" x14ac:dyDescent="0.2">
      <c r="AM321" s="18"/>
      <c r="AS321" s="18"/>
      <c r="AX321" s="17"/>
      <c r="BI321" s="18"/>
      <c r="BO321" s="18"/>
      <c r="BT321" s="18"/>
      <c r="CA321" s="18"/>
      <c r="CH321" s="18"/>
      <c r="DF321" s="31" t="str">
        <f t="shared" si="12"/>
        <v xml:space="preserve">  </v>
      </c>
      <c r="DG321" s="25" t="str">
        <f t="shared" si="13"/>
        <v/>
      </c>
      <c r="DH321" s="25" t="str">
        <f>BasicInput!$D$13&amp;$DH$2&amp;B321&amp;"_"&amp;C321&amp;D321&amp;"_"&amp;BasicInput!$D$7&amp;BasicInput!$D$8&amp;"_"&amp;DG321&amp;".xuf"</f>
        <v>C:\PWWORKING\east01\d2591108\Ramps\__2019EX_PM_.xuf</v>
      </c>
    </row>
    <row r="322" spans="39:112" x14ac:dyDescent="0.2">
      <c r="AM322" s="18"/>
      <c r="AS322" s="18"/>
      <c r="AX322" s="17"/>
      <c r="BI322" s="18"/>
      <c r="BO322" s="18"/>
      <c r="BT322" s="18"/>
      <c r="CA322" s="18"/>
      <c r="CH322" s="18"/>
      <c r="DF322" s="31" t="str">
        <f t="shared" si="12"/>
        <v xml:space="preserve">  </v>
      </c>
      <c r="DG322" s="25" t="str">
        <f t="shared" si="13"/>
        <v/>
      </c>
      <c r="DH322" s="25" t="str">
        <f>BasicInput!$D$13&amp;$DH$2&amp;B322&amp;"_"&amp;C322&amp;D322&amp;"_"&amp;BasicInput!$D$7&amp;BasicInput!$D$8&amp;"_"&amp;DG322&amp;".xuf"</f>
        <v>C:\PWWORKING\east01\d2591108\Ramps\__2019EX_PM_.xuf</v>
      </c>
    </row>
    <row r="323" spans="39:112" x14ac:dyDescent="0.2">
      <c r="AM323" s="18"/>
      <c r="AS323" s="18"/>
      <c r="AX323" s="17"/>
      <c r="BI323" s="18"/>
      <c r="BO323" s="18"/>
      <c r="BT323" s="18"/>
      <c r="CA323" s="18"/>
      <c r="CH323" s="18"/>
      <c r="DF323" s="31" t="str">
        <f t="shared" si="12"/>
        <v xml:space="preserve">  </v>
      </c>
      <c r="DG323" s="25" t="str">
        <f t="shared" si="13"/>
        <v/>
      </c>
      <c r="DH323" s="25" t="str">
        <f>BasicInput!$D$13&amp;$DH$2&amp;B323&amp;"_"&amp;C323&amp;D323&amp;"_"&amp;BasicInput!$D$7&amp;BasicInput!$D$8&amp;"_"&amp;DG323&amp;".xuf"</f>
        <v>C:\PWWORKING\east01\d2591108\Ramps\__2019EX_PM_.xuf</v>
      </c>
    </row>
    <row r="324" spans="39:112" x14ac:dyDescent="0.2">
      <c r="AM324" s="18"/>
      <c r="AS324" s="18"/>
      <c r="AX324" s="17"/>
      <c r="BI324" s="18"/>
      <c r="BO324" s="18"/>
      <c r="BT324" s="18"/>
      <c r="CA324" s="18"/>
      <c r="CH324" s="18"/>
      <c r="DF324" s="31" t="str">
        <f t="shared" si="12"/>
        <v xml:space="preserve">  </v>
      </c>
      <c r="DG324" s="25" t="str">
        <f t="shared" si="13"/>
        <v/>
      </c>
      <c r="DH324" s="25" t="str">
        <f>BasicInput!$D$13&amp;$DH$2&amp;B324&amp;"_"&amp;C324&amp;D324&amp;"_"&amp;BasicInput!$D$7&amp;BasicInput!$D$8&amp;"_"&amp;DG324&amp;".xuf"</f>
        <v>C:\PWWORKING\east01\d2591108\Ramps\__2019EX_PM_.xuf</v>
      </c>
    </row>
    <row r="325" spans="39:112" x14ac:dyDescent="0.2">
      <c r="AM325" s="18"/>
      <c r="AS325" s="18"/>
      <c r="AX325" s="17"/>
      <c r="BI325" s="18"/>
      <c r="BO325" s="18"/>
      <c r="BT325" s="18"/>
      <c r="CA325" s="18"/>
      <c r="CH325" s="18"/>
      <c r="DF325" s="31" t="str">
        <f t="shared" si="12"/>
        <v xml:space="preserve">  </v>
      </c>
      <c r="DG325" s="25" t="str">
        <f t="shared" si="13"/>
        <v/>
      </c>
      <c r="DH325" s="25" t="str">
        <f>BasicInput!$D$13&amp;$DH$2&amp;B325&amp;"_"&amp;C325&amp;D325&amp;"_"&amp;BasicInput!$D$7&amp;BasicInput!$D$8&amp;"_"&amp;DG325&amp;".xuf"</f>
        <v>C:\PWWORKING\east01\d2591108\Ramps\__2019EX_PM_.xuf</v>
      </c>
    </row>
    <row r="326" spans="39:112" x14ac:dyDescent="0.2">
      <c r="AM326" s="18"/>
      <c r="AS326" s="18"/>
      <c r="AX326" s="17"/>
      <c r="BI326" s="18"/>
      <c r="BO326" s="18"/>
      <c r="BT326" s="18"/>
      <c r="CA326" s="18"/>
      <c r="CH326" s="18"/>
      <c r="DF326" s="31" t="str">
        <f t="shared" si="12"/>
        <v xml:space="preserve">  </v>
      </c>
      <c r="DG326" s="25" t="str">
        <f t="shared" si="13"/>
        <v/>
      </c>
      <c r="DH326" s="25" t="str">
        <f>BasicInput!$D$13&amp;$DH$2&amp;B326&amp;"_"&amp;C326&amp;D326&amp;"_"&amp;BasicInput!$D$7&amp;BasicInput!$D$8&amp;"_"&amp;DG326&amp;".xuf"</f>
        <v>C:\PWWORKING\east01\d2591108\Ramps\__2019EX_PM_.xuf</v>
      </c>
    </row>
    <row r="327" spans="39:112" x14ac:dyDescent="0.2">
      <c r="AM327" s="18"/>
      <c r="AS327" s="18"/>
      <c r="AX327" s="17"/>
      <c r="BI327" s="18"/>
      <c r="BO327" s="18"/>
      <c r="BT327" s="18"/>
      <c r="CA327" s="18"/>
      <c r="CH327" s="18"/>
      <c r="DF327" s="31" t="str">
        <f t="shared" si="12"/>
        <v xml:space="preserve">  </v>
      </c>
      <c r="DG327" s="25" t="str">
        <f t="shared" si="13"/>
        <v/>
      </c>
      <c r="DH327" s="25" t="str">
        <f>BasicInput!$D$13&amp;$DH$2&amp;B327&amp;"_"&amp;C327&amp;D327&amp;"_"&amp;BasicInput!$D$7&amp;BasicInput!$D$8&amp;"_"&amp;DG327&amp;".xuf"</f>
        <v>C:\PWWORKING\east01\d2591108\Ramps\__2019EX_PM_.xuf</v>
      </c>
    </row>
    <row r="328" spans="39:112" x14ac:dyDescent="0.2">
      <c r="AM328" s="18"/>
      <c r="AS328" s="18"/>
      <c r="AX328" s="17"/>
      <c r="BI328" s="18"/>
      <c r="BO328" s="18"/>
      <c r="BT328" s="18"/>
      <c r="CA328" s="18"/>
      <c r="CH328" s="18"/>
      <c r="DF328" s="31" t="str">
        <f t="shared" si="12"/>
        <v xml:space="preserve">  </v>
      </c>
      <c r="DG328" s="25" t="str">
        <f t="shared" si="13"/>
        <v/>
      </c>
      <c r="DH328" s="25" t="str">
        <f>BasicInput!$D$13&amp;$DH$2&amp;B328&amp;"_"&amp;C328&amp;D328&amp;"_"&amp;BasicInput!$D$7&amp;BasicInput!$D$8&amp;"_"&amp;DG328&amp;".xuf"</f>
        <v>C:\PWWORKING\east01\d2591108\Ramps\__2019EX_PM_.xuf</v>
      </c>
    </row>
    <row r="329" spans="39:112" x14ac:dyDescent="0.2">
      <c r="AM329" s="18"/>
      <c r="AS329" s="18"/>
      <c r="AX329" s="17"/>
      <c r="BI329" s="18"/>
      <c r="BO329" s="18"/>
      <c r="BT329" s="18"/>
      <c r="CA329" s="18"/>
      <c r="CH329" s="18"/>
      <c r="DF329" s="31" t="str">
        <f t="shared" si="12"/>
        <v xml:space="preserve">  </v>
      </c>
      <c r="DG329" s="25" t="str">
        <f t="shared" si="13"/>
        <v/>
      </c>
      <c r="DH329" s="25" t="str">
        <f>BasicInput!$D$13&amp;$DH$2&amp;B329&amp;"_"&amp;C329&amp;D329&amp;"_"&amp;BasicInput!$D$7&amp;BasicInput!$D$8&amp;"_"&amp;DG329&amp;".xuf"</f>
        <v>C:\PWWORKING\east01\d2591108\Ramps\__2019EX_PM_.xuf</v>
      </c>
    </row>
    <row r="330" spans="39:112" x14ac:dyDescent="0.2">
      <c r="AM330" s="18"/>
      <c r="AS330" s="18"/>
      <c r="AX330" s="17"/>
      <c r="BI330" s="18"/>
      <c r="BO330" s="18"/>
      <c r="BT330" s="18"/>
      <c r="CA330" s="18"/>
      <c r="CH330" s="18"/>
      <c r="DF330" s="31" t="str">
        <f t="shared" si="12"/>
        <v xml:space="preserve">  </v>
      </c>
      <c r="DG330" s="25" t="str">
        <f t="shared" si="13"/>
        <v/>
      </c>
      <c r="DH330" s="25" t="str">
        <f>BasicInput!$D$13&amp;$DH$2&amp;B330&amp;"_"&amp;C330&amp;D330&amp;"_"&amp;BasicInput!$D$7&amp;BasicInput!$D$8&amp;"_"&amp;DG330&amp;".xuf"</f>
        <v>C:\PWWORKING\east01\d2591108\Ramps\__2019EX_PM_.xuf</v>
      </c>
    </row>
    <row r="331" spans="39:112" x14ac:dyDescent="0.2">
      <c r="AM331" s="18"/>
      <c r="AS331" s="18"/>
      <c r="AX331" s="17"/>
      <c r="BI331" s="18"/>
      <c r="BO331" s="18"/>
      <c r="BT331" s="18"/>
      <c r="CA331" s="18"/>
      <c r="CH331" s="18"/>
      <c r="DF331" s="31" t="str">
        <f t="shared" si="12"/>
        <v xml:space="preserve">  </v>
      </c>
      <c r="DG331" s="25" t="str">
        <f t="shared" si="13"/>
        <v/>
      </c>
      <c r="DH331" s="25" t="str">
        <f>BasicInput!$D$13&amp;$DH$2&amp;B331&amp;"_"&amp;C331&amp;D331&amp;"_"&amp;BasicInput!$D$7&amp;BasicInput!$D$8&amp;"_"&amp;DG331&amp;".xuf"</f>
        <v>C:\PWWORKING\east01\d2591108\Ramps\__2019EX_PM_.xuf</v>
      </c>
    </row>
    <row r="332" spans="39:112" x14ac:dyDescent="0.2">
      <c r="AM332" s="18"/>
      <c r="AS332" s="18"/>
      <c r="AX332" s="17"/>
      <c r="BI332" s="18"/>
      <c r="BO332" s="18"/>
      <c r="BT332" s="18"/>
      <c r="CA332" s="18"/>
      <c r="CH332" s="18"/>
      <c r="DF332" s="31" t="str">
        <f t="shared" si="12"/>
        <v xml:space="preserve">  </v>
      </c>
      <c r="DG332" s="25" t="str">
        <f t="shared" si="13"/>
        <v/>
      </c>
      <c r="DH332" s="25" t="str">
        <f>BasicInput!$D$13&amp;$DH$2&amp;B332&amp;"_"&amp;C332&amp;D332&amp;"_"&amp;BasicInput!$D$7&amp;BasicInput!$D$8&amp;"_"&amp;DG332&amp;".xuf"</f>
        <v>C:\PWWORKING\east01\d2591108\Ramps\__2019EX_PM_.xuf</v>
      </c>
    </row>
    <row r="333" spans="39:112" x14ac:dyDescent="0.2">
      <c r="AM333" s="18"/>
      <c r="AS333" s="18"/>
      <c r="AX333" s="17"/>
      <c r="BI333" s="18"/>
      <c r="BO333" s="18"/>
      <c r="BT333" s="18"/>
      <c r="CA333" s="18"/>
      <c r="CH333" s="18"/>
      <c r="DF333" s="31" t="str">
        <f t="shared" si="12"/>
        <v xml:space="preserve">  </v>
      </c>
      <c r="DG333" s="25" t="str">
        <f t="shared" si="13"/>
        <v/>
      </c>
      <c r="DH333" s="25" t="str">
        <f>BasicInput!$D$13&amp;$DH$2&amp;B333&amp;"_"&amp;C333&amp;D333&amp;"_"&amp;BasicInput!$D$7&amp;BasicInput!$D$8&amp;"_"&amp;DG333&amp;".xuf"</f>
        <v>C:\PWWORKING\east01\d2591108\Ramps\__2019EX_PM_.xuf</v>
      </c>
    </row>
    <row r="334" spans="39:112" x14ac:dyDescent="0.2">
      <c r="AM334" s="18"/>
      <c r="AS334" s="18"/>
      <c r="AX334" s="17"/>
      <c r="BI334" s="18"/>
      <c r="BO334" s="18"/>
      <c r="BT334" s="18"/>
      <c r="CA334" s="18"/>
      <c r="CH334" s="18"/>
      <c r="DF334" s="31" t="str">
        <f t="shared" si="12"/>
        <v xml:space="preserve">  </v>
      </c>
      <c r="DG334" s="25" t="str">
        <f t="shared" si="13"/>
        <v/>
      </c>
      <c r="DH334" s="25" t="str">
        <f>BasicInput!$D$13&amp;$DH$2&amp;B334&amp;"_"&amp;C334&amp;D334&amp;"_"&amp;BasicInput!$D$7&amp;BasicInput!$D$8&amp;"_"&amp;DG334&amp;".xuf"</f>
        <v>C:\PWWORKING\east01\d2591108\Ramps\__2019EX_PM_.xuf</v>
      </c>
    </row>
    <row r="335" spans="39:112" x14ac:dyDescent="0.2">
      <c r="AM335" s="18"/>
      <c r="AS335" s="18"/>
      <c r="AX335" s="17"/>
      <c r="BI335" s="18"/>
      <c r="BO335" s="18"/>
      <c r="BT335" s="18"/>
      <c r="CA335" s="18"/>
      <c r="CH335" s="18"/>
      <c r="DF335" s="31" t="str">
        <f t="shared" si="12"/>
        <v xml:space="preserve">  </v>
      </c>
      <c r="DG335" s="25" t="str">
        <f t="shared" si="13"/>
        <v/>
      </c>
      <c r="DH335" s="25" t="str">
        <f>BasicInput!$D$13&amp;$DH$2&amp;B335&amp;"_"&amp;C335&amp;D335&amp;"_"&amp;BasicInput!$D$7&amp;BasicInput!$D$8&amp;"_"&amp;DG335&amp;".xuf"</f>
        <v>C:\PWWORKING\east01\d2591108\Ramps\__2019EX_PM_.xuf</v>
      </c>
    </row>
    <row r="336" spans="39:112" x14ac:dyDescent="0.2">
      <c r="AM336" s="18"/>
      <c r="AS336" s="18"/>
      <c r="AX336" s="17"/>
      <c r="BI336" s="18"/>
      <c r="BO336" s="18"/>
      <c r="BT336" s="18"/>
      <c r="CA336" s="18"/>
      <c r="CH336" s="18"/>
      <c r="DF336" s="31" t="str">
        <f t="shared" si="12"/>
        <v xml:space="preserve">  </v>
      </c>
      <c r="DG336" s="25" t="str">
        <f t="shared" si="13"/>
        <v/>
      </c>
      <c r="DH336" s="25" t="str">
        <f>BasicInput!$D$13&amp;$DH$2&amp;B336&amp;"_"&amp;C336&amp;D336&amp;"_"&amp;BasicInput!$D$7&amp;BasicInput!$D$8&amp;"_"&amp;DG336&amp;".xuf"</f>
        <v>C:\PWWORKING\east01\d2591108\Ramps\__2019EX_PM_.xuf</v>
      </c>
    </row>
    <row r="337" spans="39:112" x14ac:dyDescent="0.2">
      <c r="AM337" s="18"/>
      <c r="AS337" s="18"/>
      <c r="AX337" s="17"/>
      <c r="BI337" s="18"/>
      <c r="BO337" s="18"/>
      <c r="BT337" s="18"/>
      <c r="CA337" s="18"/>
      <c r="CH337" s="18"/>
      <c r="DF337" s="31" t="str">
        <f t="shared" ref="DF337:DF400" si="14">C337&amp; " "&amp;D337&amp;" " &amp;E337</f>
        <v xml:space="preserve">  </v>
      </c>
      <c r="DG337" s="25" t="str">
        <f t="shared" ref="DG337:DG400" si="15">SUBSTITUTE(E337, "/", "_")</f>
        <v/>
      </c>
      <c r="DH337" s="25" t="str">
        <f>BasicInput!$D$13&amp;$DH$2&amp;B337&amp;"_"&amp;C337&amp;D337&amp;"_"&amp;BasicInput!$D$7&amp;BasicInput!$D$8&amp;"_"&amp;DG337&amp;".xuf"</f>
        <v>C:\PWWORKING\east01\d2591108\Ramps\__2019EX_PM_.xuf</v>
      </c>
    </row>
    <row r="338" spans="39:112" x14ac:dyDescent="0.2">
      <c r="AM338" s="18"/>
      <c r="AS338" s="18"/>
      <c r="AX338" s="17"/>
      <c r="BI338" s="18"/>
      <c r="BO338" s="18"/>
      <c r="BT338" s="18"/>
      <c r="CA338" s="18"/>
      <c r="CH338" s="18"/>
      <c r="DF338" s="31" t="str">
        <f t="shared" si="14"/>
        <v xml:space="preserve">  </v>
      </c>
      <c r="DG338" s="25" t="str">
        <f t="shared" si="15"/>
        <v/>
      </c>
      <c r="DH338" s="25" t="str">
        <f>BasicInput!$D$13&amp;$DH$2&amp;B338&amp;"_"&amp;C338&amp;D338&amp;"_"&amp;BasicInput!$D$7&amp;BasicInput!$D$8&amp;"_"&amp;DG338&amp;".xuf"</f>
        <v>C:\PWWORKING\east01\d2591108\Ramps\__2019EX_PM_.xuf</v>
      </c>
    </row>
    <row r="339" spans="39:112" x14ac:dyDescent="0.2">
      <c r="AM339" s="18"/>
      <c r="AS339" s="18"/>
      <c r="AX339" s="17"/>
      <c r="BI339" s="18"/>
      <c r="BO339" s="18"/>
      <c r="BT339" s="18"/>
      <c r="CA339" s="18"/>
      <c r="CH339" s="18"/>
      <c r="DF339" s="31" t="str">
        <f t="shared" si="14"/>
        <v xml:space="preserve">  </v>
      </c>
      <c r="DG339" s="25" t="str">
        <f t="shared" si="15"/>
        <v/>
      </c>
      <c r="DH339" s="25" t="str">
        <f>BasicInput!$D$13&amp;$DH$2&amp;B339&amp;"_"&amp;C339&amp;D339&amp;"_"&amp;BasicInput!$D$7&amp;BasicInput!$D$8&amp;"_"&amp;DG339&amp;".xuf"</f>
        <v>C:\PWWORKING\east01\d2591108\Ramps\__2019EX_PM_.xuf</v>
      </c>
    </row>
    <row r="340" spans="39:112" x14ac:dyDescent="0.2">
      <c r="AM340" s="18"/>
      <c r="AS340" s="18"/>
      <c r="AX340" s="17"/>
      <c r="BI340" s="18"/>
      <c r="BO340" s="18"/>
      <c r="BT340" s="18"/>
      <c r="CA340" s="18"/>
      <c r="CH340" s="18"/>
      <c r="DF340" s="31" t="str">
        <f t="shared" si="14"/>
        <v xml:space="preserve">  </v>
      </c>
      <c r="DG340" s="25" t="str">
        <f t="shared" si="15"/>
        <v/>
      </c>
      <c r="DH340" s="25" t="str">
        <f>BasicInput!$D$13&amp;$DH$2&amp;B340&amp;"_"&amp;C340&amp;D340&amp;"_"&amp;BasicInput!$D$7&amp;BasicInput!$D$8&amp;"_"&amp;DG340&amp;".xuf"</f>
        <v>C:\PWWORKING\east01\d2591108\Ramps\__2019EX_PM_.xuf</v>
      </c>
    </row>
    <row r="341" spans="39:112" x14ac:dyDescent="0.2">
      <c r="AM341" s="18"/>
      <c r="AS341" s="18"/>
      <c r="AX341" s="17"/>
      <c r="BI341" s="18"/>
      <c r="BO341" s="18"/>
      <c r="BT341" s="18"/>
      <c r="CA341" s="18"/>
      <c r="CH341" s="18"/>
      <c r="DF341" s="31" t="str">
        <f t="shared" si="14"/>
        <v xml:space="preserve">  </v>
      </c>
      <c r="DG341" s="25" t="str">
        <f t="shared" si="15"/>
        <v/>
      </c>
      <c r="DH341" s="25" t="str">
        <f>BasicInput!$D$13&amp;$DH$2&amp;B341&amp;"_"&amp;C341&amp;D341&amp;"_"&amp;BasicInput!$D$7&amp;BasicInput!$D$8&amp;"_"&amp;DG341&amp;".xuf"</f>
        <v>C:\PWWORKING\east01\d2591108\Ramps\__2019EX_PM_.xuf</v>
      </c>
    </row>
    <row r="342" spans="39:112" x14ac:dyDescent="0.2">
      <c r="AM342" s="18"/>
      <c r="AS342" s="18"/>
      <c r="AX342" s="17"/>
      <c r="BI342" s="18"/>
      <c r="BO342" s="18"/>
      <c r="BT342" s="18"/>
      <c r="CA342" s="18"/>
      <c r="CH342" s="18"/>
      <c r="DF342" s="31" t="str">
        <f t="shared" si="14"/>
        <v xml:space="preserve">  </v>
      </c>
      <c r="DG342" s="25" t="str">
        <f t="shared" si="15"/>
        <v/>
      </c>
      <c r="DH342" s="25" t="str">
        <f>BasicInput!$D$13&amp;$DH$2&amp;B342&amp;"_"&amp;C342&amp;D342&amp;"_"&amp;BasicInput!$D$7&amp;BasicInput!$D$8&amp;"_"&amp;DG342&amp;".xuf"</f>
        <v>C:\PWWORKING\east01\d2591108\Ramps\__2019EX_PM_.xuf</v>
      </c>
    </row>
    <row r="343" spans="39:112" x14ac:dyDescent="0.2">
      <c r="AM343" s="18"/>
      <c r="AS343" s="18"/>
      <c r="AX343" s="17"/>
      <c r="BI343" s="18"/>
      <c r="BO343" s="18"/>
      <c r="BT343" s="18"/>
      <c r="CA343" s="18"/>
      <c r="CH343" s="18"/>
      <c r="DF343" s="31" t="str">
        <f t="shared" si="14"/>
        <v xml:space="preserve">  </v>
      </c>
      <c r="DG343" s="25" t="str">
        <f t="shared" si="15"/>
        <v/>
      </c>
      <c r="DH343" s="25" t="str">
        <f>BasicInput!$D$13&amp;$DH$2&amp;B343&amp;"_"&amp;C343&amp;D343&amp;"_"&amp;BasicInput!$D$7&amp;BasicInput!$D$8&amp;"_"&amp;DG343&amp;".xuf"</f>
        <v>C:\PWWORKING\east01\d2591108\Ramps\__2019EX_PM_.xuf</v>
      </c>
    </row>
    <row r="344" spans="39:112" x14ac:dyDescent="0.2">
      <c r="AM344" s="18"/>
      <c r="AS344" s="18"/>
      <c r="AX344" s="17"/>
      <c r="BI344" s="18"/>
      <c r="BO344" s="18"/>
      <c r="BT344" s="18"/>
      <c r="CA344" s="18"/>
      <c r="CH344" s="18"/>
      <c r="DF344" s="31" t="str">
        <f t="shared" si="14"/>
        <v xml:space="preserve">  </v>
      </c>
      <c r="DG344" s="25" t="str">
        <f t="shared" si="15"/>
        <v/>
      </c>
      <c r="DH344" s="25" t="str">
        <f>BasicInput!$D$13&amp;$DH$2&amp;B344&amp;"_"&amp;C344&amp;D344&amp;"_"&amp;BasicInput!$D$7&amp;BasicInput!$D$8&amp;"_"&amp;DG344&amp;".xuf"</f>
        <v>C:\PWWORKING\east01\d2591108\Ramps\__2019EX_PM_.xuf</v>
      </c>
    </row>
    <row r="345" spans="39:112" x14ac:dyDescent="0.2">
      <c r="AM345" s="18"/>
      <c r="AS345" s="18"/>
      <c r="AX345" s="17"/>
      <c r="BI345" s="18"/>
      <c r="BO345" s="18"/>
      <c r="BT345" s="18"/>
      <c r="CA345" s="18"/>
      <c r="CH345" s="18"/>
      <c r="DF345" s="31" t="str">
        <f t="shared" si="14"/>
        <v xml:space="preserve">  </v>
      </c>
      <c r="DG345" s="25" t="str">
        <f t="shared" si="15"/>
        <v/>
      </c>
      <c r="DH345" s="25" t="str">
        <f>BasicInput!$D$13&amp;$DH$2&amp;B345&amp;"_"&amp;C345&amp;D345&amp;"_"&amp;BasicInput!$D$7&amp;BasicInput!$D$8&amp;"_"&amp;DG345&amp;".xuf"</f>
        <v>C:\PWWORKING\east01\d2591108\Ramps\__2019EX_PM_.xuf</v>
      </c>
    </row>
    <row r="346" spans="39:112" x14ac:dyDescent="0.2">
      <c r="AM346" s="18"/>
      <c r="AS346" s="18"/>
      <c r="AX346" s="17"/>
      <c r="BI346" s="18"/>
      <c r="BO346" s="18"/>
      <c r="BT346" s="18"/>
      <c r="CA346" s="18"/>
      <c r="CH346" s="18"/>
      <c r="DF346" s="31" t="str">
        <f t="shared" si="14"/>
        <v xml:space="preserve">  </v>
      </c>
      <c r="DG346" s="25" t="str">
        <f t="shared" si="15"/>
        <v/>
      </c>
      <c r="DH346" s="25" t="str">
        <f>BasicInput!$D$13&amp;$DH$2&amp;B346&amp;"_"&amp;C346&amp;D346&amp;"_"&amp;BasicInput!$D$7&amp;BasicInput!$D$8&amp;"_"&amp;DG346&amp;".xuf"</f>
        <v>C:\PWWORKING\east01\d2591108\Ramps\__2019EX_PM_.xuf</v>
      </c>
    </row>
    <row r="347" spans="39:112" x14ac:dyDescent="0.2">
      <c r="AM347" s="18"/>
      <c r="AS347" s="18"/>
      <c r="AX347" s="17"/>
      <c r="BI347" s="18"/>
      <c r="BO347" s="18"/>
      <c r="BT347" s="18"/>
      <c r="CA347" s="18"/>
      <c r="CH347" s="18"/>
      <c r="DF347" s="31" t="str">
        <f t="shared" si="14"/>
        <v xml:space="preserve">  </v>
      </c>
      <c r="DG347" s="25" t="str">
        <f t="shared" si="15"/>
        <v/>
      </c>
      <c r="DH347" s="25" t="str">
        <f>BasicInput!$D$13&amp;$DH$2&amp;B347&amp;"_"&amp;C347&amp;D347&amp;"_"&amp;BasicInput!$D$7&amp;BasicInput!$D$8&amp;"_"&amp;DG347&amp;".xuf"</f>
        <v>C:\PWWORKING\east01\d2591108\Ramps\__2019EX_PM_.xuf</v>
      </c>
    </row>
    <row r="348" spans="39:112" x14ac:dyDescent="0.2">
      <c r="AM348" s="18"/>
      <c r="AS348" s="18"/>
      <c r="AX348" s="17"/>
      <c r="BI348" s="18"/>
      <c r="BO348" s="18"/>
      <c r="BT348" s="18"/>
      <c r="CA348" s="18"/>
      <c r="CH348" s="18"/>
      <c r="DF348" s="31" t="str">
        <f t="shared" si="14"/>
        <v xml:space="preserve">  </v>
      </c>
      <c r="DG348" s="25" t="str">
        <f t="shared" si="15"/>
        <v/>
      </c>
      <c r="DH348" s="25" t="str">
        <f>BasicInput!$D$13&amp;$DH$2&amp;B348&amp;"_"&amp;C348&amp;D348&amp;"_"&amp;BasicInput!$D$7&amp;BasicInput!$D$8&amp;"_"&amp;DG348&amp;".xuf"</f>
        <v>C:\PWWORKING\east01\d2591108\Ramps\__2019EX_PM_.xuf</v>
      </c>
    </row>
    <row r="349" spans="39:112" x14ac:dyDescent="0.2">
      <c r="AM349" s="18"/>
      <c r="AS349" s="18"/>
      <c r="AX349" s="17"/>
      <c r="BI349" s="18"/>
      <c r="BO349" s="18"/>
      <c r="BT349" s="18"/>
      <c r="CA349" s="18"/>
      <c r="CH349" s="18"/>
      <c r="DF349" s="31" t="str">
        <f t="shared" si="14"/>
        <v xml:space="preserve">  </v>
      </c>
      <c r="DG349" s="25" t="str">
        <f t="shared" si="15"/>
        <v/>
      </c>
      <c r="DH349" s="25" t="str">
        <f>BasicInput!$D$13&amp;$DH$2&amp;B349&amp;"_"&amp;C349&amp;D349&amp;"_"&amp;BasicInput!$D$7&amp;BasicInput!$D$8&amp;"_"&amp;DG349&amp;".xuf"</f>
        <v>C:\PWWORKING\east01\d2591108\Ramps\__2019EX_PM_.xuf</v>
      </c>
    </row>
    <row r="350" spans="39:112" x14ac:dyDescent="0.2">
      <c r="AM350" s="18"/>
      <c r="AS350" s="18"/>
      <c r="AX350" s="17"/>
      <c r="BI350" s="18"/>
      <c r="BO350" s="18"/>
      <c r="BT350" s="18"/>
      <c r="CA350" s="18"/>
      <c r="CH350" s="18"/>
      <c r="DF350" s="31" t="str">
        <f t="shared" si="14"/>
        <v xml:space="preserve">  </v>
      </c>
      <c r="DG350" s="25" t="str">
        <f t="shared" si="15"/>
        <v/>
      </c>
      <c r="DH350" s="25" t="str">
        <f>BasicInput!$D$13&amp;$DH$2&amp;B350&amp;"_"&amp;C350&amp;D350&amp;"_"&amp;BasicInput!$D$7&amp;BasicInput!$D$8&amp;"_"&amp;DG350&amp;".xuf"</f>
        <v>C:\PWWORKING\east01\d2591108\Ramps\__2019EX_PM_.xuf</v>
      </c>
    </row>
    <row r="351" spans="39:112" x14ac:dyDescent="0.2">
      <c r="AM351" s="18"/>
      <c r="AS351" s="18"/>
      <c r="AX351" s="17"/>
      <c r="BI351" s="18"/>
      <c r="BO351" s="18"/>
      <c r="BT351" s="18"/>
      <c r="CA351" s="18"/>
      <c r="CH351" s="18"/>
      <c r="DF351" s="31" t="str">
        <f t="shared" si="14"/>
        <v xml:space="preserve">  </v>
      </c>
      <c r="DG351" s="25" t="str">
        <f t="shared" si="15"/>
        <v/>
      </c>
      <c r="DH351" s="25" t="str">
        <f>BasicInput!$D$13&amp;$DH$2&amp;B351&amp;"_"&amp;C351&amp;D351&amp;"_"&amp;BasicInput!$D$7&amp;BasicInput!$D$8&amp;"_"&amp;DG351&amp;".xuf"</f>
        <v>C:\PWWORKING\east01\d2591108\Ramps\__2019EX_PM_.xuf</v>
      </c>
    </row>
    <row r="352" spans="39:112" x14ac:dyDescent="0.2">
      <c r="AM352" s="18"/>
      <c r="AS352" s="18"/>
      <c r="AX352" s="17"/>
      <c r="BI352" s="18"/>
      <c r="BO352" s="18"/>
      <c r="BT352" s="18"/>
      <c r="CA352" s="18"/>
      <c r="CH352" s="18"/>
      <c r="DF352" s="31" t="str">
        <f t="shared" si="14"/>
        <v xml:space="preserve">  </v>
      </c>
      <c r="DG352" s="25" t="str">
        <f t="shared" si="15"/>
        <v/>
      </c>
      <c r="DH352" s="25" t="str">
        <f>BasicInput!$D$13&amp;$DH$2&amp;B352&amp;"_"&amp;C352&amp;D352&amp;"_"&amp;BasicInput!$D$7&amp;BasicInput!$D$8&amp;"_"&amp;DG352&amp;".xuf"</f>
        <v>C:\PWWORKING\east01\d2591108\Ramps\__2019EX_PM_.xuf</v>
      </c>
    </row>
    <row r="353" spans="39:112" x14ac:dyDescent="0.2">
      <c r="AM353" s="18"/>
      <c r="AS353" s="18"/>
      <c r="AX353" s="17"/>
      <c r="BI353" s="18"/>
      <c r="BO353" s="18"/>
      <c r="BT353" s="18"/>
      <c r="CA353" s="18"/>
      <c r="CH353" s="18"/>
      <c r="DF353" s="31" t="str">
        <f t="shared" si="14"/>
        <v xml:space="preserve">  </v>
      </c>
      <c r="DG353" s="25" t="str">
        <f t="shared" si="15"/>
        <v/>
      </c>
      <c r="DH353" s="25" t="str">
        <f>BasicInput!$D$13&amp;$DH$2&amp;B353&amp;"_"&amp;C353&amp;D353&amp;"_"&amp;BasicInput!$D$7&amp;BasicInput!$D$8&amp;"_"&amp;DG353&amp;".xuf"</f>
        <v>C:\PWWORKING\east01\d2591108\Ramps\__2019EX_PM_.xuf</v>
      </c>
    </row>
    <row r="354" spans="39:112" x14ac:dyDescent="0.2">
      <c r="AM354" s="18"/>
      <c r="AS354" s="18"/>
      <c r="AX354" s="17"/>
      <c r="BI354" s="18"/>
      <c r="BO354" s="18"/>
      <c r="BT354" s="18"/>
      <c r="CA354" s="18"/>
      <c r="CH354" s="18"/>
      <c r="DF354" s="31" t="str">
        <f t="shared" si="14"/>
        <v xml:space="preserve">  </v>
      </c>
      <c r="DG354" s="25" t="str">
        <f t="shared" si="15"/>
        <v/>
      </c>
      <c r="DH354" s="25" t="str">
        <f>BasicInput!$D$13&amp;$DH$2&amp;B354&amp;"_"&amp;C354&amp;D354&amp;"_"&amp;BasicInput!$D$7&amp;BasicInput!$D$8&amp;"_"&amp;DG354&amp;".xuf"</f>
        <v>C:\PWWORKING\east01\d2591108\Ramps\__2019EX_PM_.xuf</v>
      </c>
    </row>
    <row r="355" spans="39:112" x14ac:dyDescent="0.2">
      <c r="AM355" s="18"/>
      <c r="AS355" s="18"/>
      <c r="AX355" s="17"/>
      <c r="BI355" s="18"/>
      <c r="BO355" s="18"/>
      <c r="BT355" s="18"/>
      <c r="CA355" s="18"/>
      <c r="CH355" s="18"/>
      <c r="DF355" s="31" t="str">
        <f t="shared" si="14"/>
        <v xml:space="preserve">  </v>
      </c>
      <c r="DG355" s="25" t="str">
        <f t="shared" si="15"/>
        <v/>
      </c>
      <c r="DH355" s="25" t="str">
        <f>BasicInput!$D$13&amp;$DH$2&amp;B355&amp;"_"&amp;C355&amp;D355&amp;"_"&amp;BasicInput!$D$7&amp;BasicInput!$D$8&amp;"_"&amp;DG355&amp;".xuf"</f>
        <v>C:\PWWORKING\east01\d2591108\Ramps\__2019EX_PM_.xuf</v>
      </c>
    </row>
    <row r="356" spans="39:112" x14ac:dyDescent="0.2">
      <c r="AM356" s="18"/>
      <c r="AS356" s="18"/>
      <c r="AX356" s="17"/>
      <c r="BI356" s="18"/>
      <c r="BO356" s="18"/>
      <c r="BT356" s="18"/>
      <c r="CA356" s="18"/>
      <c r="CH356" s="18"/>
      <c r="DF356" s="31" t="str">
        <f t="shared" si="14"/>
        <v xml:space="preserve">  </v>
      </c>
      <c r="DG356" s="25" t="str">
        <f t="shared" si="15"/>
        <v/>
      </c>
      <c r="DH356" s="25" t="str">
        <f>BasicInput!$D$13&amp;$DH$2&amp;B356&amp;"_"&amp;C356&amp;D356&amp;"_"&amp;BasicInput!$D$7&amp;BasicInput!$D$8&amp;"_"&amp;DG356&amp;".xuf"</f>
        <v>C:\PWWORKING\east01\d2591108\Ramps\__2019EX_PM_.xuf</v>
      </c>
    </row>
    <row r="357" spans="39:112" x14ac:dyDescent="0.2">
      <c r="AM357" s="18"/>
      <c r="AS357" s="18"/>
      <c r="AX357" s="17"/>
      <c r="BI357" s="18"/>
      <c r="BO357" s="18"/>
      <c r="BT357" s="18"/>
      <c r="CA357" s="18"/>
      <c r="CH357" s="18"/>
      <c r="DF357" s="31" t="str">
        <f t="shared" si="14"/>
        <v xml:space="preserve">  </v>
      </c>
      <c r="DG357" s="25" t="str">
        <f t="shared" si="15"/>
        <v/>
      </c>
      <c r="DH357" s="25" t="str">
        <f>BasicInput!$D$13&amp;$DH$2&amp;B357&amp;"_"&amp;C357&amp;D357&amp;"_"&amp;BasicInput!$D$7&amp;BasicInput!$D$8&amp;"_"&amp;DG357&amp;".xuf"</f>
        <v>C:\PWWORKING\east01\d2591108\Ramps\__2019EX_PM_.xuf</v>
      </c>
    </row>
    <row r="358" spans="39:112" x14ac:dyDescent="0.2">
      <c r="AM358" s="18"/>
      <c r="AS358" s="18"/>
      <c r="AX358" s="17"/>
      <c r="BI358" s="18"/>
      <c r="BO358" s="18"/>
      <c r="BT358" s="18"/>
      <c r="CA358" s="18"/>
      <c r="CH358" s="18"/>
      <c r="DF358" s="31" t="str">
        <f t="shared" si="14"/>
        <v xml:space="preserve">  </v>
      </c>
      <c r="DG358" s="25" t="str">
        <f t="shared" si="15"/>
        <v/>
      </c>
      <c r="DH358" s="25" t="str">
        <f>BasicInput!$D$13&amp;$DH$2&amp;B358&amp;"_"&amp;C358&amp;D358&amp;"_"&amp;BasicInput!$D$7&amp;BasicInput!$D$8&amp;"_"&amp;DG358&amp;".xuf"</f>
        <v>C:\PWWORKING\east01\d2591108\Ramps\__2019EX_PM_.xuf</v>
      </c>
    </row>
    <row r="359" spans="39:112" x14ac:dyDescent="0.2">
      <c r="AM359" s="18"/>
      <c r="AS359" s="18"/>
      <c r="AX359" s="17"/>
      <c r="BI359" s="18"/>
      <c r="BO359" s="18"/>
      <c r="BT359" s="18"/>
      <c r="CA359" s="18"/>
      <c r="CH359" s="18"/>
      <c r="DF359" s="31" t="str">
        <f t="shared" si="14"/>
        <v xml:space="preserve">  </v>
      </c>
      <c r="DG359" s="25" t="str">
        <f t="shared" si="15"/>
        <v/>
      </c>
      <c r="DH359" s="25" t="str">
        <f>BasicInput!$D$13&amp;$DH$2&amp;B359&amp;"_"&amp;C359&amp;D359&amp;"_"&amp;BasicInput!$D$7&amp;BasicInput!$D$8&amp;"_"&amp;DG359&amp;".xuf"</f>
        <v>C:\PWWORKING\east01\d2591108\Ramps\__2019EX_PM_.xuf</v>
      </c>
    </row>
    <row r="360" spans="39:112" x14ac:dyDescent="0.2">
      <c r="AM360" s="18"/>
      <c r="AS360" s="18"/>
      <c r="AX360" s="17"/>
      <c r="BI360" s="18"/>
      <c r="BO360" s="18"/>
      <c r="BT360" s="18"/>
      <c r="CA360" s="18"/>
      <c r="CH360" s="18"/>
      <c r="DF360" s="31" t="str">
        <f t="shared" si="14"/>
        <v xml:space="preserve">  </v>
      </c>
      <c r="DG360" s="25" t="str">
        <f t="shared" si="15"/>
        <v/>
      </c>
      <c r="DH360" s="25" t="str">
        <f>BasicInput!$D$13&amp;$DH$2&amp;B360&amp;"_"&amp;C360&amp;D360&amp;"_"&amp;BasicInput!$D$7&amp;BasicInput!$D$8&amp;"_"&amp;DG360&amp;".xuf"</f>
        <v>C:\PWWORKING\east01\d2591108\Ramps\__2019EX_PM_.xuf</v>
      </c>
    </row>
    <row r="361" spans="39:112" x14ac:dyDescent="0.2">
      <c r="AM361" s="18"/>
      <c r="AS361" s="18"/>
      <c r="AX361" s="17"/>
      <c r="BI361" s="18"/>
      <c r="BO361" s="18"/>
      <c r="BT361" s="18"/>
      <c r="CA361" s="18"/>
      <c r="CH361" s="18"/>
      <c r="DF361" s="31" t="str">
        <f t="shared" si="14"/>
        <v xml:space="preserve">  </v>
      </c>
      <c r="DG361" s="25" t="str">
        <f t="shared" si="15"/>
        <v/>
      </c>
      <c r="DH361" s="25" t="str">
        <f>BasicInput!$D$13&amp;$DH$2&amp;B361&amp;"_"&amp;C361&amp;D361&amp;"_"&amp;BasicInput!$D$7&amp;BasicInput!$D$8&amp;"_"&amp;DG361&amp;".xuf"</f>
        <v>C:\PWWORKING\east01\d2591108\Ramps\__2019EX_PM_.xuf</v>
      </c>
    </row>
    <row r="362" spans="39:112" x14ac:dyDescent="0.2">
      <c r="AM362" s="18"/>
      <c r="AS362" s="18"/>
      <c r="AX362" s="17"/>
      <c r="BI362" s="18"/>
      <c r="BO362" s="18"/>
      <c r="BT362" s="18"/>
      <c r="CA362" s="18"/>
      <c r="CH362" s="18"/>
      <c r="DF362" s="31" t="str">
        <f t="shared" si="14"/>
        <v xml:space="preserve">  </v>
      </c>
      <c r="DG362" s="25" t="str">
        <f t="shared" si="15"/>
        <v/>
      </c>
      <c r="DH362" s="25" t="str">
        <f>BasicInput!$D$13&amp;$DH$2&amp;B362&amp;"_"&amp;C362&amp;D362&amp;"_"&amp;BasicInput!$D$7&amp;BasicInput!$D$8&amp;"_"&amp;DG362&amp;".xuf"</f>
        <v>C:\PWWORKING\east01\d2591108\Ramps\__2019EX_PM_.xuf</v>
      </c>
    </row>
    <row r="363" spans="39:112" x14ac:dyDescent="0.2">
      <c r="AM363" s="18"/>
      <c r="AS363" s="18"/>
      <c r="AX363" s="17"/>
      <c r="BI363" s="18"/>
      <c r="BO363" s="18"/>
      <c r="BT363" s="18"/>
      <c r="CA363" s="18"/>
      <c r="CH363" s="18"/>
      <c r="DF363" s="31" t="str">
        <f t="shared" si="14"/>
        <v xml:space="preserve">  </v>
      </c>
      <c r="DG363" s="25" t="str">
        <f t="shared" si="15"/>
        <v/>
      </c>
      <c r="DH363" s="25" t="str">
        <f>BasicInput!$D$13&amp;$DH$2&amp;B363&amp;"_"&amp;C363&amp;D363&amp;"_"&amp;BasicInput!$D$7&amp;BasicInput!$D$8&amp;"_"&amp;DG363&amp;".xuf"</f>
        <v>C:\PWWORKING\east01\d2591108\Ramps\__2019EX_PM_.xuf</v>
      </c>
    </row>
    <row r="364" spans="39:112" x14ac:dyDescent="0.2">
      <c r="AM364" s="18"/>
      <c r="AS364" s="18"/>
      <c r="AX364" s="17"/>
      <c r="BI364" s="18"/>
      <c r="BO364" s="18"/>
      <c r="BT364" s="18"/>
      <c r="CA364" s="18"/>
      <c r="CH364" s="18"/>
      <c r="DF364" s="31" t="str">
        <f t="shared" si="14"/>
        <v xml:space="preserve">  </v>
      </c>
      <c r="DG364" s="25" t="str">
        <f t="shared" si="15"/>
        <v/>
      </c>
      <c r="DH364" s="25" t="str">
        <f>BasicInput!$D$13&amp;$DH$2&amp;B364&amp;"_"&amp;C364&amp;D364&amp;"_"&amp;BasicInput!$D$7&amp;BasicInput!$D$8&amp;"_"&amp;DG364&amp;".xuf"</f>
        <v>C:\PWWORKING\east01\d2591108\Ramps\__2019EX_PM_.xuf</v>
      </c>
    </row>
    <row r="365" spans="39:112" x14ac:dyDescent="0.2">
      <c r="AM365" s="18"/>
      <c r="AS365" s="18"/>
      <c r="AX365" s="17"/>
      <c r="BI365" s="18"/>
      <c r="BO365" s="18"/>
      <c r="BT365" s="18"/>
      <c r="CA365" s="18"/>
      <c r="CH365" s="18"/>
      <c r="DF365" s="31" t="str">
        <f t="shared" si="14"/>
        <v xml:space="preserve">  </v>
      </c>
      <c r="DG365" s="25" t="str">
        <f t="shared" si="15"/>
        <v/>
      </c>
      <c r="DH365" s="25" t="str">
        <f>BasicInput!$D$13&amp;$DH$2&amp;B365&amp;"_"&amp;C365&amp;D365&amp;"_"&amp;BasicInput!$D$7&amp;BasicInput!$D$8&amp;"_"&amp;DG365&amp;".xuf"</f>
        <v>C:\PWWORKING\east01\d2591108\Ramps\__2019EX_PM_.xuf</v>
      </c>
    </row>
    <row r="366" spans="39:112" x14ac:dyDescent="0.2">
      <c r="AM366" s="18"/>
      <c r="AS366" s="18"/>
      <c r="AX366" s="17"/>
      <c r="BI366" s="18"/>
      <c r="BO366" s="18"/>
      <c r="BT366" s="18"/>
      <c r="CA366" s="18"/>
      <c r="CH366" s="18"/>
      <c r="DF366" s="31" t="str">
        <f t="shared" si="14"/>
        <v xml:space="preserve">  </v>
      </c>
      <c r="DG366" s="25" t="str">
        <f t="shared" si="15"/>
        <v/>
      </c>
      <c r="DH366" s="25" t="str">
        <f>BasicInput!$D$13&amp;$DH$2&amp;B366&amp;"_"&amp;C366&amp;D366&amp;"_"&amp;BasicInput!$D$7&amp;BasicInput!$D$8&amp;"_"&amp;DG366&amp;".xuf"</f>
        <v>C:\PWWORKING\east01\d2591108\Ramps\__2019EX_PM_.xuf</v>
      </c>
    </row>
    <row r="367" spans="39:112" x14ac:dyDescent="0.2">
      <c r="AM367" s="18"/>
      <c r="AS367" s="18"/>
      <c r="AX367" s="17"/>
      <c r="BI367" s="18"/>
      <c r="BO367" s="18"/>
      <c r="BT367" s="18"/>
      <c r="CA367" s="18"/>
      <c r="CH367" s="18"/>
      <c r="DF367" s="31" t="str">
        <f t="shared" si="14"/>
        <v xml:space="preserve">  </v>
      </c>
      <c r="DG367" s="25" t="str">
        <f t="shared" si="15"/>
        <v/>
      </c>
      <c r="DH367" s="25" t="str">
        <f>BasicInput!$D$13&amp;$DH$2&amp;B367&amp;"_"&amp;C367&amp;D367&amp;"_"&amp;BasicInput!$D$7&amp;BasicInput!$D$8&amp;"_"&amp;DG367&amp;".xuf"</f>
        <v>C:\PWWORKING\east01\d2591108\Ramps\__2019EX_PM_.xuf</v>
      </c>
    </row>
    <row r="368" spans="39:112" x14ac:dyDescent="0.2">
      <c r="AM368" s="18"/>
      <c r="AS368" s="18"/>
      <c r="AX368" s="17"/>
      <c r="BI368" s="18"/>
      <c r="BO368" s="18"/>
      <c r="BT368" s="18"/>
      <c r="CA368" s="18"/>
      <c r="CH368" s="18"/>
      <c r="DF368" s="31" t="str">
        <f t="shared" si="14"/>
        <v xml:space="preserve">  </v>
      </c>
      <c r="DG368" s="25" t="str">
        <f t="shared" si="15"/>
        <v/>
      </c>
      <c r="DH368" s="25" t="str">
        <f>BasicInput!$D$13&amp;$DH$2&amp;B368&amp;"_"&amp;C368&amp;D368&amp;"_"&amp;BasicInput!$D$7&amp;BasicInput!$D$8&amp;"_"&amp;DG368&amp;".xuf"</f>
        <v>C:\PWWORKING\east01\d2591108\Ramps\__2019EX_PM_.xuf</v>
      </c>
    </row>
    <row r="369" spans="39:112" x14ac:dyDescent="0.2">
      <c r="AM369" s="18"/>
      <c r="AS369" s="18"/>
      <c r="AX369" s="17"/>
      <c r="BI369" s="18"/>
      <c r="BO369" s="18"/>
      <c r="BT369" s="18"/>
      <c r="CA369" s="18"/>
      <c r="CH369" s="18"/>
      <c r="DF369" s="31" t="str">
        <f t="shared" si="14"/>
        <v xml:space="preserve">  </v>
      </c>
      <c r="DG369" s="25" t="str">
        <f t="shared" si="15"/>
        <v/>
      </c>
      <c r="DH369" s="25" t="str">
        <f>BasicInput!$D$13&amp;$DH$2&amp;B369&amp;"_"&amp;C369&amp;D369&amp;"_"&amp;BasicInput!$D$7&amp;BasicInput!$D$8&amp;"_"&amp;DG369&amp;".xuf"</f>
        <v>C:\PWWORKING\east01\d2591108\Ramps\__2019EX_PM_.xuf</v>
      </c>
    </row>
    <row r="370" spans="39:112" x14ac:dyDescent="0.2">
      <c r="AM370" s="18"/>
      <c r="AS370" s="18"/>
      <c r="AX370" s="17"/>
      <c r="BI370" s="18"/>
      <c r="BO370" s="18"/>
      <c r="BT370" s="18"/>
      <c r="CA370" s="18"/>
      <c r="CH370" s="18"/>
      <c r="DF370" s="31" t="str">
        <f t="shared" si="14"/>
        <v xml:space="preserve">  </v>
      </c>
      <c r="DG370" s="25" t="str">
        <f t="shared" si="15"/>
        <v/>
      </c>
      <c r="DH370" s="25" t="str">
        <f>BasicInput!$D$13&amp;$DH$2&amp;B370&amp;"_"&amp;C370&amp;D370&amp;"_"&amp;BasicInput!$D$7&amp;BasicInput!$D$8&amp;"_"&amp;DG370&amp;".xuf"</f>
        <v>C:\PWWORKING\east01\d2591108\Ramps\__2019EX_PM_.xuf</v>
      </c>
    </row>
    <row r="371" spans="39:112" x14ac:dyDescent="0.2">
      <c r="AM371" s="18"/>
      <c r="AS371" s="18"/>
      <c r="AX371" s="17"/>
      <c r="BI371" s="18"/>
      <c r="BO371" s="18"/>
      <c r="BT371" s="18"/>
      <c r="CA371" s="18"/>
      <c r="CH371" s="18"/>
      <c r="DF371" s="31" t="str">
        <f t="shared" si="14"/>
        <v xml:space="preserve">  </v>
      </c>
      <c r="DG371" s="25" t="str">
        <f t="shared" si="15"/>
        <v/>
      </c>
      <c r="DH371" s="25" t="str">
        <f>BasicInput!$D$13&amp;$DH$2&amp;B371&amp;"_"&amp;C371&amp;D371&amp;"_"&amp;BasicInput!$D$7&amp;BasicInput!$D$8&amp;"_"&amp;DG371&amp;".xuf"</f>
        <v>C:\PWWORKING\east01\d2591108\Ramps\__2019EX_PM_.xuf</v>
      </c>
    </row>
    <row r="372" spans="39:112" x14ac:dyDescent="0.2">
      <c r="AM372" s="18"/>
      <c r="AS372" s="18"/>
      <c r="AX372" s="17"/>
      <c r="BI372" s="18"/>
      <c r="BO372" s="18"/>
      <c r="BT372" s="18"/>
      <c r="CA372" s="18"/>
      <c r="CH372" s="18"/>
      <c r="DF372" s="31" t="str">
        <f t="shared" si="14"/>
        <v xml:space="preserve">  </v>
      </c>
      <c r="DG372" s="25" t="str">
        <f t="shared" si="15"/>
        <v/>
      </c>
      <c r="DH372" s="25" t="str">
        <f>BasicInput!$D$13&amp;$DH$2&amp;B372&amp;"_"&amp;C372&amp;D372&amp;"_"&amp;BasicInput!$D$7&amp;BasicInput!$D$8&amp;"_"&amp;DG372&amp;".xuf"</f>
        <v>C:\PWWORKING\east01\d2591108\Ramps\__2019EX_PM_.xuf</v>
      </c>
    </row>
    <row r="373" spans="39:112" x14ac:dyDescent="0.2">
      <c r="AM373" s="18"/>
      <c r="AS373" s="18"/>
      <c r="AX373" s="17"/>
      <c r="BI373" s="18"/>
      <c r="BO373" s="18"/>
      <c r="BT373" s="18"/>
      <c r="CA373" s="18"/>
      <c r="CH373" s="18"/>
      <c r="DF373" s="31" t="str">
        <f t="shared" si="14"/>
        <v xml:space="preserve">  </v>
      </c>
      <c r="DG373" s="25" t="str">
        <f t="shared" si="15"/>
        <v/>
      </c>
      <c r="DH373" s="25" t="str">
        <f>BasicInput!$D$13&amp;$DH$2&amp;B373&amp;"_"&amp;C373&amp;D373&amp;"_"&amp;BasicInput!$D$7&amp;BasicInput!$D$8&amp;"_"&amp;DG373&amp;".xuf"</f>
        <v>C:\PWWORKING\east01\d2591108\Ramps\__2019EX_PM_.xuf</v>
      </c>
    </row>
    <row r="374" spans="39:112" x14ac:dyDescent="0.2">
      <c r="AM374" s="18"/>
      <c r="AS374" s="18"/>
      <c r="AX374" s="17"/>
      <c r="BI374" s="18"/>
      <c r="BO374" s="18"/>
      <c r="BT374" s="18"/>
      <c r="CA374" s="18"/>
      <c r="CH374" s="18"/>
      <c r="DF374" s="31" t="str">
        <f t="shared" si="14"/>
        <v xml:space="preserve">  </v>
      </c>
      <c r="DG374" s="25" t="str">
        <f t="shared" si="15"/>
        <v/>
      </c>
      <c r="DH374" s="25" t="str">
        <f>BasicInput!$D$13&amp;$DH$2&amp;B374&amp;"_"&amp;C374&amp;D374&amp;"_"&amp;BasicInput!$D$7&amp;BasicInput!$D$8&amp;"_"&amp;DG374&amp;".xuf"</f>
        <v>C:\PWWORKING\east01\d2591108\Ramps\__2019EX_PM_.xuf</v>
      </c>
    </row>
    <row r="375" spans="39:112" x14ac:dyDescent="0.2">
      <c r="AM375" s="18"/>
      <c r="AS375" s="18"/>
      <c r="AX375" s="17"/>
      <c r="BI375" s="18"/>
      <c r="BO375" s="18"/>
      <c r="BT375" s="18"/>
      <c r="CA375" s="18"/>
      <c r="CH375" s="18"/>
      <c r="DF375" s="31" t="str">
        <f t="shared" si="14"/>
        <v xml:space="preserve">  </v>
      </c>
      <c r="DG375" s="25" t="str">
        <f t="shared" si="15"/>
        <v/>
      </c>
      <c r="DH375" s="25" t="str">
        <f>BasicInput!$D$13&amp;$DH$2&amp;B375&amp;"_"&amp;C375&amp;D375&amp;"_"&amp;BasicInput!$D$7&amp;BasicInput!$D$8&amp;"_"&amp;DG375&amp;".xuf"</f>
        <v>C:\PWWORKING\east01\d2591108\Ramps\__2019EX_PM_.xuf</v>
      </c>
    </row>
    <row r="376" spans="39:112" x14ac:dyDescent="0.2">
      <c r="AM376" s="18"/>
      <c r="AS376" s="18"/>
      <c r="AX376" s="17"/>
      <c r="BI376" s="18"/>
      <c r="BO376" s="18"/>
      <c r="BT376" s="18"/>
      <c r="CA376" s="18"/>
      <c r="CH376" s="18"/>
      <c r="DF376" s="31" t="str">
        <f t="shared" si="14"/>
        <v xml:space="preserve">  </v>
      </c>
      <c r="DG376" s="25" t="str">
        <f t="shared" si="15"/>
        <v/>
      </c>
      <c r="DH376" s="25" t="str">
        <f>BasicInput!$D$13&amp;$DH$2&amp;B376&amp;"_"&amp;C376&amp;D376&amp;"_"&amp;BasicInput!$D$7&amp;BasicInput!$D$8&amp;"_"&amp;DG376&amp;".xuf"</f>
        <v>C:\PWWORKING\east01\d2591108\Ramps\__2019EX_PM_.xuf</v>
      </c>
    </row>
    <row r="377" spans="39:112" x14ac:dyDescent="0.2">
      <c r="AM377" s="18"/>
      <c r="AS377" s="18"/>
      <c r="AX377" s="17"/>
      <c r="BI377" s="18"/>
      <c r="BO377" s="18"/>
      <c r="BT377" s="18"/>
      <c r="CA377" s="18"/>
      <c r="CH377" s="18"/>
      <c r="DF377" s="31" t="str">
        <f t="shared" si="14"/>
        <v xml:space="preserve">  </v>
      </c>
      <c r="DG377" s="25" t="str">
        <f t="shared" si="15"/>
        <v/>
      </c>
      <c r="DH377" s="25" t="str">
        <f>BasicInput!$D$13&amp;$DH$2&amp;B377&amp;"_"&amp;C377&amp;D377&amp;"_"&amp;BasicInput!$D$7&amp;BasicInput!$D$8&amp;"_"&amp;DG377&amp;".xuf"</f>
        <v>C:\PWWORKING\east01\d2591108\Ramps\__2019EX_PM_.xuf</v>
      </c>
    </row>
    <row r="378" spans="39:112" x14ac:dyDescent="0.2">
      <c r="AM378" s="18"/>
      <c r="AS378" s="18"/>
      <c r="AX378" s="17"/>
      <c r="BI378" s="18"/>
      <c r="BO378" s="18"/>
      <c r="BT378" s="18"/>
      <c r="CA378" s="18"/>
      <c r="CH378" s="18"/>
      <c r="DF378" s="31" t="str">
        <f t="shared" si="14"/>
        <v xml:space="preserve">  </v>
      </c>
      <c r="DG378" s="25" t="str">
        <f t="shared" si="15"/>
        <v/>
      </c>
      <c r="DH378" s="25" t="str">
        <f>BasicInput!$D$13&amp;$DH$2&amp;B378&amp;"_"&amp;C378&amp;D378&amp;"_"&amp;BasicInput!$D$7&amp;BasicInput!$D$8&amp;"_"&amp;DG378&amp;".xuf"</f>
        <v>C:\PWWORKING\east01\d2591108\Ramps\__2019EX_PM_.xuf</v>
      </c>
    </row>
    <row r="379" spans="39:112" x14ac:dyDescent="0.2">
      <c r="AM379" s="18"/>
      <c r="AS379" s="18"/>
      <c r="AX379" s="17"/>
      <c r="BI379" s="18"/>
      <c r="BO379" s="18"/>
      <c r="BT379" s="18"/>
      <c r="CA379" s="18"/>
      <c r="CH379" s="18"/>
      <c r="DF379" s="31" t="str">
        <f t="shared" si="14"/>
        <v xml:space="preserve">  </v>
      </c>
      <c r="DG379" s="25" t="str">
        <f t="shared" si="15"/>
        <v/>
      </c>
      <c r="DH379" s="25" t="str">
        <f>BasicInput!$D$13&amp;$DH$2&amp;B379&amp;"_"&amp;C379&amp;D379&amp;"_"&amp;BasicInput!$D$7&amp;BasicInput!$D$8&amp;"_"&amp;DG379&amp;".xuf"</f>
        <v>C:\PWWORKING\east01\d2591108\Ramps\__2019EX_PM_.xuf</v>
      </c>
    </row>
    <row r="380" spans="39:112" x14ac:dyDescent="0.2">
      <c r="AM380" s="18"/>
      <c r="AS380" s="18"/>
      <c r="AX380" s="17"/>
      <c r="BI380" s="18"/>
      <c r="BO380" s="18"/>
      <c r="BT380" s="18"/>
      <c r="CA380" s="18"/>
      <c r="CH380" s="18"/>
      <c r="DF380" s="31" t="str">
        <f t="shared" si="14"/>
        <v xml:space="preserve">  </v>
      </c>
      <c r="DG380" s="25" t="str">
        <f t="shared" si="15"/>
        <v/>
      </c>
      <c r="DH380" s="25" t="str">
        <f>BasicInput!$D$13&amp;$DH$2&amp;B380&amp;"_"&amp;C380&amp;D380&amp;"_"&amp;BasicInput!$D$7&amp;BasicInput!$D$8&amp;"_"&amp;DG380&amp;".xuf"</f>
        <v>C:\PWWORKING\east01\d2591108\Ramps\__2019EX_PM_.xuf</v>
      </c>
    </row>
    <row r="381" spans="39:112" x14ac:dyDescent="0.2">
      <c r="AM381" s="18"/>
      <c r="AS381" s="18"/>
      <c r="AX381" s="17"/>
      <c r="BI381" s="18"/>
      <c r="BO381" s="18"/>
      <c r="BT381" s="18"/>
      <c r="CA381" s="18"/>
      <c r="CH381" s="18"/>
      <c r="DF381" s="31" t="str">
        <f t="shared" si="14"/>
        <v xml:space="preserve">  </v>
      </c>
      <c r="DG381" s="25" t="str">
        <f t="shared" si="15"/>
        <v/>
      </c>
      <c r="DH381" s="25" t="str">
        <f>BasicInput!$D$13&amp;$DH$2&amp;B381&amp;"_"&amp;C381&amp;D381&amp;"_"&amp;BasicInput!$D$7&amp;BasicInput!$D$8&amp;"_"&amp;DG381&amp;".xuf"</f>
        <v>C:\PWWORKING\east01\d2591108\Ramps\__2019EX_PM_.xuf</v>
      </c>
    </row>
    <row r="382" spans="39:112" x14ac:dyDescent="0.2">
      <c r="AM382" s="18"/>
      <c r="AS382" s="18"/>
      <c r="AX382" s="17"/>
      <c r="BI382" s="18"/>
      <c r="BO382" s="18"/>
      <c r="BT382" s="18"/>
      <c r="CA382" s="18"/>
      <c r="CH382" s="18"/>
      <c r="DF382" s="31" t="str">
        <f t="shared" si="14"/>
        <v xml:space="preserve">  </v>
      </c>
      <c r="DG382" s="25" t="str">
        <f t="shared" si="15"/>
        <v/>
      </c>
      <c r="DH382" s="25" t="str">
        <f>BasicInput!$D$13&amp;$DH$2&amp;B382&amp;"_"&amp;C382&amp;D382&amp;"_"&amp;BasicInput!$D$7&amp;BasicInput!$D$8&amp;"_"&amp;DG382&amp;".xuf"</f>
        <v>C:\PWWORKING\east01\d2591108\Ramps\__2019EX_PM_.xuf</v>
      </c>
    </row>
    <row r="383" spans="39:112" x14ac:dyDescent="0.2">
      <c r="AM383" s="18"/>
      <c r="AS383" s="18"/>
      <c r="AX383" s="17"/>
      <c r="BI383" s="18"/>
      <c r="BO383" s="18"/>
      <c r="BT383" s="18"/>
      <c r="CA383" s="18"/>
      <c r="CH383" s="18"/>
      <c r="DF383" s="31" t="str">
        <f t="shared" si="14"/>
        <v xml:space="preserve">  </v>
      </c>
      <c r="DG383" s="25" t="str">
        <f t="shared" si="15"/>
        <v/>
      </c>
      <c r="DH383" s="25" t="str">
        <f>BasicInput!$D$13&amp;$DH$2&amp;B383&amp;"_"&amp;C383&amp;D383&amp;"_"&amp;BasicInput!$D$7&amp;BasicInput!$D$8&amp;"_"&amp;DG383&amp;".xuf"</f>
        <v>C:\PWWORKING\east01\d2591108\Ramps\__2019EX_PM_.xuf</v>
      </c>
    </row>
    <row r="384" spans="39:112" x14ac:dyDescent="0.2">
      <c r="AM384" s="18"/>
      <c r="AS384" s="18"/>
      <c r="AX384" s="17"/>
      <c r="BI384" s="18"/>
      <c r="BO384" s="18"/>
      <c r="BT384" s="18"/>
      <c r="CA384" s="18"/>
      <c r="CH384" s="18"/>
      <c r="DF384" s="31" t="str">
        <f t="shared" si="14"/>
        <v xml:space="preserve">  </v>
      </c>
      <c r="DG384" s="25" t="str">
        <f t="shared" si="15"/>
        <v/>
      </c>
      <c r="DH384" s="25" t="str">
        <f>BasicInput!$D$13&amp;$DH$2&amp;B384&amp;"_"&amp;C384&amp;D384&amp;"_"&amp;BasicInput!$D$7&amp;BasicInput!$D$8&amp;"_"&amp;DG384&amp;".xuf"</f>
        <v>C:\PWWORKING\east01\d2591108\Ramps\__2019EX_PM_.xuf</v>
      </c>
    </row>
    <row r="385" spans="39:112" x14ac:dyDescent="0.2">
      <c r="AM385" s="18"/>
      <c r="AS385" s="18"/>
      <c r="AX385" s="17"/>
      <c r="BI385" s="18"/>
      <c r="BO385" s="18"/>
      <c r="BT385" s="18"/>
      <c r="CA385" s="18"/>
      <c r="CH385" s="18"/>
      <c r="DF385" s="31" t="str">
        <f t="shared" si="14"/>
        <v xml:space="preserve">  </v>
      </c>
      <c r="DG385" s="25" t="str">
        <f t="shared" si="15"/>
        <v/>
      </c>
      <c r="DH385" s="25" t="str">
        <f>BasicInput!$D$13&amp;$DH$2&amp;B385&amp;"_"&amp;C385&amp;D385&amp;"_"&amp;BasicInput!$D$7&amp;BasicInput!$D$8&amp;"_"&amp;DG385&amp;".xuf"</f>
        <v>C:\PWWORKING\east01\d2591108\Ramps\__2019EX_PM_.xuf</v>
      </c>
    </row>
    <row r="386" spans="39:112" x14ac:dyDescent="0.2">
      <c r="AM386" s="18"/>
      <c r="AS386" s="18"/>
      <c r="AX386" s="17"/>
      <c r="BI386" s="18"/>
      <c r="BO386" s="18"/>
      <c r="BT386" s="18"/>
      <c r="CA386" s="18"/>
      <c r="CH386" s="18"/>
      <c r="DF386" s="31" t="str">
        <f t="shared" si="14"/>
        <v xml:space="preserve">  </v>
      </c>
      <c r="DG386" s="25" t="str">
        <f t="shared" si="15"/>
        <v/>
      </c>
      <c r="DH386" s="25" t="str">
        <f>BasicInput!$D$13&amp;$DH$2&amp;B386&amp;"_"&amp;C386&amp;D386&amp;"_"&amp;BasicInput!$D$7&amp;BasicInput!$D$8&amp;"_"&amp;DG386&amp;".xuf"</f>
        <v>C:\PWWORKING\east01\d2591108\Ramps\__2019EX_PM_.xuf</v>
      </c>
    </row>
    <row r="387" spans="39:112" x14ac:dyDescent="0.2">
      <c r="AM387" s="18"/>
      <c r="AS387" s="18"/>
      <c r="AX387" s="17"/>
      <c r="BI387" s="18"/>
      <c r="BO387" s="18"/>
      <c r="BT387" s="18"/>
      <c r="CA387" s="18"/>
      <c r="CH387" s="18"/>
      <c r="DF387" s="31" t="str">
        <f t="shared" si="14"/>
        <v xml:space="preserve">  </v>
      </c>
      <c r="DG387" s="25" t="str">
        <f t="shared" si="15"/>
        <v/>
      </c>
      <c r="DH387" s="25" t="str">
        <f>BasicInput!$D$13&amp;$DH$2&amp;B387&amp;"_"&amp;C387&amp;D387&amp;"_"&amp;BasicInput!$D$7&amp;BasicInput!$D$8&amp;"_"&amp;DG387&amp;".xuf"</f>
        <v>C:\PWWORKING\east01\d2591108\Ramps\__2019EX_PM_.xuf</v>
      </c>
    </row>
    <row r="388" spans="39:112" x14ac:dyDescent="0.2">
      <c r="AM388" s="18"/>
      <c r="AS388" s="18"/>
      <c r="AX388" s="17"/>
      <c r="BI388" s="18"/>
      <c r="BO388" s="18"/>
      <c r="BT388" s="18"/>
      <c r="CA388" s="18"/>
      <c r="CH388" s="18"/>
      <c r="DF388" s="31" t="str">
        <f t="shared" si="14"/>
        <v xml:space="preserve">  </v>
      </c>
      <c r="DG388" s="25" t="str">
        <f t="shared" si="15"/>
        <v/>
      </c>
      <c r="DH388" s="25" t="str">
        <f>BasicInput!$D$13&amp;$DH$2&amp;B388&amp;"_"&amp;C388&amp;D388&amp;"_"&amp;BasicInput!$D$7&amp;BasicInput!$D$8&amp;"_"&amp;DG388&amp;".xuf"</f>
        <v>C:\PWWORKING\east01\d2591108\Ramps\__2019EX_PM_.xuf</v>
      </c>
    </row>
    <row r="389" spans="39:112" x14ac:dyDescent="0.2">
      <c r="AM389" s="18"/>
      <c r="AS389" s="18"/>
      <c r="AX389" s="17"/>
      <c r="BI389" s="18"/>
      <c r="BO389" s="18"/>
      <c r="BT389" s="18"/>
      <c r="CA389" s="18"/>
      <c r="CH389" s="18"/>
      <c r="DF389" s="31" t="str">
        <f t="shared" si="14"/>
        <v xml:space="preserve">  </v>
      </c>
      <c r="DG389" s="25" t="str">
        <f t="shared" si="15"/>
        <v/>
      </c>
      <c r="DH389" s="25" t="str">
        <f>BasicInput!$D$13&amp;$DH$2&amp;B389&amp;"_"&amp;C389&amp;D389&amp;"_"&amp;BasicInput!$D$7&amp;BasicInput!$D$8&amp;"_"&amp;DG389&amp;".xuf"</f>
        <v>C:\PWWORKING\east01\d2591108\Ramps\__2019EX_PM_.xuf</v>
      </c>
    </row>
    <row r="390" spans="39:112" x14ac:dyDescent="0.2">
      <c r="AM390" s="18"/>
      <c r="AS390" s="18"/>
      <c r="AX390" s="17"/>
      <c r="BI390" s="18"/>
      <c r="BO390" s="18"/>
      <c r="BT390" s="18"/>
      <c r="CA390" s="18"/>
      <c r="CH390" s="18"/>
      <c r="DF390" s="31" t="str">
        <f t="shared" si="14"/>
        <v xml:space="preserve">  </v>
      </c>
      <c r="DG390" s="25" t="str">
        <f t="shared" si="15"/>
        <v/>
      </c>
      <c r="DH390" s="25" t="str">
        <f>BasicInput!$D$13&amp;$DH$2&amp;B390&amp;"_"&amp;C390&amp;D390&amp;"_"&amp;BasicInput!$D$7&amp;BasicInput!$D$8&amp;"_"&amp;DG390&amp;".xuf"</f>
        <v>C:\PWWORKING\east01\d2591108\Ramps\__2019EX_PM_.xuf</v>
      </c>
    </row>
    <row r="391" spans="39:112" x14ac:dyDescent="0.2">
      <c r="AM391" s="18"/>
      <c r="AS391" s="18"/>
      <c r="AX391" s="17"/>
      <c r="BI391" s="18"/>
      <c r="BO391" s="18"/>
      <c r="BT391" s="18"/>
      <c r="CA391" s="18"/>
      <c r="CH391" s="18"/>
      <c r="DF391" s="31" t="str">
        <f t="shared" si="14"/>
        <v xml:space="preserve">  </v>
      </c>
      <c r="DG391" s="25" t="str">
        <f t="shared" si="15"/>
        <v/>
      </c>
      <c r="DH391" s="25" t="str">
        <f>BasicInput!$D$13&amp;$DH$2&amp;B391&amp;"_"&amp;C391&amp;D391&amp;"_"&amp;BasicInput!$D$7&amp;BasicInput!$D$8&amp;"_"&amp;DG391&amp;".xuf"</f>
        <v>C:\PWWORKING\east01\d2591108\Ramps\__2019EX_PM_.xuf</v>
      </c>
    </row>
    <row r="392" spans="39:112" x14ac:dyDescent="0.2">
      <c r="AM392" s="18"/>
      <c r="AS392" s="18"/>
      <c r="AX392" s="17"/>
      <c r="BI392" s="18"/>
      <c r="BO392" s="18"/>
      <c r="BT392" s="18"/>
      <c r="CA392" s="18"/>
      <c r="CH392" s="18"/>
      <c r="DF392" s="31" t="str">
        <f t="shared" si="14"/>
        <v xml:space="preserve">  </v>
      </c>
      <c r="DG392" s="25" t="str">
        <f t="shared" si="15"/>
        <v/>
      </c>
      <c r="DH392" s="25" t="str">
        <f>BasicInput!$D$13&amp;$DH$2&amp;B392&amp;"_"&amp;C392&amp;D392&amp;"_"&amp;BasicInput!$D$7&amp;BasicInput!$D$8&amp;"_"&amp;DG392&amp;".xuf"</f>
        <v>C:\PWWORKING\east01\d2591108\Ramps\__2019EX_PM_.xuf</v>
      </c>
    </row>
    <row r="393" spans="39:112" x14ac:dyDescent="0.2">
      <c r="AM393" s="18"/>
      <c r="AS393" s="18"/>
      <c r="AX393" s="17"/>
      <c r="BI393" s="18"/>
      <c r="BO393" s="18"/>
      <c r="BT393" s="18"/>
      <c r="CA393" s="18"/>
      <c r="CH393" s="18"/>
      <c r="DF393" s="31" t="str">
        <f t="shared" si="14"/>
        <v xml:space="preserve">  </v>
      </c>
      <c r="DG393" s="25" t="str">
        <f t="shared" si="15"/>
        <v/>
      </c>
      <c r="DH393" s="25" t="str">
        <f>BasicInput!$D$13&amp;$DH$2&amp;B393&amp;"_"&amp;C393&amp;D393&amp;"_"&amp;BasicInput!$D$7&amp;BasicInput!$D$8&amp;"_"&amp;DG393&amp;".xuf"</f>
        <v>C:\PWWORKING\east01\d2591108\Ramps\__2019EX_PM_.xuf</v>
      </c>
    </row>
    <row r="394" spans="39:112" x14ac:dyDescent="0.2">
      <c r="AM394" s="18"/>
      <c r="AS394" s="18"/>
      <c r="AX394" s="17"/>
      <c r="BI394" s="18"/>
      <c r="BO394" s="18"/>
      <c r="BT394" s="18"/>
      <c r="CA394" s="18"/>
      <c r="CH394" s="18"/>
      <c r="DF394" s="31" t="str">
        <f t="shared" si="14"/>
        <v xml:space="preserve">  </v>
      </c>
      <c r="DG394" s="25" t="str">
        <f t="shared" si="15"/>
        <v/>
      </c>
      <c r="DH394" s="25" t="str">
        <f>BasicInput!$D$13&amp;$DH$2&amp;B394&amp;"_"&amp;C394&amp;D394&amp;"_"&amp;BasicInput!$D$7&amp;BasicInput!$D$8&amp;"_"&amp;DG394&amp;".xuf"</f>
        <v>C:\PWWORKING\east01\d2591108\Ramps\__2019EX_PM_.xuf</v>
      </c>
    </row>
    <row r="395" spans="39:112" x14ac:dyDescent="0.2">
      <c r="AM395" s="18"/>
      <c r="AS395" s="18"/>
      <c r="AX395" s="17"/>
      <c r="BI395" s="18"/>
      <c r="BO395" s="18"/>
      <c r="BT395" s="18"/>
      <c r="CA395" s="18"/>
      <c r="CH395" s="18"/>
      <c r="DF395" s="31" t="str">
        <f t="shared" si="14"/>
        <v xml:space="preserve">  </v>
      </c>
      <c r="DG395" s="25" t="str">
        <f t="shared" si="15"/>
        <v/>
      </c>
      <c r="DH395" s="25" t="str">
        <f>BasicInput!$D$13&amp;$DH$2&amp;B395&amp;"_"&amp;C395&amp;D395&amp;"_"&amp;BasicInput!$D$7&amp;BasicInput!$D$8&amp;"_"&amp;DG395&amp;".xuf"</f>
        <v>C:\PWWORKING\east01\d2591108\Ramps\__2019EX_PM_.xuf</v>
      </c>
    </row>
    <row r="396" spans="39:112" x14ac:dyDescent="0.2">
      <c r="AM396" s="18"/>
      <c r="AS396" s="18"/>
      <c r="AX396" s="17"/>
      <c r="BI396" s="18"/>
      <c r="BO396" s="18"/>
      <c r="BT396" s="18"/>
      <c r="CA396" s="18"/>
      <c r="CH396" s="18"/>
      <c r="DF396" s="31" t="str">
        <f t="shared" si="14"/>
        <v xml:space="preserve">  </v>
      </c>
      <c r="DG396" s="25" t="str">
        <f t="shared" si="15"/>
        <v/>
      </c>
      <c r="DH396" s="25" t="str">
        <f>BasicInput!$D$13&amp;$DH$2&amp;B396&amp;"_"&amp;C396&amp;D396&amp;"_"&amp;BasicInput!$D$7&amp;BasicInput!$D$8&amp;"_"&amp;DG396&amp;".xuf"</f>
        <v>C:\PWWORKING\east01\d2591108\Ramps\__2019EX_PM_.xuf</v>
      </c>
    </row>
    <row r="397" spans="39:112" x14ac:dyDescent="0.2">
      <c r="AM397" s="18"/>
      <c r="AS397" s="18"/>
      <c r="AX397" s="17"/>
      <c r="BI397" s="18"/>
      <c r="BO397" s="18"/>
      <c r="BT397" s="18"/>
      <c r="CA397" s="18"/>
      <c r="CH397" s="18"/>
      <c r="DF397" s="31" t="str">
        <f t="shared" si="14"/>
        <v xml:space="preserve">  </v>
      </c>
      <c r="DG397" s="25" t="str">
        <f t="shared" si="15"/>
        <v/>
      </c>
      <c r="DH397" s="25" t="str">
        <f>BasicInput!$D$13&amp;$DH$2&amp;B397&amp;"_"&amp;C397&amp;D397&amp;"_"&amp;BasicInput!$D$7&amp;BasicInput!$D$8&amp;"_"&amp;DG397&amp;".xuf"</f>
        <v>C:\PWWORKING\east01\d2591108\Ramps\__2019EX_PM_.xuf</v>
      </c>
    </row>
    <row r="398" spans="39:112" x14ac:dyDescent="0.2">
      <c r="AM398" s="18"/>
      <c r="AS398" s="18"/>
      <c r="AX398" s="17"/>
      <c r="BI398" s="18"/>
      <c r="BO398" s="18"/>
      <c r="BT398" s="18"/>
      <c r="CA398" s="18"/>
      <c r="CH398" s="18"/>
      <c r="DF398" s="31" t="str">
        <f t="shared" si="14"/>
        <v xml:space="preserve">  </v>
      </c>
      <c r="DG398" s="25" t="str">
        <f t="shared" si="15"/>
        <v/>
      </c>
      <c r="DH398" s="25" t="str">
        <f>BasicInput!$D$13&amp;$DH$2&amp;B398&amp;"_"&amp;C398&amp;D398&amp;"_"&amp;BasicInput!$D$7&amp;BasicInput!$D$8&amp;"_"&amp;DG398&amp;".xuf"</f>
        <v>C:\PWWORKING\east01\d2591108\Ramps\__2019EX_PM_.xuf</v>
      </c>
    </row>
    <row r="399" spans="39:112" x14ac:dyDescent="0.2">
      <c r="AM399" s="18"/>
      <c r="AS399" s="18"/>
      <c r="AX399" s="17"/>
      <c r="BI399" s="18"/>
      <c r="BO399" s="18"/>
      <c r="BT399" s="18"/>
      <c r="CA399" s="18"/>
      <c r="CH399" s="18"/>
      <c r="DF399" s="31" t="str">
        <f t="shared" si="14"/>
        <v xml:space="preserve">  </v>
      </c>
      <c r="DG399" s="25" t="str">
        <f t="shared" si="15"/>
        <v/>
      </c>
      <c r="DH399" s="25" t="str">
        <f>BasicInput!$D$13&amp;$DH$2&amp;B399&amp;"_"&amp;C399&amp;D399&amp;"_"&amp;BasicInput!$D$7&amp;BasicInput!$D$8&amp;"_"&amp;DG399&amp;".xuf"</f>
        <v>C:\PWWORKING\east01\d2591108\Ramps\__2019EX_PM_.xuf</v>
      </c>
    </row>
    <row r="400" spans="39:112" x14ac:dyDescent="0.2">
      <c r="AM400" s="18"/>
      <c r="AS400" s="18"/>
      <c r="AX400" s="17"/>
      <c r="BI400" s="18"/>
      <c r="BO400" s="18"/>
      <c r="BT400" s="18"/>
      <c r="CA400" s="18"/>
      <c r="CH400" s="18"/>
      <c r="DF400" s="31" t="str">
        <f t="shared" si="14"/>
        <v xml:space="preserve">  </v>
      </c>
      <c r="DG400" s="25" t="str">
        <f t="shared" si="15"/>
        <v/>
      </c>
      <c r="DH400" s="25" t="str">
        <f>BasicInput!$D$13&amp;$DH$2&amp;B400&amp;"_"&amp;C400&amp;D400&amp;"_"&amp;BasicInput!$D$7&amp;BasicInput!$D$8&amp;"_"&amp;DG400&amp;".xuf"</f>
        <v>C:\PWWORKING\east01\d2591108\Ramps\__2019EX_PM_.xuf</v>
      </c>
    </row>
    <row r="401" spans="39:112" x14ac:dyDescent="0.2">
      <c r="AM401" s="18"/>
      <c r="AS401" s="18"/>
      <c r="AX401" s="17"/>
      <c r="BI401" s="18"/>
      <c r="BO401" s="18"/>
      <c r="BT401" s="18"/>
      <c r="CA401" s="18"/>
      <c r="CH401" s="18"/>
      <c r="DF401" s="31" t="str">
        <f t="shared" ref="DF401:DF464" si="16">C401&amp; " "&amp;D401&amp;" " &amp;E401</f>
        <v xml:space="preserve">  </v>
      </c>
      <c r="DG401" s="25" t="str">
        <f t="shared" ref="DG401:DG464" si="17">SUBSTITUTE(E401, "/", "_")</f>
        <v/>
      </c>
      <c r="DH401" s="25" t="str">
        <f>BasicInput!$D$13&amp;$DH$2&amp;B401&amp;"_"&amp;C401&amp;D401&amp;"_"&amp;BasicInput!$D$7&amp;BasicInput!$D$8&amp;"_"&amp;DG401&amp;".xuf"</f>
        <v>C:\PWWORKING\east01\d2591108\Ramps\__2019EX_PM_.xuf</v>
      </c>
    </row>
    <row r="402" spans="39:112" x14ac:dyDescent="0.2">
      <c r="AM402" s="18"/>
      <c r="AS402" s="18"/>
      <c r="AX402" s="17"/>
      <c r="BI402" s="18"/>
      <c r="BO402" s="18"/>
      <c r="BT402" s="18"/>
      <c r="CA402" s="18"/>
      <c r="CH402" s="18"/>
      <c r="DF402" s="31" t="str">
        <f t="shared" si="16"/>
        <v xml:space="preserve">  </v>
      </c>
      <c r="DG402" s="25" t="str">
        <f t="shared" si="17"/>
        <v/>
      </c>
      <c r="DH402" s="25" t="str">
        <f>BasicInput!$D$13&amp;$DH$2&amp;B402&amp;"_"&amp;C402&amp;D402&amp;"_"&amp;BasicInput!$D$7&amp;BasicInput!$D$8&amp;"_"&amp;DG402&amp;".xuf"</f>
        <v>C:\PWWORKING\east01\d2591108\Ramps\__2019EX_PM_.xuf</v>
      </c>
    </row>
    <row r="403" spans="39:112" x14ac:dyDescent="0.2">
      <c r="AM403" s="18"/>
      <c r="AS403" s="18"/>
      <c r="AX403" s="17"/>
      <c r="BI403" s="18"/>
      <c r="BO403" s="18"/>
      <c r="BT403" s="18"/>
      <c r="CA403" s="18"/>
      <c r="CH403" s="18"/>
      <c r="DF403" s="31" t="str">
        <f t="shared" si="16"/>
        <v xml:space="preserve">  </v>
      </c>
      <c r="DG403" s="25" t="str">
        <f t="shared" si="17"/>
        <v/>
      </c>
      <c r="DH403" s="25" t="str">
        <f>BasicInput!$D$13&amp;$DH$2&amp;B403&amp;"_"&amp;C403&amp;D403&amp;"_"&amp;BasicInput!$D$7&amp;BasicInput!$D$8&amp;"_"&amp;DG403&amp;".xuf"</f>
        <v>C:\PWWORKING\east01\d2591108\Ramps\__2019EX_PM_.xuf</v>
      </c>
    </row>
    <row r="404" spans="39:112" x14ac:dyDescent="0.2">
      <c r="AM404" s="18"/>
      <c r="AS404" s="18"/>
      <c r="AX404" s="17"/>
      <c r="BI404" s="18"/>
      <c r="BO404" s="18"/>
      <c r="BT404" s="18"/>
      <c r="CA404" s="18"/>
      <c r="CH404" s="18"/>
      <c r="DF404" s="31" t="str">
        <f t="shared" si="16"/>
        <v xml:space="preserve">  </v>
      </c>
      <c r="DG404" s="25" t="str">
        <f t="shared" si="17"/>
        <v/>
      </c>
      <c r="DH404" s="25" t="str">
        <f>BasicInput!$D$13&amp;$DH$2&amp;B404&amp;"_"&amp;C404&amp;D404&amp;"_"&amp;BasicInput!$D$7&amp;BasicInput!$D$8&amp;"_"&amp;DG404&amp;".xuf"</f>
        <v>C:\PWWORKING\east01\d2591108\Ramps\__2019EX_PM_.xuf</v>
      </c>
    </row>
    <row r="405" spans="39:112" x14ac:dyDescent="0.2">
      <c r="AM405" s="18"/>
      <c r="AS405" s="18"/>
      <c r="AX405" s="17"/>
      <c r="BI405" s="18"/>
      <c r="BO405" s="18"/>
      <c r="BT405" s="18"/>
      <c r="CA405" s="18"/>
      <c r="CH405" s="18"/>
      <c r="DF405" s="31" t="str">
        <f t="shared" si="16"/>
        <v xml:space="preserve">  </v>
      </c>
      <c r="DG405" s="25" t="str">
        <f t="shared" si="17"/>
        <v/>
      </c>
      <c r="DH405" s="25" t="str">
        <f>BasicInput!$D$13&amp;$DH$2&amp;B405&amp;"_"&amp;C405&amp;D405&amp;"_"&amp;BasicInput!$D$7&amp;BasicInput!$D$8&amp;"_"&amp;DG405&amp;".xuf"</f>
        <v>C:\PWWORKING\east01\d2591108\Ramps\__2019EX_PM_.xuf</v>
      </c>
    </row>
    <row r="406" spans="39:112" x14ac:dyDescent="0.2">
      <c r="AM406" s="18"/>
      <c r="AS406" s="18"/>
      <c r="AX406" s="17"/>
      <c r="BI406" s="18"/>
      <c r="BO406" s="18"/>
      <c r="BT406" s="18"/>
      <c r="CA406" s="18"/>
      <c r="CH406" s="18"/>
      <c r="DF406" s="31" t="str">
        <f t="shared" si="16"/>
        <v xml:space="preserve">  </v>
      </c>
      <c r="DG406" s="25" t="str">
        <f t="shared" si="17"/>
        <v/>
      </c>
      <c r="DH406" s="25" t="str">
        <f>BasicInput!$D$13&amp;$DH$2&amp;B406&amp;"_"&amp;C406&amp;D406&amp;"_"&amp;BasicInput!$D$7&amp;BasicInput!$D$8&amp;"_"&amp;DG406&amp;".xuf"</f>
        <v>C:\PWWORKING\east01\d2591108\Ramps\__2019EX_PM_.xuf</v>
      </c>
    </row>
    <row r="407" spans="39:112" x14ac:dyDescent="0.2">
      <c r="AM407" s="18"/>
      <c r="AS407" s="18"/>
      <c r="AX407" s="17"/>
      <c r="BI407" s="18"/>
      <c r="BO407" s="18"/>
      <c r="BT407" s="18"/>
      <c r="CA407" s="18"/>
      <c r="CH407" s="18"/>
      <c r="DF407" s="31" t="str">
        <f t="shared" si="16"/>
        <v xml:space="preserve">  </v>
      </c>
      <c r="DG407" s="25" t="str">
        <f t="shared" si="17"/>
        <v/>
      </c>
      <c r="DH407" s="25" t="str">
        <f>BasicInput!$D$13&amp;$DH$2&amp;B407&amp;"_"&amp;C407&amp;D407&amp;"_"&amp;BasicInput!$D$7&amp;BasicInput!$D$8&amp;"_"&amp;DG407&amp;".xuf"</f>
        <v>C:\PWWORKING\east01\d2591108\Ramps\__2019EX_PM_.xuf</v>
      </c>
    </row>
    <row r="408" spans="39:112" x14ac:dyDescent="0.2">
      <c r="AM408" s="18"/>
      <c r="AS408" s="18"/>
      <c r="AX408" s="17"/>
      <c r="BI408" s="18"/>
      <c r="BO408" s="18"/>
      <c r="BT408" s="18"/>
      <c r="CA408" s="18"/>
      <c r="CH408" s="18"/>
      <c r="DF408" s="31" t="str">
        <f t="shared" si="16"/>
        <v xml:space="preserve">  </v>
      </c>
      <c r="DG408" s="25" t="str">
        <f t="shared" si="17"/>
        <v/>
      </c>
      <c r="DH408" s="25" t="str">
        <f>BasicInput!$D$13&amp;$DH$2&amp;B408&amp;"_"&amp;C408&amp;D408&amp;"_"&amp;BasicInput!$D$7&amp;BasicInput!$D$8&amp;"_"&amp;DG408&amp;".xuf"</f>
        <v>C:\PWWORKING\east01\d2591108\Ramps\__2019EX_PM_.xuf</v>
      </c>
    </row>
    <row r="409" spans="39:112" x14ac:dyDescent="0.2">
      <c r="AM409" s="18"/>
      <c r="AS409" s="18"/>
      <c r="AX409" s="17"/>
      <c r="BI409" s="18"/>
      <c r="BO409" s="18"/>
      <c r="BT409" s="18"/>
      <c r="CA409" s="18"/>
      <c r="CH409" s="18"/>
      <c r="DF409" s="31" t="str">
        <f t="shared" si="16"/>
        <v xml:space="preserve">  </v>
      </c>
      <c r="DG409" s="25" t="str">
        <f t="shared" si="17"/>
        <v/>
      </c>
      <c r="DH409" s="25" t="str">
        <f>BasicInput!$D$13&amp;$DH$2&amp;B409&amp;"_"&amp;C409&amp;D409&amp;"_"&amp;BasicInput!$D$7&amp;BasicInput!$D$8&amp;"_"&amp;DG409&amp;".xuf"</f>
        <v>C:\PWWORKING\east01\d2591108\Ramps\__2019EX_PM_.xuf</v>
      </c>
    </row>
    <row r="410" spans="39:112" x14ac:dyDescent="0.2">
      <c r="AM410" s="18"/>
      <c r="AS410" s="18"/>
      <c r="AX410" s="17"/>
      <c r="BI410" s="18"/>
      <c r="BO410" s="18"/>
      <c r="BT410" s="18"/>
      <c r="CA410" s="18"/>
      <c r="CH410" s="18"/>
      <c r="DF410" s="31" t="str">
        <f t="shared" si="16"/>
        <v xml:space="preserve">  </v>
      </c>
      <c r="DG410" s="25" t="str">
        <f t="shared" si="17"/>
        <v/>
      </c>
      <c r="DH410" s="25" t="str">
        <f>BasicInput!$D$13&amp;$DH$2&amp;B410&amp;"_"&amp;C410&amp;D410&amp;"_"&amp;BasicInput!$D$7&amp;BasicInput!$D$8&amp;"_"&amp;DG410&amp;".xuf"</f>
        <v>C:\PWWORKING\east01\d2591108\Ramps\__2019EX_PM_.xuf</v>
      </c>
    </row>
    <row r="411" spans="39:112" x14ac:dyDescent="0.2">
      <c r="AM411" s="18"/>
      <c r="AS411" s="18"/>
      <c r="AX411" s="17"/>
      <c r="BI411" s="18"/>
      <c r="BO411" s="18"/>
      <c r="BT411" s="18"/>
      <c r="CA411" s="18"/>
      <c r="CH411" s="18"/>
      <c r="DF411" s="31" t="str">
        <f t="shared" si="16"/>
        <v xml:space="preserve">  </v>
      </c>
      <c r="DG411" s="25" t="str">
        <f t="shared" si="17"/>
        <v/>
      </c>
      <c r="DH411" s="25" t="str">
        <f>BasicInput!$D$13&amp;$DH$2&amp;B411&amp;"_"&amp;C411&amp;D411&amp;"_"&amp;BasicInput!$D$7&amp;BasicInput!$D$8&amp;"_"&amp;DG411&amp;".xuf"</f>
        <v>C:\PWWORKING\east01\d2591108\Ramps\__2019EX_PM_.xuf</v>
      </c>
    </row>
    <row r="412" spans="39:112" x14ac:dyDescent="0.2">
      <c r="AM412" s="18"/>
      <c r="AS412" s="18"/>
      <c r="AX412" s="17"/>
      <c r="BI412" s="18"/>
      <c r="BO412" s="18"/>
      <c r="BT412" s="18"/>
      <c r="CA412" s="18"/>
      <c r="CH412" s="18"/>
      <c r="DF412" s="31" t="str">
        <f t="shared" si="16"/>
        <v xml:space="preserve">  </v>
      </c>
      <c r="DG412" s="25" t="str">
        <f t="shared" si="17"/>
        <v/>
      </c>
      <c r="DH412" s="25" t="str">
        <f>BasicInput!$D$13&amp;$DH$2&amp;B412&amp;"_"&amp;C412&amp;D412&amp;"_"&amp;BasicInput!$D$7&amp;BasicInput!$D$8&amp;"_"&amp;DG412&amp;".xuf"</f>
        <v>C:\PWWORKING\east01\d2591108\Ramps\__2019EX_PM_.xuf</v>
      </c>
    </row>
    <row r="413" spans="39:112" x14ac:dyDescent="0.2">
      <c r="AM413" s="18"/>
      <c r="AS413" s="18"/>
      <c r="AX413" s="17"/>
      <c r="BI413" s="18"/>
      <c r="BO413" s="18"/>
      <c r="BT413" s="18"/>
      <c r="CA413" s="18"/>
      <c r="CH413" s="18"/>
      <c r="DF413" s="31" t="str">
        <f t="shared" si="16"/>
        <v xml:space="preserve">  </v>
      </c>
      <c r="DG413" s="25" t="str">
        <f t="shared" si="17"/>
        <v/>
      </c>
      <c r="DH413" s="25" t="str">
        <f>BasicInput!$D$13&amp;$DH$2&amp;B413&amp;"_"&amp;C413&amp;D413&amp;"_"&amp;BasicInput!$D$7&amp;BasicInput!$D$8&amp;"_"&amp;DG413&amp;".xuf"</f>
        <v>C:\PWWORKING\east01\d2591108\Ramps\__2019EX_PM_.xuf</v>
      </c>
    </row>
    <row r="414" spans="39:112" x14ac:dyDescent="0.2">
      <c r="AM414" s="18"/>
      <c r="AS414" s="18"/>
      <c r="AX414" s="17"/>
      <c r="BI414" s="18"/>
      <c r="BO414" s="18"/>
      <c r="BT414" s="18"/>
      <c r="CA414" s="18"/>
      <c r="CH414" s="18"/>
      <c r="DF414" s="31" t="str">
        <f t="shared" si="16"/>
        <v xml:space="preserve">  </v>
      </c>
      <c r="DG414" s="25" t="str">
        <f t="shared" si="17"/>
        <v/>
      </c>
      <c r="DH414" s="25" t="str">
        <f>BasicInput!$D$13&amp;$DH$2&amp;B414&amp;"_"&amp;C414&amp;D414&amp;"_"&amp;BasicInput!$D$7&amp;BasicInput!$D$8&amp;"_"&amp;DG414&amp;".xuf"</f>
        <v>C:\PWWORKING\east01\d2591108\Ramps\__2019EX_PM_.xuf</v>
      </c>
    </row>
    <row r="415" spans="39:112" x14ac:dyDescent="0.2">
      <c r="AM415" s="18"/>
      <c r="AS415" s="18"/>
      <c r="AX415" s="17"/>
      <c r="BI415" s="18"/>
      <c r="BO415" s="18"/>
      <c r="BT415" s="18"/>
      <c r="CA415" s="18"/>
      <c r="CH415" s="18"/>
      <c r="DF415" s="31" t="str">
        <f t="shared" si="16"/>
        <v xml:space="preserve">  </v>
      </c>
      <c r="DG415" s="25" t="str">
        <f t="shared" si="17"/>
        <v/>
      </c>
      <c r="DH415" s="25" t="str">
        <f>BasicInput!$D$13&amp;$DH$2&amp;B415&amp;"_"&amp;C415&amp;D415&amp;"_"&amp;BasicInput!$D$7&amp;BasicInput!$D$8&amp;"_"&amp;DG415&amp;".xuf"</f>
        <v>C:\PWWORKING\east01\d2591108\Ramps\__2019EX_PM_.xuf</v>
      </c>
    </row>
    <row r="416" spans="39:112" x14ac:dyDescent="0.2">
      <c r="AM416" s="18"/>
      <c r="AS416" s="18"/>
      <c r="AX416" s="17"/>
      <c r="BI416" s="18"/>
      <c r="BO416" s="18"/>
      <c r="BT416" s="18"/>
      <c r="CA416" s="18"/>
      <c r="CH416" s="18"/>
      <c r="DF416" s="31" t="str">
        <f t="shared" si="16"/>
        <v xml:space="preserve">  </v>
      </c>
      <c r="DG416" s="25" t="str">
        <f t="shared" si="17"/>
        <v/>
      </c>
      <c r="DH416" s="25" t="str">
        <f>BasicInput!$D$13&amp;$DH$2&amp;B416&amp;"_"&amp;C416&amp;D416&amp;"_"&amp;BasicInput!$D$7&amp;BasicInput!$D$8&amp;"_"&amp;DG416&amp;".xuf"</f>
        <v>C:\PWWORKING\east01\d2591108\Ramps\__2019EX_PM_.xuf</v>
      </c>
    </row>
    <row r="417" spans="39:112" x14ac:dyDescent="0.2">
      <c r="AM417" s="18"/>
      <c r="AS417" s="18"/>
      <c r="AX417" s="17"/>
      <c r="BI417" s="18"/>
      <c r="BO417" s="18"/>
      <c r="BT417" s="18"/>
      <c r="CA417" s="18"/>
      <c r="CH417" s="18"/>
      <c r="DF417" s="31" t="str">
        <f t="shared" si="16"/>
        <v xml:space="preserve">  </v>
      </c>
      <c r="DG417" s="25" t="str">
        <f t="shared" si="17"/>
        <v/>
      </c>
      <c r="DH417" s="25" t="str">
        <f>BasicInput!$D$13&amp;$DH$2&amp;B417&amp;"_"&amp;C417&amp;D417&amp;"_"&amp;BasicInput!$D$7&amp;BasicInput!$D$8&amp;"_"&amp;DG417&amp;".xuf"</f>
        <v>C:\PWWORKING\east01\d2591108\Ramps\__2019EX_PM_.xuf</v>
      </c>
    </row>
    <row r="418" spans="39:112" x14ac:dyDescent="0.2">
      <c r="AM418" s="18"/>
      <c r="AS418" s="18"/>
      <c r="AX418" s="17"/>
      <c r="BI418" s="18"/>
      <c r="BO418" s="18"/>
      <c r="BT418" s="18"/>
      <c r="CA418" s="18"/>
      <c r="CH418" s="18"/>
      <c r="DF418" s="31" t="str">
        <f t="shared" si="16"/>
        <v xml:space="preserve">  </v>
      </c>
      <c r="DG418" s="25" t="str">
        <f t="shared" si="17"/>
        <v/>
      </c>
      <c r="DH418" s="25" t="str">
        <f>BasicInput!$D$13&amp;$DH$2&amp;B418&amp;"_"&amp;C418&amp;D418&amp;"_"&amp;BasicInput!$D$7&amp;BasicInput!$D$8&amp;"_"&amp;DG418&amp;".xuf"</f>
        <v>C:\PWWORKING\east01\d2591108\Ramps\__2019EX_PM_.xuf</v>
      </c>
    </row>
    <row r="419" spans="39:112" x14ac:dyDescent="0.2">
      <c r="AM419" s="18"/>
      <c r="AS419" s="18"/>
      <c r="AX419" s="17"/>
      <c r="BI419" s="18"/>
      <c r="BO419" s="18"/>
      <c r="BT419" s="18"/>
      <c r="CA419" s="18"/>
      <c r="CH419" s="18"/>
      <c r="DF419" s="31" t="str">
        <f t="shared" si="16"/>
        <v xml:space="preserve">  </v>
      </c>
      <c r="DG419" s="25" t="str">
        <f t="shared" si="17"/>
        <v/>
      </c>
      <c r="DH419" s="25" t="str">
        <f>BasicInput!$D$13&amp;$DH$2&amp;B419&amp;"_"&amp;C419&amp;D419&amp;"_"&amp;BasicInput!$D$7&amp;BasicInput!$D$8&amp;"_"&amp;DG419&amp;".xuf"</f>
        <v>C:\PWWORKING\east01\d2591108\Ramps\__2019EX_PM_.xuf</v>
      </c>
    </row>
    <row r="420" spans="39:112" x14ac:dyDescent="0.2">
      <c r="AM420" s="18"/>
      <c r="AS420" s="18"/>
      <c r="AX420" s="17"/>
      <c r="BI420" s="18"/>
      <c r="BO420" s="18"/>
      <c r="BT420" s="18"/>
      <c r="CA420" s="18"/>
      <c r="CH420" s="18"/>
      <c r="DF420" s="31" t="str">
        <f t="shared" si="16"/>
        <v xml:space="preserve">  </v>
      </c>
      <c r="DG420" s="25" t="str">
        <f t="shared" si="17"/>
        <v/>
      </c>
      <c r="DH420" s="25" t="str">
        <f>BasicInput!$D$13&amp;$DH$2&amp;B420&amp;"_"&amp;C420&amp;D420&amp;"_"&amp;BasicInput!$D$7&amp;BasicInput!$D$8&amp;"_"&amp;DG420&amp;".xuf"</f>
        <v>C:\PWWORKING\east01\d2591108\Ramps\__2019EX_PM_.xuf</v>
      </c>
    </row>
    <row r="421" spans="39:112" x14ac:dyDescent="0.2">
      <c r="AM421" s="18"/>
      <c r="AS421" s="18"/>
      <c r="AX421" s="17"/>
      <c r="BI421" s="18"/>
      <c r="BO421" s="18"/>
      <c r="BT421" s="18"/>
      <c r="CA421" s="18"/>
      <c r="CH421" s="18"/>
      <c r="DF421" s="31" t="str">
        <f t="shared" si="16"/>
        <v xml:space="preserve">  </v>
      </c>
      <c r="DG421" s="25" t="str">
        <f t="shared" si="17"/>
        <v/>
      </c>
      <c r="DH421" s="25" t="str">
        <f>BasicInput!$D$13&amp;$DH$2&amp;B421&amp;"_"&amp;C421&amp;D421&amp;"_"&amp;BasicInput!$D$7&amp;BasicInput!$D$8&amp;"_"&amp;DG421&amp;".xuf"</f>
        <v>C:\PWWORKING\east01\d2591108\Ramps\__2019EX_PM_.xuf</v>
      </c>
    </row>
    <row r="422" spans="39:112" x14ac:dyDescent="0.2">
      <c r="AM422" s="18"/>
      <c r="AS422" s="18"/>
      <c r="AX422" s="17"/>
      <c r="BI422" s="18"/>
      <c r="BO422" s="18"/>
      <c r="BT422" s="18"/>
      <c r="CA422" s="18"/>
      <c r="CH422" s="18"/>
      <c r="DF422" s="31" t="str">
        <f t="shared" si="16"/>
        <v xml:space="preserve">  </v>
      </c>
      <c r="DG422" s="25" t="str">
        <f t="shared" si="17"/>
        <v/>
      </c>
      <c r="DH422" s="25" t="str">
        <f>BasicInput!$D$13&amp;$DH$2&amp;B422&amp;"_"&amp;C422&amp;D422&amp;"_"&amp;BasicInput!$D$7&amp;BasicInput!$D$8&amp;"_"&amp;DG422&amp;".xuf"</f>
        <v>C:\PWWORKING\east01\d2591108\Ramps\__2019EX_PM_.xuf</v>
      </c>
    </row>
    <row r="423" spans="39:112" x14ac:dyDescent="0.2">
      <c r="AM423" s="18"/>
      <c r="AS423" s="18"/>
      <c r="AX423" s="17"/>
      <c r="BI423" s="18"/>
      <c r="BO423" s="18"/>
      <c r="BT423" s="18"/>
      <c r="CA423" s="18"/>
      <c r="CH423" s="18"/>
      <c r="DF423" s="31" t="str">
        <f t="shared" si="16"/>
        <v xml:space="preserve">  </v>
      </c>
      <c r="DG423" s="25" t="str">
        <f t="shared" si="17"/>
        <v/>
      </c>
      <c r="DH423" s="25" t="str">
        <f>BasicInput!$D$13&amp;$DH$2&amp;B423&amp;"_"&amp;C423&amp;D423&amp;"_"&amp;BasicInput!$D$7&amp;BasicInput!$D$8&amp;"_"&amp;DG423&amp;".xuf"</f>
        <v>C:\PWWORKING\east01\d2591108\Ramps\__2019EX_PM_.xuf</v>
      </c>
    </row>
    <row r="424" spans="39:112" x14ac:dyDescent="0.2">
      <c r="AM424" s="18"/>
      <c r="AS424" s="18"/>
      <c r="AX424" s="17"/>
      <c r="BI424" s="18"/>
      <c r="BO424" s="18"/>
      <c r="BT424" s="18"/>
      <c r="CA424" s="18"/>
      <c r="CH424" s="18"/>
      <c r="DF424" s="31" t="str">
        <f t="shared" si="16"/>
        <v xml:space="preserve">  </v>
      </c>
      <c r="DG424" s="25" t="str">
        <f t="shared" si="17"/>
        <v/>
      </c>
      <c r="DH424" s="25" t="str">
        <f>BasicInput!$D$13&amp;$DH$2&amp;B424&amp;"_"&amp;C424&amp;D424&amp;"_"&amp;BasicInput!$D$7&amp;BasicInput!$D$8&amp;"_"&amp;DG424&amp;".xuf"</f>
        <v>C:\PWWORKING\east01\d2591108\Ramps\__2019EX_PM_.xuf</v>
      </c>
    </row>
    <row r="425" spans="39:112" x14ac:dyDescent="0.2">
      <c r="AM425" s="18"/>
      <c r="AS425" s="18"/>
      <c r="AX425" s="17"/>
      <c r="BI425" s="18"/>
      <c r="BO425" s="18"/>
      <c r="BT425" s="18"/>
      <c r="CA425" s="18"/>
      <c r="CH425" s="18"/>
      <c r="DF425" s="31" t="str">
        <f t="shared" si="16"/>
        <v xml:space="preserve">  </v>
      </c>
      <c r="DG425" s="25" t="str">
        <f t="shared" si="17"/>
        <v/>
      </c>
      <c r="DH425" s="25" t="str">
        <f>BasicInput!$D$13&amp;$DH$2&amp;B425&amp;"_"&amp;C425&amp;D425&amp;"_"&amp;BasicInput!$D$7&amp;BasicInput!$D$8&amp;"_"&amp;DG425&amp;".xuf"</f>
        <v>C:\PWWORKING\east01\d2591108\Ramps\__2019EX_PM_.xuf</v>
      </c>
    </row>
    <row r="426" spans="39:112" x14ac:dyDescent="0.2">
      <c r="AM426" s="18"/>
      <c r="AS426" s="18"/>
      <c r="AX426" s="17"/>
      <c r="BI426" s="18"/>
      <c r="BO426" s="18"/>
      <c r="BT426" s="18"/>
      <c r="CA426" s="18"/>
      <c r="CH426" s="18"/>
      <c r="DF426" s="31" t="str">
        <f t="shared" si="16"/>
        <v xml:space="preserve">  </v>
      </c>
      <c r="DG426" s="25" t="str">
        <f t="shared" si="17"/>
        <v/>
      </c>
      <c r="DH426" s="25" t="str">
        <f>BasicInput!$D$13&amp;$DH$2&amp;B426&amp;"_"&amp;C426&amp;D426&amp;"_"&amp;BasicInput!$D$7&amp;BasicInput!$D$8&amp;"_"&amp;DG426&amp;".xuf"</f>
        <v>C:\PWWORKING\east01\d2591108\Ramps\__2019EX_PM_.xuf</v>
      </c>
    </row>
    <row r="427" spans="39:112" x14ac:dyDescent="0.2">
      <c r="AM427" s="18"/>
      <c r="AS427" s="18"/>
      <c r="AX427" s="17"/>
      <c r="BI427" s="18"/>
      <c r="BO427" s="18"/>
      <c r="BT427" s="18"/>
      <c r="CA427" s="18"/>
      <c r="CH427" s="18"/>
      <c r="DF427" s="31" t="str">
        <f t="shared" si="16"/>
        <v xml:space="preserve">  </v>
      </c>
      <c r="DG427" s="25" t="str">
        <f t="shared" si="17"/>
        <v/>
      </c>
      <c r="DH427" s="25" t="str">
        <f>BasicInput!$D$13&amp;$DH$2&amp;B427&amp;"_"&amp;C427&amp;D427&amp;"_"&amp;BasicInput!$D$7&amp;BasicInput!$D$8&amp;"_"&amp;DG427&amp;".xuf"</f>
        <v>C:\PWWORKING\east01\d2591108\Ramps\__2019EX_PM_.xuf</v>
      </c>
    </row>
    <row r="428" spans="39:112" x14ac:dyDescent="0.2">
      <c r="AM428" s="18"/>
      <c r="AS428" s="18"/>
      <c r="AX428" s="17"/>
      <c r="BI428" s="18"/>
      <c r="BO428" s="18"/>
      <c r="BT428" s="18"/>
      <c r="CA428" s="18"/>
      <c r="CH428" s="18"/>
      <c r="DF428" s="31" t="str">
        <f t="shared" si="16"/>
        <v xml:space="preserve">  </v>
      </c>
      <c r="DG428" s="25" t="str">
        <f t="shared" si="17"/>
        <v/>
      </c>
      <c r="DH428" s="25" t="str">
        <f>BasicInput!$D$13&amp;$DH$2&amp;B428&amp;"_"&amp;C428&amp;D428&amp;"_"&amp;BasicInput!$D$7&amp;BasicInput!$D$8&amp;"_"&amp;DG428&amp;".xuf"</f>
        <v>C:\PWWORKING\east01\d2591108\Ramps\__2019EX_PM_.xuf</v>
      </c>
    </row>
    <row r="429" spans="39:112" x14ac:dyDescent="0.2">
      <c r="AM429" s="18"/>
      <c r="AS429" s="18"/>
      <c r="AX429" s="17"/>
      <c r="BI429" s="18"/>
      <c r="BO429" s="18"/>
      <c r="BT429" s="18"/>
      <c r="CA429" s="18"/>
      <c r="CH429" s="18"/>
      <c r="DF429" s="31" t="str">
        <f t="shared" si="16"/>
        <v xml:space="preserve">  </v>
      </c>
      <c r="DG429" s="25" t="str">
        <f t="shared" si="17"/>
        <v/>
      </c>
      <c r="DH429" s="25" t="str">
        <f>BasicInput!$D$13&amp;$DH$2&amp;B429&amp;"_"&amp;C429&amp;D429&amp;"_"&amp;BasicInput!$D$7&amp;BasicInput!$D$8&amp;"_"&amp;DG429&amp;".xuf"</f>
        <v>C:\PWWORKING\east01\d2591108\Ramps\__2019EX_PM_.xuf</v>
      </c>
    </row>
    <row r="430" spans="39:112" x14ac:dyDescent="0.2">
      <c r="AM430" s="18"/>
      <c r="AS430" s="18"/>
      <c r="AX430" s="17"/>
      <c r="BI430" s="18"/>
      <c r="BO430" s="18"/>
      <c r="BT430" s="18"/>
      <c r="CA430" s="18"/>
      <c r="CH430" s="18"/>
      <c r="DF430" s="31" t="str">
        <f t="shared" si="16"/>
        <v xml:space="preserve">  </v>
      </c>
      <c r="DG430" s="25" t="str">
        <f t="shared" si="17"/>
        <v/>
      </c>
      <c r="DH430" s="25" t="str">
        <f>BasicInput!$D$13&amp;$DH$2&amp;B430&amp;"_"&amp;C430&amp;D430&amp;"_"&amp;BasicInput!$D$7&amp;BasicInput!$D$8&amp;"_"&amp;DG430&amp;".xuf"</f>
        <v>C:\PWWORKING\east01\d2591108\Ramps\__2019EX_PM_.xuf</v>
      </c>
    </row>
    <row r="431" spans="39:112" x14ac:dyDescent="0.2">
      <c r="AM431" s="18"/>
      <c r="AS431" s="18"/>
      <c r="AX431" s="17"/>
      <c r="BI431" s="18"/>
      <c r="BO431" s="18"/>
      <c r="BT431" s="18"/>
      <c r="CA431" s="18"/>
      <c r="CH431" s="18"/>
      <c r="DF431" s="31" t="str">
        <f t="shared" si="16"/>
        <v xml:space="preserve">  </v>
      </c>
      <c r="DG431" s="25" t="str">
        <f t="shared" si="17"/>
        <v/>
      </c>
      <c r="DH431" s="25" t="str">
        <f>BasicInput!$D$13&amp;$DH$2&amp;B431&amp;"_"&amp;C431&amp;D431&amp;"_"&amp;BasicInput!$D$7&amp;BasicInput!$D$8&amp;"_"&amp;DG431&amp;".xuf"</f>
        <v>C:\PWWORKING\east01\d2591108\Ramps\__2019EX_PM_.xuf</v>
      </c>
    </row>
    <row r="432" spans="39:112" x14ac:dyDescent="0.2">
      <c r="AM432" s="18"/>
      <c r="AS432" s="18"/>
      <c r="AX432" s="17"/>
      <c r="BI432" s="18"/>
      <c r="BO432" s="18"/>
      <c r="BT432" s="18"/>
      <c r="CA432" s="18"/>
      <c r="CH432" s="18"/>
      <c r="DF432" s="31" t="str">
        <f t="shared" si="16"/>
        <v xml:space="preserve">  </v>
      </c>
      <c r="DG432" s="25" t="str">
        <f t="shared" si="17"/>
        <v/>
      </c>
      <c r="DH432" s="25" t="str">
        <f>BasicInput!$D$13&amp;$DH$2&amp;B432&amp;"_"&amp;C432&amp;D432&amp;"_"&amp;BasicInput!$D$7&amp;BasicInput!$D$8&amp;"_"&amp;DG432&amp;".xuf"</f>
        <v>C:\PWWORKING\east01\d2591108\Ramps\__2019EX_PM_.xuf</v>
      </c>
    </row>
    <row r="433" spans="39:112" x14ac:dyDescent="0.2">
      <c r="AM433" s="18"/>
      <c r="AS433" s="18"/>
      <c r="AX433" s="17"/>
      <c r="BI433" s="18"/>
      <c r="BO433" s="18"/>
      <c r="BT433" s="18"/>
      <c r="CA433" s="18"/>
      <c r="CH433" s="18"/>
      <c r="DF433" s="31" t="str">
        <f t="shared" si="16"/>
        <v xml:space="preserve">  </v>
      </c>
      <c r="DG433" s="25" t="str">
        <f t="shared" si="17"/>
        <v/>
      </c>
      <c r="DH433" s="25" t="str">
        <f>BasicInput!$D$13&amp;$DH$2&amp;B433&amp;"_"&amp;C433&amp;D433&amp;"_"&amp;BasicInput!$D$7&amp;BasicInput!$D$8&amp;"_"&amp;DG433&amp;".xuf"</f>
        <v>C:\PWWORKING\east01\d2591108\Ramps\__2019EX_PM_.xuf</v>
      </c>
    </row>
    <row r="434" spans="39:112" x14ac:dyDescent="0.2">
      <c r="AM434" s="18"/>
      <c r="AS434" s="18"/>
      <c r="AX434" s="17"/>
      <c r="BI434" s="18"/>
      <c r="BO434" s="18"/>
      <c r="BT434" s="18"/>
      <c r="CA434" s="18"/>
      <c r="CH434" s="18"/>
      <c r="DF434" s="31" t="str">
        <f t="shared" si="16"/>
        <v xml:space="preserve">  </v>
      </c>
      <c r="DG434" s="25" t="str">
        <f t="shared" si="17"/>
        <v/>
      </c>
      <c r="DH434" s="25" t="str">
        <f>BasicInput!$D$13&amp;$DH$2&amp;B434&amp;"_"&amp;C434&amp;D434&amp;"_"&amp;BasicInput!$D$7&amp;BasicInput!$D$8&amp;"_"&amp;DG434&amp;".xuf"</f>
        <v>C:\PWWORKING\east01\d2591108\Ramps\__2019EX_PM_.xuf</v>
      </c>
    </row>
    <row r="435" spans="39:112" x14ac:dyDescent="0.2">
      <c r="AM435" s="18"/>
      <c r="AS435" s="18"/>
      <c r="AX435" s="17"/>
      <c r="BI435" s="18"/>
      <c r="BO435" s="18"/>
      <c r="BT435" s="18"/>
      <c r="CA435" s="18"/>
      <c r="CH435" s="18"/>
      <c r="DF435" s="31" t="str">
        <f t="shared" si="16"/>
        <v xml:space="preserve">  </v>
      </c>
      <c r="DG435" s="25" t="str">
        <f t="shared" si="17"/>
        <v/>
      </c>
      <c r="DH435" s="25" t="str">
        <f>BasicInput!$D$13&amp;$DH$2&amp;B435&amp;"_"&amp;C435&amp;D435&amp;"_"&amp;BasicInput!$D$7&amp;BasicInput!$D$8&amp;"_"&amp;DG435&amp;".xuf"</f>
        <v>C:\PWWORKING\east01\d2591108\Ramps\__2019EX_PM_.xuf</v>
      </c>
    </row>
    <row r="436" spans="39:112" x14ac:dyDescent="0.2">
      <c r="AM436" s="18"/>
      <c r="AS436" s="18"/>
      <c r="AX436" s="17"/>
      <c r="BI436" s="18"/>
      <c r="BO436" s="18"/>
      <c r="BT436" s="18"/>
      <c r="CA436" s="18"/>
      <c r="CH436" s="18"/>
      <c r="DF436" s="31" t="str">
        <f t="shared" si="16"/>
        <v xml:space="preserve">  </v>
      </c>
      <c r="DG436" s="25" t="str">
        <f t="shared" si="17"/>
        <v/>
      </c>
      <c r="DH436" s="25" t="str">
        <f>BasicInput!$D$13&amp;$DH$2&amp;B436&amp;"_"&amp;C436&amp;D436&amp;"_"&amp;BasicInput!$D$7&amp;BasicInput!$D$8&amp;"_"&amp;DG436&amp;".xuf"</f>
        <v>C:\PWWORKING\east01\d2591108\Ramps\__2019EX_PM_.xuf</v>
      </c>
    </row>
    <row r="437" spans="39:112" x14ac:dyDescent="0.2">
      <c r="AM437" s="18"/>
      <c r="AS437" s="18"/>
      <c r="AX437" s="17"/>
      <c r="BI437" s="18"/>
      <c r="BO437" s="18"/>
      <c r="BT437" s="18"/>
      <c r="CA437" s="18"/>
      <c r="CH437" s="18"/>
      <c r="DF437" s="31" t="str">
        <f t="shared" si="16"/>
        <v xml:space="preserve">  </v>
      </c>
      <c r="DG437" s="25" t="str">
        <f t="shared" si="17"/>
        <v/>
      </c>
      <c r="DH437" s="25" t="str">
        <f>BasicInput!$D$13&amp;$DH$2&amp;B437&amp;"_"&amp;C437&amp;D437&amp;"_"&amp;BasicInput!$D$7&amp;BasicInput!$D$8&amp;"_"&amp;DG437&amp;".xuf"</f>
        <v>C:\PWWORKING\east01\d2591108\Ramps\__2019EX_PM_.xuf</v>
      </c>
    </row>
    <row r="438" spans="39:112" x14ac:dyDescent="0.2">
      <c r="AM438" s="18"/>
      <c r="AS438" s="18"/>
      <c r="AX438" s="17"/>
      <c r="BI438" s="18"/>
      <c r="BO438" s="18"/>
      <c r="BT438" s="18"/>
      <c r="CA438" s="18"/>
      <c r="CH438" s="18"/>
      <c r="DF438" s="31" t="str">
        <f t="shared" si="16"/>
        <v xml:space="preserve">  </v>
      </c>
      <c r="DG438" s="25" t="str">
        <f t="shared" si="17"/>
        <v/>
      </c>
      <c r="DH438" s="25" t="str">
        <f>BasicInput!$D$13&amp;$DH$2&amp;B438&amp;"_"&amp;C438&amp;D438&amp;"_"&amp;BasicInput!$D$7&amp;BasicInput!$D$8&amp;"_"&amp;DG438&amp;".xuf"</f>
        <v>C:\PWWORKING\east01\d2591108\Ramps\__2019EX_PM_.xuf</v>
      </c>
    </row>
    <row r="439" spans="39:112" x14ac:dyDescent="0.2">
      <c r="AM439" s="18"/>
      <c r="AS439" s="18"/>
      <c r="AX439" s="17"/>
      <c r="BI439" s="18"/>
      <c r="BO439" s="18"/>
      <c r="BT439" s="18"/>
      <c r="CA439" s="18"/>
      <c r="CH439" s="18"/>
      <c r="DF439" s="31" t="str">
        <f t="shared" si="16"/>
        <v xml:space="preserve">  </v>
      </c>
      <c r="DG439" s="25" t="str">
        <f t="shared" si="17"/>
        <v/>
      </c>
      <c r="DH439" s="25" t="str">
        <f>BasicInput!$D$13&amp;$DH$2&amp;B439&amp;"_"&amp;C439&amp;D439&amp;"_"&amp;BasicInput!$D$7&amp;BasicInput!$D$8&amp;"_"&amp;DG439&amp;".xuf"</f>
        <v>C:\PWWORKING\east01\d2591108\Ramps\__2019EX_PM_.xuf</v>
      </c>
    </row>
    <row r="440" spans="39:112" x14ac:dyDescent="0.2">
      <c r="AM440" s="18"/>
      <c r="AS440" s="18"/>
      <c r="AX440" s="17"/>
      <c r="BI440" s="18"/>
      <c r="BO440" s="18"/>
      <c r="BT440" s="18"/>
      <c r="CA440" s="18"/>
      <c r="CH440" s="18"/>
      <c r="DF440" s="31" t="str">
        <f t="shared" si="16"/>
        <v xml:space="preserve">  </v>
      </c>
      <c r="DG440" s="25" t="str">
        <f t="shared" si="17"/>
        <v/>
      </c>
      <c r="DH440" s="25" t="str">
        <f>BasicInput!$D$13&amp;$DH$2&amp;B440&amp;"_"&amp;C440&amp;D440&amp;"_"&amp;BasicInput!$D$7&amp;BasicInput!$D$8&amp;"_"&amp;DG440&amp;".xuf"</f>
        <v>C:\PWWORKING\east01\d2591108\Ramps\__2019EX_PM_.xuf</v>
      </c>
    </row>
    <row r="441" spans="39:112" x14ac:dyDescent="0.2">
      <c r="AM441" s="18"/>
      <c r="AS441" s="18"/>
      <c r="AX441" s="17"/>
      <c r="BI441" s="18"/>
      <c r="BO441" s="18"/>
      <c r="BT441" s="18"/>
      <c r="CA441" s="18"/>
      <c r="CH441" s="18"/>
      <c r="DF441" s="31" t="str">
        <f t="shared" si="16"/>
        <v xml:space="preserve">  </v>
      </c>
      <c r="DG441" s="25" t="str">
        <f t="shared" si="17"/>
        <v/>
      </c>
      <c r="DH441" s="25" t="str">
        <f>BasicInput!$D$13&amp;$DH$2&amp;B441&amp;"_"&amp;C441&amp;D441&amp;"_"&amp;BasicInput!$D$7&amp;BasicInput!$D$8&amp;"_"&amp;DG441&amp;".xuf"</f>
        <v>C:\PWWORKING\east01\d2591108\Ramps\__2019EX_PM_.xuf</v>
      </c>
    </row>
    <row r="442" spans="39:112" x14ac:dyDescent="0.2">
      <c r="AM442" s="18"/>
      <c r="AS442" s="18"/>
      <c r="AX442" s="17"/>
      <c r="BI442" s="18"/>
      <c r="BO442" s="18"/>
      <c r="BT442" s="18"/>
      <c r="CA442" s="18"/>
      <c r="CH442" s="18"/>
      <c r="DF442" s="31" t="str">
        <f t="shared" si="16"/>
        <v xml:space="preserve">  </v>
      </c>
      <c r="DG442" s="25" t="str">
        <f t="shared" si="17"/>
        <v/>
      </c>
      <c r="DH442" s="25" t="str">
        <f>BasicInput!$D$13&amp;$DH$2&amp;B442&amp;"_"&amp;C442&amp;D442&amp;"_"&amp;BasicInput!$D$7&amp;BasicInput!$D$8&amp;"_"&amp;DG442&amp;".xuf"</f>
        <v>C:\PWWORKING\east01\d2591108\Ramps\__2019EX_PM_.xuf</v>
      </c>
    </row>
    <row r="443" spans="39:112" x14ac:dyDescent="0.2">
      <c r="AM443" s="18"/>
      <c r="AS443" s="18"/>
      <c r="AX443" s="17"/>
      <c r="BI443" s="18"/>
      <c r="BO443" s="18"/>
      <c r="BT443" s="18"/>
      <c r="CA443" s="18"/>
      <c r="CH443" s="18"/>
      <c r="DF443" s="31" t="str">
        <f t="shared" si="16"/>
        <v xml:space="preserve">  </v>
      </c>
      <c r="DG443" s="25" t="str">
        <f t="shared" si="17"/>
        <v/>
      </c>
      <c r="DH443" s="25" t="str">
        <f>BasicInput!$D$13&amp;$DH$2&amp;B443&amp;"_"&amp;C443&amp;D443&amp;"_"&amp;BasicInput!$D$7&amp;BasicInput!$D$8&amp;"_"&amp;DG443&amp;".xuf"</f>
        <v>C:\PWWORKING\east01\d2591108\Ramps\__2019EX_PM_.xuf</v>
      </c>
    </row>
    <row r="444" spans="39:112" x14ac:dyDescent="0.2">
      <c r="AM444" s="18"/>
      <c r="AS444" s="18"/>
      <c r="AX444" s="17"/>
      <c r="BI444" s="18"/>
      <c r="BO444" s="18"/>
      <c r="BT444" s="18"/>
      <c r="CA444" s="18"/>
      <c r="CH444" s="18"/>
      <c r="DF444" s="31" t="str">
        <f t="shared" si="16"/>
        <v xml:space="preserve">  </v>
      </c>
      <c r="DG444" s="25" t="str">
        <f t="shared" si="17"/>
        <v/>
      </c>
      <c r="DH444" s="25" t="str">
        <f>BasicInput!$D$13&amp;$DH$2&amp;B444&amp;"_"&amp;C444&amp;D444&amp;"_"&amp;BasicInput!$D$7&amp;BasicInput!$D$8&amp;"_"&amp;DG444&amp;".xuf"</f>
        <v>C:\PWWORKING\east01\d2591108\Ramps\__2019EX_PM_.xuf</v>
      </c>
    </row>
    <row r="445" spans="39:112" x14ac:dyDescent="0.2">
      <c r="AM445" s="18"/>
      <c r="AS445" s="18"/>
      <c r="AX445" s="17"/>
      <c r="BI445" s="18"/>
      <c r="BO445" s="18"/>
      <c r="BT445" s="18"/>
      <c r="CA445" s="18"/>
      <c r="CH445" s="18"/>
      <c r="DF445" s="31" t="str">
        <f t="shared" si="16"/>
        <v xml:space="preserve">  </v>
      </c>
      <c r="DG445" s="25" t="str">
        <f t="shared" si="17"/>
        <v/>
      </c>
      <c r="DH445" s="25" t="str">
        <f>BasicInput!$D$13&amp;$DH$2&amp;B445&amp;"_"&amp;C445&amp;D445&amp;"_"&amp;BasicInput!$D$7&amp;BasicInput!$D$8&amp;"_"&amp;DG445&amp;".xuf"</f>
        <v>C:\PWWORKING\east01\d2591108\Ramps\__2019EX_PM_.xuf</v>
      </c>
    </row>
    <row r="446" spans="39:112" x14ac:dyDescent="0.2">
      <c r="AM446" s="18"/>
      <c r="AS446" s="18"/>
      <c r="AX446" s="17"/>
      <c r="BI446" s="18"/>
      <c r="BO446" s="18"/>
      <c r="BT446" s="18"/>
      <c r="CA446" s="18"/>
      <c r="CH446" s="18"/>
      <c r="DF446" s="31" t="str">
        <f t="shared" si="16"/>
        <v xml:space="preserve">  </v>
      </c>
      <c r="DG446" s="25" t="str">
        <f t="shared" si="17"/>
        <v/>
      </c>
      <c r="DH446" s="25" t="str">
        <f>BasicInput!$D$13&amp;$DH$2&amp;B446&amp;"_"&amp;C446&amp;D446&amp;"_"&amp;BasicInput!$D$7&amp;BasicInput!$D$8&amp;"_"&amp;DG446&amp;".xuf"</f>
        <v>C:\PWWORKING\east01\d2591108\Ramps\__2019EX_PM_.xuf</v>
      </c>
    </row>
    <row r="447" spans="39:112" x14ac:dyDescent="0.2">
      <c r="AM447" s="18"/>
      <c r="AS447" s="18"/>
      <c r="AX447" s="17"/>
      <c r="BI447" s="18"/>
      <c r="BO447" s="18"/>
      <c r="BT447" s="18"/>
      <c r="CA447" s="18"/>
      <c r="CH447" s="18"/>
      <c r="DF447" s="31" t="str">
        <f t="shared" si="16"/>
        <v xml:space="preserve">  </v>
      </c>
      <c r="DG447" s="25" t="str">
        <f t="shared" si="17"/>
        <v/>
      </c>
      <c r="DH447" s="25" t="str">
        <f>BasicInput!$D$13&amp;$DH$2&amp;B447&amp;"_"&amp;C447&amp;D447&amp;"_"&amp;BasicInput!$D$7&amp;BasicInput!$D$8&amp;"_"&amp;DG447&amp;".xuf"</f>
        <v>C:\PWWORKING\east01\d2591108\Ramps\__2019EX_PM_.xuf</v>
      </c>
    </row>
    <row r="448" spans="39:112" x14ac:dyDescent="0.2">
      <c r="AM448" s="18"/>
      <c r="AS448" s="18"/>
      <c r="AX448" s="17"/>
      <c r="BI448" s="18"/>
      <c r="BO448" s="18"/>
      <c r="BT448" s="18"/>
      <c r="CA448" s="18"/>
      <c r="CH448" s="18"/>
      <c r="DF448" s="31" t="str">
        <f t="shared" si="16"/>
        <v xml:space="preserve">  </v>
      </c>
      <c r="DG448" s="25" t="str">
        <f t="shared" si="17"/>
        <v/>
      </c>
      <c r="DH448" s="25" t="str">
        <f>BasicInput!$D$13&amp;$DH$2&amp;B448&amp;"_"&amp;C448&amp;D448&amp;"_"&amp;BasicInput!$D$7&amp;BasicInput!$D$8&amp;"_"&amp;DG448&amp;".xuf"</f>
        <v>C:\PWWORKING\east01\d2591108\Ramps\__2019EX_PM_.xuf</v>
      </c>
    </row>
    <row r="449" spans="39:112" x14ac:dyDescent="0.2">
      <c r="AM449" s="18"/>
      <c r="AS449" s="18"/>
      <c r="AX449" s="17"/>
      <c r="BI449" s="18"/>
      <c r="BO449" s="18"/>
      <c r="BT449" s="18"/>
      <c r="CA449" s="18"/>
      <c r="CH449" s="18"/>
      <c r="DF449" s="31" t="str">
        <f t="shared" si="16"/>
        <v xml:space="preserve">  </v>
      </c>
      <c r="DG449" s="25" t="str">
        <f t="shared" si="17"/>
        <v/>
      </c>
      <c r="DH449" s="25" t="str">
        <f>BasicInput!$D$13&amp;$DH$2&amp;B449&amp;"_"&amp;C449&amp;D449&amp;"_"&amp;BasicInput!$D$7&amp;BasicInput!$D$8&amp;"_"&amp;DG449&amp;".xuf"</f>
        <v>C:\PWWORKING\east01\d2591108\Ramps\__2019EX_PM_.xuf</v>
      </c>
    </row>
    <row r="450" spans="39:112" x14ac:dyDescent="0.2">
      <c r="AM450" s="18"/>
      <c r="AS450" s="18"/>
      <c r="AX450" s="17"/>
      <c r="BI450" s="18"/>
      <c r="BO450" s="18"/>
      <c r="BT450" s="18"/>
      <c r="CA450" s="18"/>
      <c r="CH450" s="18"/>
      <c r="DF450" s="31" t="str">
        <f t="shared" si="16"/>
        <v xml:space="preserve">  </v>
      </c>
      <c r="DG450" s="25" t="str">
        <f t="shared" si="17"/>
        <v/>
      </c>
      <c r="DH450" s="25" t="str">
        <f>BasicInput!$D$13&amp;$DH$2&amp;B450&amp;"_"&amp;C450&amp;D450&amp;"_"&amp;BasicInput!$D$7&amp;BasicInput!$D$8&amp;"_"&amp;DG450&amp;".xuf"</f>
        <v>C:\PWWORKING\east01\d2591108\Ramps\__2019EX_PM_.xuf</v>
      </c>
    </row>
    <row r="451" spans="39:112" x14ac:dyDescent="0.2">
      <c r="AM451" s="18"/>
      <c r="AS451" s="18"/>
      <c r="AX451" s="17"/>
      <c r="BI451" s="18"/>
      <c r="BO451" s="18"/>
      <c r="BT451" s="18"/>
      <c r="CA451" s="18"/>
      <c r="CH451" s="18"/>
      <c r="DF451" s="31" t="str">
        <f t="shared" si="16"/>
        <v xml:space="preserve">  </v>
      </c>
      <c r="DG451" s="25" t="str">
        <f t="shared" si="17"/>
        <v/>
      </c>
      <c r="DH451" s="25" t="str">
        <f>BasicInput!$D$13&amp;$DH$2&amp;B451&amp;"_"&amp;C451&amp;D451&amp;"_"&amp;BasicInput!$D$7&amp;BasicInput!$D$8&amp;"_"&amp;DG451&amp;".xuf"</f>
        <v>C:\PWWORKING\east01\d2591108\Ramps\__2019EX_PM_.xuf</v>
      </c>
    </row>
    <row r="452" spans="39:112" x14ac:dyDescent="0.2">
      <c r="AM452" s="18"/>
      <c r="AS452" s="18"/>
      <c r="AX452" s="17"/>
      <c r="BI452" s="18"/>
      <c r="BO452" s="18"/>
      <c r="BT452" s="18"/>
      <c r="CA452" s="18"/>
      <c r="CH452" s="18"/>
      <c r="DF452" s="31" t="str">
        <f t="shared" si="16"/>
        <v xml:space="preserve">  </v>
      </c>
      <c r="DG452" s="25" t="str">
        <f t="shared" si="17"/>
        <v/>
      </c>
      <c r="DH452" s="25" t="str">
        <f>BasicInput!$D$13&amp;$DH$2&amp;B452&amp;"_"&amp;C452&amp;D452&amp;"_"&amp;BasicInput!$D$7&amp;BasicInput!$D$8&amp;"_"&amp;DG452&amp;".xuf"</f>
        <v>C:\PWWORKING\east01\d2591108\Ramps\__2019EX_PM_.xuf</v>
      </c>
    </row>
    <row r="453" spans="39:112" x14ac:dyDescent="0.2">
      <c r="AM453" s="18"/>
      <c r="AS453" s="18"/>
      <c r="AX453" s="17"/>
      <c r="BI453" s="18"/>
      <c r="BO453" s="18"/>
      <c r="BT453" s="18"/>
      <c r="CA453" s="18"/>
      <c r="CH453" s="18"/>
      <c r="DF453" s="31" t="str">
        <f t="shared" si="16"/>
        <v xml:space="preserve">  </v>
      </c>
      <c r="DG453" s="25" t="str">
        <f t="shared" si="17"/>
        <v/>
      </c>
      <c r="DH453" s="25" t="str">
        <f>BasicInput!$D$13&amp;$DH$2&amp;B453&amp;"_"&amp;C453&amp;D453&amp;"_"&amp;BasicInput!$D$7&amp;BasicInput!$D$8&amp;"_"&amp;DG453&amp;".xuf"</f>
        <v>C:\PWWORKING\east01\d2591108\Ramps\__2019EX_PM_.xuf</v>
      </c>
    </row>
    <row r="454" spans="39:112" x14ac:dyDescent="0.2">
      <c r="AM454" s="18"/>
      <c r="AS454" s="18"/>
      <c r="AX454" s="17"/>
      <c r="BI454" s="18"/>
      <c r="BO454" s="18"/>
      <c r="BT454" s="18"/>
      <c r="CA454" s="18"/>
      <c r="CH454" s="18"/>
      <c r="DF454" s="31" t="str">
        <f t="shared" si="16"/>
        <v xml:space="preserve">  </v>
      </c>
      <c r="DG454" s="25" t="str">
        <f t="shared" si="17"/>
        <v/>
      </c>
      <c r="DH454" s="25" t="str">
        <f>BasicInput!$D$13&amp;$DH$2&amp;B454&amp;"_"&amp;C454&amp;D454&amp;"_"&amp;BasicInput!$D$7&amp;BasicInput!$D$8&amp;"_"&amp;DG454&amp;".xuf"</f>
        <v>C:\PWWORKING\east01\d2591108\Ramps\__2019EX_PM_.xuf</v>
      </c>
    </row>
    <row r="455" spans="39:112" x14ac:dyDescent="0.2">
      <c r="AM455" s="18"/>
      <c r="AS455" s="18"/>
      <c r="AX455" s="17"/>
      <c r="BI455" s="18"/>
      <c r="BO455" s="18"/>
      <c r="BT455" s="18"/>
      <c r="CA455" s="18"/>
      <c r="CH455" s="18"/>
      <c r="DF455" s="31" t="str">
        <f t="shared" si="16"/>
        <v xml:space="preserve">  </v>
      </c>
      <c r="DG455" s="25" t="str">
        <f t="shared" si="17"/>
        <v/>
      </c>
      <c r="DH455" s="25" t="str">
        <f>BasicInput!$D$13&amp;$DH$2&amp;B455&amp;"_"&amp;C455&amp;D455&amp;"_"&amp;BasicInput!$D$7&amp;BasicInput!$D$8&amp;"_"&amp;DG455&amp;".xuf"</f>
        <v>C:\PWWORKING\east01\d2591108\Ramps\__2019EX_PM_.xuf</v>
      </c>
    </row>
    <row r="456" spans="39:112" x14ac:dyDescent="0.2">
      <c r="AM456" s="18"/>
      <c r="AS456" s="18"/>
      <c r="AX456" s="17"/>
      <c r="BI456" s="18"/>
      <c r="BO456" s="18"/>
      <c r="BT456" s="18"/>
      <c r="CA456" s="18"/>
      <c r="CH456" s="18"/>
      <c r="DF456" s="31" t="str">
        <f t="shared" si="16"/>
        <v xml:space="preserve">  </v>
      </c>
      <c r="DG456" s="25" t="str">
        <f t="shared" si="17"/>
        <v/>
      </c>
      <c r="DH456" s="25" t="str">
        <f>BasicInput!$D$13&amp;$DH$2&amp;B456&amp;"_"&amp;C456&amp;D456&amp;"_"&amp;BasicInput!$D$7&amp;BasicInput!$D$8&amp;"_"&amp;DG456&amp;".xuf"</f>
        <v>C:\PWWORKING\east01\d2591108\Ramps\__2019EX_PM_.xuf</v>
      </c>
    </row>
    <row r="457" spans="39:112" x14ac:dyDescent="0.2">
      <c r="AM457" s="18"/>
      <c r="AS457" s="18"/>
      <c r="AX457" s="17"/>
      <c r="BI457" s="18"/>
      <c r="BO457" s="18"/>
      <c r="BT457" s="18"/>
      <c r="CA457" s="18"/>
      <c r="CH457" s="18"/>
      <c r="DF457" s="31" t="str">
        <f t="shared" si="16"/>
        <v xml:space="preserve">  </v>
      </c>
      <c r="DG457" s="25" t="str">
        <f t="shared" si="17"/>
        <v/>
      </c>
      <c r="DH457" s="25" t="str">
        <f>BasicInput!$D$13&amp;$DH$2&amp;B457&amp;"_"&amp;C457&amp;D457&amp;"_"&amp;BasicInput!$D$7&amp;BasicInput!$D$8&amp;"_"&amp;DG457&amp;".xuf"</f>
        <v>C:\PWWORKING\east01\d2591108\Ramps\__2019EX_PM_.xuf</v>
      </c>
    </row>
    <row r="458" spans="39:112" x14ac:dyDescent="0.2">
      <c r="AM458" s="18"/>
      <c r="AS458" s="18"/>
      <c r="AX458" s="17"/>
      <c r="BI458" s="18"/>
      <c r="BO458" s="18"/>
      <c r="BT458" s="18"/>
      <c r="CA458" s="18"/>
      <c r="CH458" s="18"/>
      <c r="DF458" s="31" t="str">
        <f t="shared" si="16"/>
        <v xml:space="preserve">  </v>
      </c>
      <c r="DG458" s="25" t="str">
        <f t="shared" si="17"/>
        <v/>
      </c>
      <c r="DH458" s="25" t="str">
        <f>BasicInput!$D$13&amp;$DH$2&amp;B458&amp;"_"&amp;C458&amp;D458&amp;"_"&amp;BasicInput!$D$7&amp;BasicInput!$D$8&amp;"_"&amp;DG458&amp;".xuf"</f>
        <v>C:\PWWORKING\east01\d2591108\Ramps\__2019EX_PM_.xuf</v>
      </c>
    </row>
    <row r="459" spans="39:112" x14ac:dyDescent="0.2">
      <c r="AM459" s="18"/>
      <c r="AS459" s="18"/>
      <c r="AX459" s="17"/>
      <c r="BI459" s="18"/>
      <c r="BO459" s="18"/>
      <c r="BT459" s="18"/>
      <c r="CA459" s="18"/>
      <c r="CH459" s="18"/>
      <c r="DF459" s="31" t="str">
        <f t="shared" si="16"/>
        <v xml:space="preserve">  </v>
      </c>
      <c r="DG459" s="25" t="str">
        <f t="shared" si="17"/>
        <v/>
      </c>
      <c r="DH459" s="25" t="str">
        <f>BasicInput!$D$13&amp;$DH$2&amp;B459&amp;"_"&amp;C459&amp;D459&amp;"_"&amp;BasicInput!$D$7&amp;BasicInput!$D$8&amp;"_"&amp;DG459&amp;".xuf"</f>
        <v>C:\PWWORKING\east01\d2591108\Ramps\__2019EX_PM_.xuf</v>
      </c>
    </row>
    <row r="460" spans="39:112" x14ac:dyDescent="0.2">
      <c r="AM460" s="18"/>
      <c r="AS460" s="18"/>
      <c r="AX460" s="17"/>
      <c r="BI460" s="18"/>
      <c r="BO460" s="18"/>
      <c r="BT460" s="18"/>
      <c r="CA460" s="18"/>
      <c r="CH460" s="18"/>
      <c r="DF460" s="31" t="str">
        <f t="shared" si="16"/>
        <v xml:space="preserve">  </v>
      </c>
      <c r="DG460" s="25" t="str">
        <f t="shared" si="17"/>
        <v/>
      </c>
      <c r="DH460" s="25" t="str">
        <f>BasicInput!$D$13&amp;$DH$2&amp;B460&amp;"_"&amp;C460&amp;D460&amp;"_"&amp;BasicInput!$D$7&amp;BasicInput!$D$8&amp;"_"&amp;DG460&amp;".xuf"</f>
        <v>C:\PWWORKING\east01\d2591108\Ramps\__2019EX_PM_.xuf</v>
      </c>
    </row>
    <row r="461" spans="39:112" x14ac:dyDescent="0.2">
      <c r="AM461" s="18"/>
      <c r="AS461" s="18"/>
      <c r="AX461" s="17"/>
      <c r="BI461" s="18"/>
      <c r="BO461" s="18"/>
      <c r="BT461" s="18"/>
      <c r="CA461" s="18"/>
      <c r="CH461" s="18"/>
      <c r="DF461" s="31" t="str">
        <f t="shared" si="16"/>
        <v xml:space="preserve">  </v>
      </c>
      <c r="DG461" s="25" t="str">
        <f t="shared" si="17"/>
        <v/>
      </c>
      <c r="DH461" s="25" t="str">
        <f>BasicInput!$D$13&amp;$DH$2&amp;B461&amp;"_"&amp;C461&amp;D461&amp;"_"&amp;BasicInput!$D$7&amp;BasicInput!$D$8&amp;"_"&amp;DG461&amp;".xuf"</f>
        <v>C:\PWWORKING\east01\d2591108\Ramps\__2019EX_PM_.xuf</v>
      </c>
    </row>
    <row r="462" spans="39:112" x14ac:dyDescent="0.2">
      <c r="AM462" s="18"/>
      <c r="AS462" s="18"/>
      <c r="AX462" s="17"/>
      <c r="BI462" s="18"/>
      <c r="BO462" s="18"/>
      <c r="BT462" s="18"/>
      <c r="CA462" s="18"/>
      <c r="CH462" s="18"/>
      <c r="DF462" s="31" t="str">
        <f t="shared" si="16"/>
        <v xml:space="preserve">  </v>
      </c>
      <c r="DG462" s="25" t="str">
        <f t="shared" si="17"/>
        <v/>
      </c>
      <c r="DH462" s="25" t="str">
        <f>BasicInput!$D$13&amp;$DH$2&amp;B462&amp;"_"&amp;C462&amp;D462&amp;"_"&amp;BasicInput!$D$7&amp;BasicInput!$D$8&amp;"_"&amp;DG462&amp;".xuf"</f>
        <v>C:\PWWORKING\east01\d2591108\Ramps\__2019EX_PM_.xuf</v>
      </c>
    </row>
    <row r="463" spans="39:112" x14ac:dyDescent="0.2">
      <c r="AM463" s="18"/>
      <c r="AS463" s="18"/>
      <c r="AX463" s="17"/>
      <c r="BI463" s="18"/>
      <c r="BO463" s="18"/>
      <c r="BT463" s="18"/>
      <c r="CA463" s="18"/>
      <c r="CH463" s="18"/>
      <c r="DF463" s="31" t="str">
        <f t="shared" si="16"/>
        <v xml:space="preserve">  </v>
      </c>
      <c r="DG463" s="25" t="str">
        <f t="shared" si="17"/>
        <v/>
      </c>
      <c r="DH463" s="25" t="str">
        <f>BasicInput!$D$13&amp;$DH$2&amp;B463&amp;"_"&amp;C463&amp;D463&amp;"_"&amp;BasicInput!$D$7&amp;BasicInput!$D$8&amp;"_"&amp;DG463&amp;".xuf"</f>
        <v>C:\PWWORKING\east01\d2591108\Ramps\__2019EX_PM_.xuf</v>
      </c>
    </row>
    <row r="464" spans="39:112" x14ac:dyDescent="0.2">
      <c r="AM464" s="18"/>
      <c r="AS464" s="18"/>
      <c r="AX464" s="17"/>
      <c r="BI464" s="18"/>
      <c r="BO464" s="18"/>
      <c r="BT464" s="18"/>
      <c r="CA464" s="18"/>
      <c r="CH464" s="18"/>
      <c r="DF464" s="31" t="str">
        <f t="shared" si="16"/>
        <v xml:space="preserve">  </v>
      </c>
      <c r="DG464" s="25" t="str">
        <f t="shared" si="17"/>
        <v/>
      </c>
      <c r="DH464" s="25" t="str">
        <f>BasicInput!$D$13&amp;$DH$2&amp;B464&amp;"_"&amp;C464&amp;D464&amp;"_"&amp;BasicInput!$D$7&amp;BasicInput!$D$8&amp;"_"&amp;DG464&amp;".xuf"</f>
        <v>C:\PWWORKING\east01\d2591108\Ramps\__2019EX_PM_.xuf</v>
      </c>
    </row>
    <row r="465" spans="39:112" x14ac:dyDescent="0.2">
      <c r="AM465" s="18"/>
      <c r="AS465" s="18"/>
      <c r="AX465" s="17"/>
      <c r="BI465" s="18"/>
      <c r="BO465" s="18"/>
      <c r="BT465" s="18"/>
      <c r="CA465" s="18"/>
      <c r="CH465" s="18"/>
      <c r="DF465" s="31" t="str">
        <f t="shared" ref="DF465:DF528" si="18">C465&amp; " "&amp;D465&amp;" " &amp;E465</f>
        <v xml:space="preserve">  </v>
      </c>
      <c r="DG465" s="25" t="str">
        <f t="shared" ref="DG465:DG528" si="19">SUBSTITUTE(E465, "/", "_")</f>
        <v/>
      </c>
      <c r="DH465" s="25" t="str">
        <f>BasicInput!$D$13&amp;$DH$2&amp;B465&amp;"_"&amp;C465&amp;D465&amp;"_"&amp;BasicInput!$D$7&amp;BasicInput!$D$8&amp;"_"&amp;DG465&amp;".xuf"</f>
        <v>C:\PWWORKING\east01\d2591108\Ramps\__2019EX_PM_.xuf</v>
      </c>
    </row>
    <row r="466" spans="39:112" x14ac:dyDescent="0.2">
      <c r="AM466" s="18"/>
      <c r="AS466" s="18"/>
      <c r="AX466" s="17"/>
      <c r="BI466" s="18"/>
      <c r="BO466" s="18"/>
      <c r="BT466" s="18"/>
      <c r="CA466" s="18"/>
      <c r="CH466" s="18"/>
      <c r="DF466" s="31" t="str">
        <f t="shared" si="18"/>
        <v xml:space="preserve">  </v>
      </c>
      <c r="DG466" s="25" t="str">
        <f t="shared" si="19"/>
        <v/>
      </c>
      <c r="DH466" s="25" t="str">
        <f>BasicInput!$D$13&amp;$DH$2&amp;B466&amp;"_"&amp;C466&amp;D466&amp;"_"&amp;BasicInput!$D$7&amp;BasicInput!$D$8&amp;"_"&amp;DG466&amp;".xuf"</f>
        <v>C:\PWWORKING\east01\d2591108\Ramps\__2019EX_PM_.xuf</v>
      </c>
    </row>
    <row r="467" spans="39:112" x14ac:dyDescent="0.2">
      <c r="AM467" s="18"/>
      <c r="AS467" s="18"/>
      <c r="AX467" s="17"/>
      <c r="BI467" s="18"/>
      <c r="BO467" s="18"/>
      <c r="BT467" s="18"/>
      <c r="CA467" s="18"/>
      <c r="CH467" s="18"/>
      <c r="DF467" s="31" t="str">
        <f t="shared" si="18"/>
        <v xml:space="preserve">  </v>
      </c>
      <c r="DG467" s="25" t="str">
        <f t="shared" si="19"/>
        <v/>
      </c>
      <c r="DH467" s="25" t="str">
        <f>BasicInput!$D$13&amp;$DH$2&amp;B467&amp;"_"&amp;C467&amp;D467&amp;"_"&amp;BasicInput!$D$7&amp;BasicInput!$D$8&amp;"_"&amp;DG467&amp;".xuf"</f>
        <v>C:\PWWORKING\east01\d2591108\Ramps\__2019EX_PM_.xuf</v>
      </c>
    </row>
    <row r="468" spans="39:112" x14ac:dyDescent="0.2">
      <c r="AM468" s="18"/>
      <c r="AS468" s="18"/>
      <c r="AX468" s="17"/>
      <c r="BI468" s="18"/>
      <c r="BO468" s="18"/>
      <c r="BT468" s="18"/>
      <c r="CA468" s="18"/>
      <c r="CH468" s="18"/>
      <c r="DF468" s="31" t="str">
        <f t="shared" si="18"/>
        <v xml:space="preserve">  </v>
      </c>
      <c r="DG468" s="25" t="str">
        <f t="shared" si="19"/>
        <v/>
      </c>
      <c r="DH468" s="25" t="str">
        <f>BasicInput!$D$13&amp;$DH$2&amp;B468&amp;"_"&amp;C468&amp;D468&amp;"_"&amp;BasicInput!$D$7&amp;BasicInput!$D$8&amp;"_"&amp;DG468&amp;".xuf"</f>
        <v>C:\PWWORKING\east01\d2591108\Ramps\__2019EX_PM_.xuf</v>
      </c>
    </row>
    <row r="469" spans="39:112" x14ac:dyDescent="0.2">
      <c r="AM469" s="18"/>
      <c r="AS469" s="18"/>
      <c r="AX469" s="17"/>
      <c r="BI469" s="18"/>
      <c r="BO469" s="18"/>
      <c r="BT469" s="18"/>
      <c r="CA469" s="18"/>
      <c r="CH469" s="18"/>
      <c r="DF469" s="31" t="str">
        <f t="shared" si="18"/>
        <v xml:space="preserve">  </v>
      </c>
      <c r="DG469" s="25" t="str">
        <f t="shared" si="19"/>
        <v/>
      </c>
      <c r="DH469" s="25" t="str">
        <f>BasicInput!$D$13&amp;$DH$2&amp;B469&amp;"_"&amp;C469&amp;D469&amp;"_"&amp;BasicInput!$D$7&amp;BasicInput!$D$8&amp;"_"&amp;DG469&amp;".xuf"</f>
        <v>C:\PWWORKING\east01\d2591108\Ramps\__2019EX_PM_.xuf</v>
      </c>
    </row>
    <row r="470" spans="39:112" x14ac:dyDescent="0.2">
      <c r="AM470" s="18"/>
      <c r="AS470" s="18"/>
      <c r="AX470" s="17"/>
      <c r="BI470" s="18"/>
      <c r="BO470" s="18"/>
      <c r="BT470" s="18"/>
      <c r="CA470" s="18"/>
      <c r="CH470" s="18"/>
      <c r="DF470" s="31" t="str">
        <f t="shared" si="18"/>
        <v xml:space="preserve">  </v>
      </c>
      <c r="DG470" s="25" t="str">
        <f t="shared" si="19"/>
        <v/>
      </c>
      <c r="DH470" s="25" t="str">
        <f>BasicInput!$D$13&amp;$DH$2&amp;B470&amp;"_"&amp;C470&amp;D470&amp;"_"&amp;BasicInput!$D$7&amp;BasicInput!$D$8&amp;"_"&amp;DG470&amp;".xuf"</f>
        <v>C:\PWWORKING\east01\d2591108\Ramps\__2019EX_PM_.xuf</v>
      </c>
    </row>
    <row r="471" spans="39:112" x14ac:dyDescent="0.2">
      <c r="AM471" s="18"/>
      <c r="AS471" s="18"/>
      <c r="AX471" s="17"/>
      <c r="BI471" s="18"/>
      <c r="BO471" s="18"/>
      <c r="BT471" s="18"/>
      <c r="CA471" s="18"/>
      <c r="CH471" s="18"/>
      <c r="DF471" s="31" t="str">
        <f t="shared" si="18"/>
        <v xml:space="preserve">  </v>
      </c>
      <c r="DG471" s="25" t="str">
        <f t="shared" si="19"/>
        <v/>
      </c>
      <c r="DH471" s="25" t="str">
        <f>BasicInput!$D$13&amp;$DH$2&amp;B471&amp;"_"&amp;C471&amp;D471&amp;"_"&amp;BasicInput!$D$7&amp;BasicInput!$D$8&amp;"_"&amp;DG471&amp;".xuf"</f>
        <v>C:\PWWORKING\east01\d2591108\Ramps\__2019EX_PM_.xuf</v>
      </c>
    </row>
    <row r="472" spans="39:112" x14ac:dyDescent="0.2">
      <c r="AM472" s="18"/>
      <c r="AS472" s="18"/>
      <c r="AX472" s="17"/>
      <c r="BI472" s="18"/>
      <c r="BO472" s="18"/>
      <c r="BT472" s="18"/>
      <c r="CA472" s="18"/>
      <c r="CH472" s="18"/>
      <c r="DF472" s="31" t="str">
        <f t="shared" si="18"/>
        <v xml:space="preserve">  </v>
      </c>
      <c r="DG472" s="25" t="str">
        <f t="shared" si="19"/>
        <v/>
      </c>
      <c r="DH472" s="25" t="str">
        <f>BasicInput!$D$13&amp;$DH$2&amp;B472&amp;"_"&amp;C472&amp;D472&amp;"_"&amp;BasicInput!$D$7&amp;BasicInput!$D$8&amp;"_"&amp;DG472&amp;".xuf"</f>
        <v>C:\PWWORKING\east01\d2591108\Ramps\__2019EX_PM_.xuf</v>
      </c>
    </row>
    <row r="473" spans="39:112" x14ac:dyDescent="0.2">
      <c r="AM473" s="18"/>
      <c r="AS473" s="18"/>
      <c r="AX473" s="17"/>
      <c r="BI473" s="18"/>
      <c r="BO473" s="18"/>
      <c r="BT473" s="18"/>
      <c r="CA473" s="18"/>
      <c r="CH473" s="18"/>
      <c r="DF473" s="31" t="str">
        <f t="shared" si="18"/>
        <v xml:space="preserve">  </v>
      </c>
      <c r="DG473" s="25" t="str">
        <f t="shared" si="19"/>
        <v/>
      </c>
      <c r="DH473" s="25" t="str">
        <f>BasicInput!$D$13&amp;$DH$2&amp;B473&amp;"_"&amp;C473&amp;D473&amp;"_"&amp;BasicInput!$D$7&amp;BasicInput!$D$8&amp;"_"&amp;DG473&amp;".xuf"</f>
        <v>C:\PWWORKING\east01\d2591108\Ramps\__2019EX_PM_.xuf</v>
      </c>
    </row>
    <row r="474" spans="39:112" x14ac:dyDescent="0.2">
      <c r="AM474" s="18"/>
      <c r="AS474" s="18"/>
      <c r="AX474" s="17"/>
      <c r="BI474" s="18"/>
      <c r="BO474" s="18"/>
      <c r="BT474" s="18"/>
      <c r="CA474" s="18"/>
      <c r="CH474" s="18"/>
      <c r="DF474" s="31" t="str">
        <f t="shared" si="18"/>
        <v xml:space="preserve">  </v>
      </c>
      <c r="DG474" s="25" t="str">
        <f t="shared" si="19"/>
        <v/>
      </c>
      <c r="DH474" s="25" t="str">
        <f>BasicInput!$D$13&amp;$DH$2&amp;B474&amp;"_"&amp;C474&amp;D474&amp;"_"&amp;BasicInput!$D$7&amp;BasicInput!$D$8&amp;"_"&amp;DG474&amp;".xuf"</f>
        <v>C:\PWWORKING\east01\d2591108\Ramps\__2019EX_PM_.xuf</v>
      </c>
    </row>
    <row r="475" spans="39:112" x14ac:dyDescent="0.2">
      <c r="AM475" s="18"/>
      <c r="AS475" s="18"/>
      <c r="AX475" s="17"/>
      <c r="BI475" s="18"/>
      <c r="BO475" s="18"/>
      <c r="BT475" s="18"/>
      <c r="CA475" s="18"/>
      <c r="CH475" s="18"/>
      <c r="DF475" s="31" t="str">
        <f t="shared" si="18"/>
        <v xml:space="preserve">  </v>
      </c>
      <c r="DG475" s="25" t="str">
        <f t="shared" si="19"/>
        <v/>
      </c>
      <c r="DH475" s="25" t="str">
        <f>BasicInput!$D$13&amp;$DH$2&amp;B475&amp;"_"&amp;C475&amp;D475&amp;"_"&amp;BasicInput!$D$7&amp;BasicInput!$D$8&amp;"_"&amp;DG475&amp;".xuf"</f>
        <v>C:\PWWORKING\east01\d2591108\Ramps\__2019EX_PM_.xuf</v>
      </c>
    </row>
    <row r="476" spans="39:112" x14ac:dyDescent="0.2">
      <c r="AM476" s="18"/>
      <c r="AS476" s="18"/>
      <c r="AX476" s="17"/>
      <c r="BI476" s="18"/>
      <c r="BO476" s="18"/>
      <c r="BT476" s="18"/>
      <c r="CA476" s="18"/>
      <c r="CH476" s="18"/>
      <c r="DF476" s="31" t="str">
        <f t="shared" si="18"/>
        <v xml:space="preserve">  </v>
      </c>
      <c r="DG476" s="25" t="str">
        <f t="shared" si="19"/>
        <v/>
      </c>
      <c r="DH476" s="25" t="str">
        <f>BasicInput!$D$13&amp;$DH$2&amp;B476&amp;"_"&amp;C476&amp;D476&amp;"_"&amp;BasicInput!$D$7&amp;BasicInput!$D$8&amp;"_"&amp;DG476&amp;".xuf"</f>
        <v>C:\PWWORKING\east01\d2591108\Ramps\__2019EX_PM_.xuf</v>
      </c>
    </row>
    <row r="477" spans="39:112" x14ac:dyDescent="0.2">
      <c r="AM477" s="18"/>
      <c r="AS477" s="18"/>
      <c r="AX477" s="17"/>
      <c r="BI477" s="18"/>
      <c r="BO477" s="18"/>
      <c r="BT477" s="18"/>
      <c r="CA477" s="18"/>
      <c r="CH477" s="18"/>
      <c r="DF477" s="31" t="str">
        <f t="shared" si="18"/>
        <v xml:space="preserve">  </v>
      </c>
      <c r="DG477" s="25" t="str">
        <f t="shared" si="19"/>
        <v/>
      </c>
      <c r="DH477" s="25" t="str">
        <f>BasicInput!$D$13&amp;$DH$2&amp;B477&amp;"_"&amp;C477&amp;D477&amp;"_"&amp;BasicInput!$D$7&amp;BasicInput!$D$8&amp;"_"&amp;DG477&amp;".xuf"</f>
        <v>C:\PWWORKING\east01\d2591108\Ramps\__2019EX_PM_.xuf</v>
      </c>
    </row>
    <row r="478" spans="39:112" x14ac:dyDescent="0.2">
      <c r="AM478" s="18"/>
      <c r="AS478" s="18"/>
      <c r="AX478" s="17"/>
      <c r="BI478" s="18"/>
      <c r="BO478" s="18"/>
      <c r="BT478" s="18"/>
      <c r="CA478" s="18"/>
      <c r="CH478" s="18"/>
      <c r="DF478" s="31" t="str">
        <f t="shared" si="18"/>
        <v xml:space="preserve">  </v>
      </c>
      <c r="DG478" s="25" t="str">
        <f t="shared" si="19"/>
        <v/>
      </c>
      <c r="DH478" s="25" t="str">
        <f>BasicInput!$D$13&amp;$DH$2&amp;B478&amp;"_"&amp;C478&amp;D478&amp;"_"&amp;BasicInput!$D$7&amp;BasicInput!$D$8&amp;"_"&amp;DG478&amp;".xuf"</f>
        <v>C:\PWWORKING\east01\d2591108\Ramps\__2019EX_PM_.xuf</v>
      </c>
    </row>
    <row r="479" spans="39:112" x14ac:dyDescent="0.2">
      <c r="AM479" s="18"/>
      <c r="AS479" s="18"/>
      <c r="AX479" s="17"/>
      <c r="BI479" s="18"/>
      <c r="BO479" s="18"/>
      <c r="BT479" s="18"/>
      <c r="CA479" s="18"/>
      <c r="CH479" s="18"/>
      <c r="DF479" s="31" t="str">
        <f t="shared" si="18"/>
        <v xml:space="preserve">  </v>
      </c>
      <c r="DG479" s="25" t="str">
        <f t="shared" si="19"/>
        <v/>
      </c>
      <c r="DH479" s="25" t="str">
        <f>BasicInput!$D$13&amp;$DH$2&amp;B479&amp;"_"&amp;C479&amp;D479&amp;"_"&amp;BasicInput!$D$7&amp;BasicInput!$D$8&amp;"_"&amp;DG479&amp;".xuf"</f>
        <v>C:\PWWORKING\east01\d2591108\Ramps\__2019EX_PM_.xuf</v>
      </c>
    </row>
    <row r="480" spans="39:112" x14ac:dyDescent="0.2">
      <c r="AM480" s="18"/>
      <c r="AS480" s="18"/>
      <c r="AX480" s="17"/>
      <c r="BI480" s="18"/>
      <c r="BO480" s="18"/>
      <c r="BT480" s="18"/>
      <c r="CA480" s="18"/>
      <c r="CH480" s="18"/>
      <c r="DF480" s="31" t="str">
        <f t="shared" si="18"/>
        <v xml:space="preserve">  </v>
      </c>
      <c r="DG480" s="25" t="str">
        <f t="shared" si="19"/>
        <v/>
      </c>
      <c r="DH480" s="25" t="str">
        <f>BasicInput!$D$13&amp;$DH$2&amp;B480&amp;"_"&amp;C480&amp;D480&amp;"_"&amp;BasicInput!$D$7&amp;BasicInput!$D$8&amp;"_"&amp;DG480&amp;".xuf"</f>
        <v>C:\PWWORKING\east01\d2591108\Ramps\__2019EX_PM_.xuf</v>
      </c>
    </row>
    <row r="481" spans="39:112" x14ac:dyDescent="0.2">
      <c r="AM481" s="18"/>
      <c r="AS481" s="18"/>
      <c r="AX481" s="17"/>
      <c r="BI481" s="18"/>
      <c r="BO481" s="18"/>
      <c r="BT481" s="18"/>
      <c r="CA481" s="18"/>
      <c r="CH481" s="18"/>
      <c r="DF481" s="31" t="str">
        <f t="shared" si="18"/>
        <v xml:space="preserve">  </v>
      </c>
      <c r="DG481" s="25" t="str">
        <f t="shared" si="19"/>
        <v/>
      </c>
      <c r="DH481" s="25" t="str">
        <f>BasicInput!$D$13&amp;$DH$2&amp;B481&amp;"_"&amp;C481&amp;D481&amp;"_"&amp;BasicInput!$D$7&amp;BasicInput!$D$8&amp;"_"&amp;DG481&amp;".xuf"</f>
        <v>C:\PWWORKING\east01\d2591108\Ramps\__2019EX_PM_.xuf</v>
      </c>
    </row>
    <row r="482" spans="39:112" x14ac:dyDescent="0.2">
      <c r="AM482" s="18"/>
      <c r="AS482" s="18"/>
      <c r="AX482" s="17"/>
      <c r="BI482" s="18"/>
      <c r="BO482" s="18"/>
      <c r="BT482" s="18"/>
      <c r="CA482" s="18"/>
      <c r="CH482" s="18"/>
      <c r="DF482" s="31" t="str">
        <f t="shared" si="18"/>
        <v xml:space="preserve">  </v>
      </c>
      <c r="DG482" s="25" t="str">
        <f t="shared" si="19"/>
        <v/>
      </c>
      <c r="DH482" s="25" t="str">
        <f>BasicInput!$D$13&amp;$DH$2&amp;B482&amp;"_"&amp;C482&amp;D482&amp;"_"&amp;BasicInput!$D$7&amp;BasicInput!$D$8&amp;"_"&amp;DG482&amp;".xuf"</f>
        <v>C:\PWWORKING\east01\d2591108\Ramps\__2019EX_PM_.xuf</v>
      </c>
    </row>
    <row r="483" spans="39:112" x14ac:dyDescent="0.2">
      <c r="AM483" s="18"/>
      <c r="AS483" s="18"/>
      <c r="AX483" s="17"/>
      <c r="BI483" s="18"/>
      <c r="BO483" s="18"/>
      <c r="BT483" s="18"/>
      <c r="CA483" s="18"/>
      <c r="CH483" s="18"/>
      <c r="DF483" s="31" t="str">
        <f t="shared" si="18"/>
        <v xml:space="preserve">  </v>
      </c>
      <c r="DG483" s="25" t="str">
        <f t="shared" si="19"/>
        <v/>
      </c>
      <c r="DH483" s="25" t="str">
        <f>BasicInput!$D$13&amp;$DH$2&amp;B483&amp;"_"&amp;C483&amp;D483&amp;"_"&amp;BasicInput!$D$7&amp;BasicInput!$D$8&amp;"_"&amp;DG483&amp;".xuf"</f>
        <v>C:\PWWORKING\east01\d2591108\Ramps\__2019EX_PM_.xuf</v>
      </c>
    </row>
    <row r="484" spans="39:112" x14ac:dyDescent="0.2">
      <c r="AM484" s="18"/>
      <c r="AS484" s="18"/>
      <c r="AX484" s="17"/>
      <c r="BI484" s="18"/>
      <c r="BO484" s="18"/>
      <c r="BT484" s="18"/>
      <c r="CA484" s="18"/>
      <c r="CH484" s="18"/>
      <c r="DF484" s="31" t="str">
        <f t="shared" si="18"/>
        <v xml:space="preserve">  </v>
      </c>
      <c r="DG484" s="25" t="str">
        <f t="shared" si="19"/>
        <v/>
      </c>
      <c r="DH484" s="25" t="str">
        <f>BasicInput!$D$13&amp;$DH$2&amp;B484&amp;"_"&amp;C484&amp;D484&amp;"_"&amp;BasicInput!$D$7&amp;BasicInput!$D$8&amp;"_"&amp;DG484&amp;".xuf"</f>
        <v>C:\PWWORKING\east01\d2591108\Ramps\__2019EX_PM_.xuf</v>
      </c>
    </row>
    <row r="485" spans="39:112" x14ac:dyDescent="0.2">
      <c r="AM485" s="18"/>
      <c r="AS485" s="18"/>
      <c r="AX485" s="17"/>
      <c r="BI485" s="18"/>
      <c r="BO485" s="18"/>
      <c r="BT485" s="18"/>
      <c r="CA485" s="18"/>
      <c r="CH485" s="18"/>
      <c r="DF485" s="31" t="str">
        <f t="shared" si="18"/>
        <v xml:space="preserve">  </v>
      </c>
      <c r="DG485" s="25" t="str">
        <f t="shared" si="19"/>
        <v/>
      </c>
      <c r="DH485" s="25" t="str">
        <f>BasicInput!$D$13&amp;$DH$2&amp;B485&amp;"_"&amp;C485&amp;D485&amp;"_"&amp;BasicInput!$D$7&amp;BasicInput!$D$8&amp;"_"&amp;DG485&amp;".xuf"</f>
        <v>C:\PWWORKING\east01\d2591108\Ramps\__2019EX_PM_.xuf</v>
      </c>
    </row>
    <row r="486" spans="39:112" x14ac:dyDescent="0.2">
      <c r="AM486" s="18"/>
      <c r="AS486" s="18"/>
      <c r="AX486" s="17"/>
      <c r="BI486" s="18"/>
      <c r="BO486" s="18"/>
      <c r="BT486" s="18"/>
      <c r="CA486" s="18"/>
      <c r="CH486" s="18"/>
      <c r="DF486" s="31" t="str">
        <f t="shared" si="18"/>
        <v xml:space="preserve">  </v>
      </c>
      <c r="DG486" s="25" t="str">
        <f t="shared" si="19"/>
        <v/>
      </c>
      <c r="DH486" s="25" t="str">
        <f>BasicInput!$D$13&amp;$DH$2&amp;B486&amp;"_"&amp;C486&amp;D486&amp;"_"&amp;BasicInput!$D$7&amp;BasicInput!$D$8&amp;"_"&amp;DG486&amp;".xuf"</f>
        <v>C:\PWWORKING\east01\d2591108\Ramps\__2019EX_PM_.xuf</v>
      </c>
    </row>
    <row r="487" spans="39:112" x14ac:dyDescent="0.2">
      <c r="AM487" s="18"/>
      <c r="AS487" s="18"/>
      <c r="AX487" s="17"/>
      <c r="BI487" s="18"/>
      <c r="BO487" s="18"/>
      <c r="BT487" s="18"/>
      <c r="CA487" s="18"/>
      <c r="CH487" s="18"/>
      <c r="DF487" s="31" t="str">
        <f t="shared" si="18"/>
        <v xml:space="preserve">  </v>
      </c>
      <c r="DG487" s="25" t="str">
        <f t="shared" si="19"/>
        <v/>
      </c>
      <c r="DH487" s="25" t="str">
        <f>BasicInput!$D$13&amp;$DH$2&amp;B487&amp;"_"&amp;C487&amp;D487&amp;"_"&amp;BasicInput!$D$7&amp;BasicInput!$D$8&amp;"_"&amp;DG487&amp;".xuf"</f>
        <v>C:\PWWORKING\east01\d2591108\Ramps\__2019EX_PM_.xuf</v>
      </c>
    </row>
    <row r="488" spans="39:112" x14ac:dyDescent="0.2">
      <c r="AM488" s="18"/>
      <c r="AS488" s="18"/>
      <c r="AX488" s="17"/>
      <c r="BI488" s="18"/>
      <c r="BO488" s="18"/>
      <c r="BT488" s="18"/>
      <c r="CA488" s="18"/>
      <c r="CH488" s="18"/>
      <c r="DF488" s="31" t="str">
        <f t="shared" si="18"/>
        <v xml:space="preserve">  </v>
      </c>
      <c r="DG488" s="25" t="str">
        <f t="shared" si="19"/>
        <v/>
      </c>
      <c r="DH488" s="25" t="str">
        <f>BasicInput!$D$13&amp;$DH$2&amp;B488&amp;"_"&amp;C488&amp;D488&amp;"_"&amp;BasicInput!$D$7&amp;BasicInput!$D$8&amp;"_"&amp;DG488&amp;".xuf"</f>
        <v>C:\PWWORKING\east01\d2591108\Ramps\__2019EX_PM_.xuf</v>
      </c>
    </row>
    <row r="489" spans="39:112" x14ac:dyDescent="0.2">
      <c r="AM489" s="18"/>
      <c r="AS489" s="18"/>
      <c r="AX489" s="17"/>
      <c r="BI489" s="18"/>
      <c r="BO489" s="18"/>
      <c r="BT489" s="18"/>
      <c r="CA489" s="18"/>
      <c r="CH489" s="18"/>
      <c r="DF489" s="31" t="str">
        <f t="shared" si="18"/>
        <v xml:space="preserve">  </v>
      </c>
      <c r="DG489" s="25" t="str">
        <f t="shared" si="19"/>
        <v/>
      </c>
      <c r="DH489" s="25" t="str">
        <f>BasicInput!$D$13&amp;$DH$2&amp;B489&amp;"_"&amp;C489&amp;D489&amp;"_"&amp;BasicInput!$D$7&amp;BasicInput!$D$8&amp;"_"&amp;DG489&amp;".xuf"</f>
        <v>C:\PWWORKING\east01\d2591108\Ramps\__2019EX_PM_.xuf</v>
      </c>
    </row>
    <row r="490" spans="39:112" x14ac:dyDescent="0.2">
      <c r="AM490" s="18"/>
      <c r="AS490" s="18"/>
      <c r="AX490" s="17"/>
      <c r="BI490" s="18"/>
      <c r="BO490" s="18"/>
      <c r="BT490" s="18"/>
      <c r="CA490" s="18"/>
      <c r="CH490" s="18"/>
      <c r="DF490" s="31" t="str">
        <f t="shared" si="18"/>
        <v xml:space="preserve">  </v>
      </c>
      <c r="DG490" s="25" t="str">
        <f t="shared" si="19"/>
        <v/>
      </c>
      <c r="DH490" s="25" t="str">
        <f>BasicInput!$D$13&amp;$DH$2&amp;B490&amp;"_"&amp;C490&amp;D490&amp;"_"&amp;BasicInput!$D$7&amp;BasicInput!$D$8&amp;"_"&amp;DG490&amp;".xuf"</f>
        <v>C:\PWWORKING\east01\d2591108\Ramps\__2019EX_PM_.xuf</v>
      </c>
    </row>
    <row r="491" spans="39:112" x14ac:dyDescent="0.2">
      <c r="AM491" s="18"/>
      <c r="AS491" s="18"/>
      <c r="AX491" s="17"/>
      <c r="BI491" s="18"/>
      <c r="BO491" s="18"/>
      <c r="BT491" s="18"/>
      <c r="CA491" s="18"/>
      <c r="CH491" s="18"/>
      <c r="DF491" s="31" t="str">
        <f t="shared" si="18"/>
        <v xml:space="preserve">  </v>
      </c>
      <c r="DG491" s="25" t="str">
        <f t="shared" si="19"/>
        <v/>
      </c>
      <c r="DH491" s="25" t="str">
        <f>BasicInput!$D$13&amp;$DH$2&amp;B491&amp;"_"&amp;C491&amp;D491&amp;"_"&amp;BasicInput!$D$7&amp;BasicInput!$D$8&amp;"_"&amp;DG491&amp;".xuf"</f>
        <v>C:\PWWORKING\east01\d2591108\Ramps\__2019EX_PM_.xuf</v>
      </c>
    </row>
    <row r="492" spans="39:112" x14ac:dyDescent="0.2">
      <c r="AM492" s="18"/>
      <c r="AS492" s="18"/>
      <c r="AX492" s="17"/>
      <c r="BI492" s="18"/>
      <c r="BO492" s="18"/>
      <c r="BT492" s="18"/>
      <c r="CA492" s="18"/>
      <c r="CH492" s="18"/>
      <c r="DF492" s="31" t="str">
        <f t="shared" si="18"/>
        <v xml:space="preserve">  </v>
      </c>
      <c r="DG492" s="25" t="str">
        <f t="shared" si="19"/>
        <v/>
      </c>
      <c r="DH492" s="25" t="str">
        <f>BasicInput!$D$13&amp;$DH$2&amp;B492&amp;"_"&amp;C492&amp;D492&amp;"_"&amp;BasicInput!$D$7&amp;BasicInput!$D$8&amp;"_"&amp;DG492&amp;".xuf"</f>
        <v>C:\PWWORKING\east01\d2591108\Ramps\__2019EX_PM_.xuf</v>
      </c>
    </row>
    <row r="493" spans="39:112" x14ac:dyDescent="0.2">
      <c r="AM493" s="18"/>
      <c r="AS493" s="18"/>
      <c r="AX493" s="17"/>
      <c r="BI493" s="18"/>
      <c r="BO493" s="18"/>
      <c r="BT493" s="18"/>
      <c r="CA493" s="18"/>
      <c r="CH493" s="18"/>
      <c r="DF493" s="31" t="str">
        <f t="shared" si="18"/>
        <v xml:space="preserve">  </v>
      </c>
      <c r="DG493" s="25" t="str">
        <f t="shared" si="19"/>
        <v/>
      </c>
      <c r="DH493" s="25" t="str">
        <f>BasicInput!$D$13&amp;$DH$2&amp;B493&amp;"_"&amp;C493&amp;D493&amp;"_"&amp;BasicInput!$D$7&amp;BasicInput!$D$8&amp;"_"&amp;DG493&amp;".xuf"</f>
        <v>C:\PWWORKING\east01\d2591108\Ramps\__2019EX_PM_.xuf</v>
      </c>
    </row>
    <row r="494" spans="39:112" x14ac:dyDescent="0.2">
      <c r="AM494" s="18"/>
      <c r="AS494" s="18"/>
      <c r="AX494" s="17"/>
      <c r="BI494" s="18"/>
      <c r="BO494" s="18"/>
      <c r="BT494" s="18"/>
      <c r="CA494" s="18"/>
      <c r="CH494" s="18"/>
      <c r="DF494" s="31" t="str">
        <f t="shared" si="18"/>
        <v xml:space="preserve">  </v>
      </c>
      <c r="DG494" s="25" t="str">
        <f t="shared" si="19"/>
        <v/>
      </c>
      <c r="DH494" s="25" t="str">
        <f>BasicInput!$D$13&amp;$DH$2&amp;B494&amp;"_"&amp;C494&amp;D494&amp;"_"&amp;BasicInput!$D$7&amp;BasicInput!$D$8&amp;"_"&amp;DG494&amp;".xuf"</f>
        <v>C:\PWWORKING\east01\d2591108\Ramps\__2019EX_PM_.xuf</v>
      </c>
    </row>
    <row r="495" spans="39:112" x14ac:dyDescent="0.2">
      <c r="AM495" s="18"/>
      <c r="AS495" s="18"/>
      <c r="AX495" s="17"/>
      <c r="BI495" s="18"/>
      <c r="BO495" s="18"/>
      <c r="BT495" s="18"/>
      <c r="CA495" s="18"/>
      <c r="CH495" s="18"/>
      <c r="DF495" s="31" t="str">
        <f t="shared" si="18"/>
        <v xml:space="preserve">  </v>
      </c>
      <c r="DG495" s="25" t="str">
        <f t="shared" si="19"/>
        <v/>
      </c>
      <c r="DH495" s="25" t="str">
        <f>BasicInput!$D$13&amp;$DH$2&amp;B495&amp;"_"&amp;C495&amp;D495&amp;"_"&amp;BasicInput!$D$7&amp;BasicInput!$D$8&amp;"_"&amp;DG495&amp;".xuf"</f>
        <v>C:\PWWORKING\east01\d2591108\Ramps\__2019EX_PM_.xuf</v>
      </c>
    </row>
    <row r="496" spans="39:112" x14ac:dyDescent="0.2">
      <c r="AM496" s="18"/>
      <c r="AS496" s="18"/>
      <c r="AX496" s="17"/>
      <c r="BI496" s="18"/>
      <c r="BO496" s="18"/>
      <c r="BT496" s="18"/>
      <c r="CA496" s="18"/>
      <c r="CH496" s="18"/>
      <c r="DF496" s="31" t="str">
        <f t="shared" si="18"/>
        <v xml:space="preserve">  </v>
      </c>
      <c r="DG496" s="25" t="str">
        <f t="shared" si="19"/>
        <v/>
      </c>
      <c r="DH496" s="25" t="str">
        <f>BasicInput!$D$13&amp;$DH$2&amp;B496&amp;"_"&amp;C496&amp;D496&amp;"_"&amp;BasicInput!$D$7&amp;BasicInput!$D$8&amp;"_"&amp;DG496&amp;".xuf"</f>
        <v>C:\PWWORKING\east01\d2591108\Ramps\__2019EX_PM_.xuf</v>
      </c>
    </row>
    <row r="497" spans="39:112" x14ac:dyDescent="0.2">
      <c r="AM497" s="18"/>
      <c r="AS497" s="18"/>
      <c r="AX497" s="17"/>
      <c r="BI497" s="18"/>
      <c r="BO497" s="18"/>
      <c r="BT497" s="18"/>
      <c r="CA497" s="18"/>
      <c r="CH497" s="18"/>
      <c r="DF497" s="31" t="str">
        <f t="shared" si="18"/>
        <v xml:space="preserve">  </v>
      </c>
      <c r="DG497" s="25" t="str">
        <f t="shared" si="19"/>
        <v/>
      </c>
      <c r="DH497" s="25" t="str">
        <f>BasicInput!$D$13&amp;$DH$2&amp;B497&amp;"_"&amp;C497&amp;D497&amp;"_"&amp;BasicInput!$D$7&amp;BasicInput!$D$8&amp;"_"&amp;DG497&amp;".xuf"</f>
        <v>C:\PWWORKING\east01\d2591108\Ramps\__2019EX_PM_.xuf</v>
      </c>
    </row>
    <row r="498" spans="39:112" x14ac:dyDescent="0.2">
      <c r="AM498" s="18"/>
      <c r="AS498" s="18"/>
      <c r="AX498" s="17"/>
      <c r="BI498" s="18"/>
      <c r="BO498" s="18"/>
      <c r="BT498" s="18"/>
      <c r="CA498" s="18"/>
      <c r="CH498" s="18"/>
      <c r="DF498" s="31" t="str">
        <f t="shared" si="18"/>
        <v xml:space="preserve">  </v>
      </c>
      <c r="DG498" s="25" t="str">
        <f t="shared" si="19"/>
        <v/>
      </c>
      <c r="DH498" s="25" t="str">
        <f>BasicInput!$D$13&amp;$DH$2&amp;B498&amp;"_"&amp;C498&amp;D498&amp;"_"&amp;BasicInput!$D$7&amp;BasicInput!$D$8&amp;"_"&amp;DG498&amp;".xuf"</f>
        <v>C:\PWWORKING\east01\d2591108\Ramps\__2019EX_PM_.xuf</v>
      </c>
    </row>
    <row r="499" spans="39:112" x14ac:dyDescent="0.2">
      <c r="AM499" s="18"/>
      <c r="AS499" s="18"/>
      <c r="AX499" s="17"/>
      <c r="BI499" s="18"/>
      <c r="BO499" s="18"/>
      <c r="BT499" s="18"/>
      <c r="CA499" s="18"/>
      <c r="CH499" s="18"/>
      <c r="DF499" s="31" t="str">
        <f t="shared" si="18"/>
        <v xml:space="preserve">  </v>
      </c>
      <c r="DG499" s="25" t="str">
        <f t="shared" si="19"/>
        <v/>
      </c>
      <c r="DH499" s="25" t="str">
        <f>BasicInput!$D$13&amp;$DH$2&amp;B499&amp;"_"&amp;C499&amp;D499&amp;"_"&amp;BasicInput!$D$7&amp;BasicInput!$D$8&amp;"_"&amp;DG499&amp;".xuf"</f>
        <v>C:\PWWORKING\east01\d2591108\Ramps\__2019EX_PM_.xuf</v>
      </c>
    </row>
    <row r="500" spans="39:112" x14ac:dyDescent="0.2">
      <c r="AM500" s="18"/>
      <c r="AS500" s="18"/>
      <c r="AX500" s="17"/>
      <c r="BI500" s="18"/>
      <c r="BO500" s="18"/>
      <c r="BT500" s="18"/>
      <c r="CA500" s="18"/>
      <c r="CH500" s="18"/>
      <c r="DF500" s="31" t="str">
        <f t="shared" si="18"/>
        <v xml:space="preserve">  </v>
      </c>
      <c r="DG500" s="25" t="str">
        <f t="shared" si="19"/>
        <v/>
      </c>
      <c r="DH500" s="25" t="str">
        <f>BasicInput!$D$13&amp;$DH$2&amp;B500&amp;"_"&amp;C500&amp;D500&amp;"_"&amp;BasicInput!$D$7&amp;BasicInput!$D$8&amp;"_"&amp;DG500&amp;".xuf"</f>
        <v>C:\PWWORKING\east01\d2591108\Ramps\__2019EX_PM_.xuf</v>
      </c>
    </row>
    <row r="501" spans="39:112" x14ac:dyDescent="0.2">
      <c r="AM501" s="18"/>
      <c r="AS501" s="18"/>
      <c r="AX501" s="17"/>
      <c r="BI501" s="18"/>
      <c r="BO501" s="18"/>
      <c r="BT501" s="18"/>
      <c r="CA501" s="18"/>
      <c r="CH501" s="18"/>
      <c r="DF501" s="31" t="str">
        <f t="shared" si="18"/>
        <v xml:space="preserve">  </v>
      </c>
      <c r="DG501" s="25" t="str">
        <f t="shared" si="19"/>
        <v/>
      </c>
      <c r="DH501" s="25" t="str">
        <f>BasicInput!$D$13&amp;$DH$2&amp;B501&amp;"_"&amp;C501&amp;D501&amp;"_"&amp;BasicInput!$D$7&amp;BasicInput!$D$8&amp;"_"&amp;DG501&amp;".xuf"</f>
        <v>C:\PWWORKING\east01\d2591108\Ramps\__2019EX_PM_.xuf</v>
      </c>
    </row>
    <row r="502" spans="39:112" x14ac:dyDescent="0.2">
      <c r="AM502" s="18"/>
      <c r="AS502" s="18"/>
      <c r="AX502" s="17"/>
      <c r="BI502" s="18"/>
      <c r="BO502" s="18"/>
      <c r="BT502" s="18"/>
      <c r="CA502" s="18"/>
      <c r="CH502" s="18"/>
      <c r="DF502" s="31" t="str">
        <f t="shared" si="18"/>
        <v xml:space="preserve">  </v>
      </c>
      <c r="DG502" s="25" t="str">
        <f t="shared" si="19"/>
        <v/>
      </c>
      <c r="DH502" s="25" t="str">
        <f>BasicInput!$D$13&amp;$DH$2&amp;B502&amp;"_"&amp;C502&amp;D502&amp;"_"&amp;BasicInput!$D$7&amp;BasicInput!$D$8&amp;"_"&amp;DG502&amp;".xuf"</f>
        <v>C:\PWWORKING\east01\d2591108\Ramps\__2019EX_PM_.xuf</v>
      </c>
    </row>
    <row r="503" spans="39:112" x14ac:dyDescent="0.2">
      <c r="AM503" s="18"/>
      <c r="AS503" s="18"/>
      <c r="AX503" s="17"/>
      <c r="BI503" s="18"/>
      <c r="BO503" s="18"/>
      <c r="BT503" s="18"/>
      <c r="CA503" s="18"/>
      <c r="CH503" s="18"/>
      <c r="DF503" s="31" t="str">
        <f t="shared" si="18"/>
        <v xml:space="preserve">  </v>
      </c>
      <c r="DG503" s="25" t="str">
        <f t="shared" si="19"/>
        <v/>
      </c>
      <c r="DH503" s="25" t="str">
        <f>BasicInput!$D$13&amp;$DH$2&amp;B503&amp;"_"&amp;C503&amp;D503&amp;"_"&amp;BasicInput!$D$7&amp;BasicInput!$D$8&amp;"_"&amp;DG503&amp;".xuf"</f>
        <v>C:\PWWORKING\east01\d2591108\Ramps\__2019EX_PM_.xuf</v>
      </c>
    </row>
    <row r="504" spans="39:112" x14ac:dyDescent="0.2">
      <c r="AM504" s="18"/>
      <c r="AS504" s="18"/>
      <c r="AX504" s="17"/>
      <c r="BI504" s="18"/>
      <c r="BO504" s="18"/>
      <c r="BT504" s="18"/>
      <c r="CA504" s="18"/>
      <c r="CH504" s="18"/>
      <c r="DF504" s="31" t="str">
        <f t="shared" si="18"/>
        <v xml:space="preserve">  </v>
      </c>
      <c r="DG504" s="25" t="str">
        <f t="shared" si="19"/>
        <v/>
      </c>
      <c r="DH504" s="25" t="str">
        <f>BasicInput!$D$13&amp;$DH$2&amp;B504&amp;"_"&amp;C504&amp;D504&amp;"_"&amp;BasicInput!$D$7&amp;BasicInput!$D$8&amp;"_"&amp;DG504&amp;".xuf"</f>
        <v>C:\PWWORKING\east01\d2591108\Ramps\__2019EX_PM_.xuf</v>
      </c>
    </row>
    <row r="505" spans="39:112" x14ac:dyDescent="0.2">
      <c r="AM505" s="18"/>
      <c r="AS505" s="18"/>
      <c r="AX505" s="17"/>
      <c r="BI505" s="18"/>
      <c r="BO505" s="18"/>
      <c r="BT505" s="18"/>
      <c r="CA505" s="18"/>
      <c r="CH505" s="18"/>
      <c r="DF505" s="31" t="str">
        <f t="shared" si="18"/>
        <v xml:space="preserve">  </v>
      </c>
      <c r="DG505" s="25" t="str">
        <f t="shared" si="19"/>
        <v/>
      </c>
      <c r="DH505" s="25" t="str">
        <f>BasicInput!$D$13&amp;$DH$2&amp;B505&amp;"_"&amp;C505&amp;D505&amp;"_"&amp;BasicInput!$D$7&amp;BasicInput!$D$8&amp;"_"&amp;DG505&amp;".xuf"</f>
        <v>C:\PWWORKING\east01\d2591108\Ramps\__2019EX_PM_.xuf</v>
      </c>
    </row>
    <row r="506" spans="39:112" x14ac:dyDescent="0.2">
      <c r="AM506" s="18"/>
      <c r="AS506" s="18"/>
      <c r="AX506" s="17"/>
      <c r="BI506" s="18"/>
      <c r="BO506" s="18"/>
      <c r="BT506" s="18"/>
      <c r="CA506" s="18"/>
      <c r="CH506" s="18"/>
      <c r="DF506" s="31" t="str">
        <f t="shared" si="18"/>
        <v xml:space="preserve">  </v>
      </c>
      <c r="DG506" s="25" t="str">
        <f t="shared" si="19"/>
        <v/>
      </c>
      <c r="DH506" s="25" t="str">
        <f>BasicInput!$D$13&amp;$DH$2&amp;B506&amp;"_"&amp;C506&amp;D506&amp;"_"&amp;BasicInput!$D$7&amp;BasicInput!$D$8&amp;"_"&amp;DG506&amp;".xuf"</f>
        <v>C:\PWWORKING\east01\d2591108\Ramps\__2019EX_PM_.xuf</v>
      </c>
    </row>
    <row r="507" spans="39:112" x14ac:dyDescent="0.2">
      <c r="AM507" s="18"/>
      <c r="AS507" s="18"/>
      <c r="AX507" s="17"/>
      <c r="BI507" s="18"/>
      <c r="BO507" s="18"/>
      <c r="BT507" s="18"/>
      <c r="CA507" s="18"/>
      <c r="CH507" s="18"/>
      <c r="DF507" s="31" t="str">
        <f t="shared" si="18"/>
        <v xml:space="preserve">  </v>
      </c>
      <c r="DG507" s="25" t="str">
        <f t="shared" si="19"/>
        <v/>
      </c>
      <c r="DH507" s="25" t="str">
        <f>BasicInput!$D$13&amp;$DH$2&amp;B507&amp;"_"&amp;C507&amp;D507&amp;"_"&amp;BasicInput!$D$7&amp;BasicInput!$D$8&amp;"_"&amp;DG507&amp;".xuf"</f>
        <v>C:\PWWORKING\east01\d2591108\Ramps\__2019EX_PM_.xuf</v>
      </c>
    </row>
    <row r="508" spans="39:112" x14ac:dyDescent="0.2">
      <c r="AM508" s="18"/>
      <c r="AS508" s="18"/>
      <c r="AX508" s="17"/>
      <c r="BI508" s="18"/>
      <c r="BO508" s="18"/>
      <c r="BT508" s="18"/>
      <c r="CA508" s="18"/>
      <c r="CH508" s="18"/>
      <c r="DF508" s="31" t="str">
        <f t="shared" si="18"/>
        <v xml:space="preserve">  </v>
      </c>
      <c r="DG508" s="25" t="str">
        <f t="shared" si="19"/>
        <v/>
      </c>
      <c r="DH508" s="25" t="str">
        <f>BasicInput!$D$13&amp;$DH$2&amp;B508&amp;"_"&amp;C508&amp;D508&amp;"_"&amp;BasicInput!$D$7&amp;BasicInput!$D$8&amp;"_"&amp;DG508&amp;".xuf"</f>
        <v>C:\PWWORKING\east01\d2591108\Ramps\__2019EX_PM_.xuf</v>
      </c>
    </row>
    <row r="509" spans="39:112" x14ac:dyDescent="0.2">
      <c r="AM509" s="18"/>
      <c r="AS509" s="18"/>
      <c r="AX509" s="17"/>
      <c r="BI509" s="18"/>
      <c r="BO509" s="18"/>
      <c r="BT509" s="18"/>
      <c r="CA509" s="18"/>
      <c r="CH509" s="18"/>
      <c r="DF509" s="31" t="str">
        <f t="shared" si="18"/>
        <v xml:space="preserve">  </v>
      </c>
      <c r="DG509" s="25" t="str">
        <f t="shared" si="19"/>
        <v/>
      </c>
      <c r="DH509" s="25" t="str">
        <f>BasicInput!$D$13&amp;$DH$2&amp;B509&amp;"_"&amp;C509&amp;D509&amp;"_"&amp;BasicInput!$D$7&amp;BasicInput!$D$8&amp;"_"&amp;DG509&amp;".xuf"</f>
        <v>C:\PWWORKING\east01\d2591108\Ramps\__2019EX_PM_.xuf</v>
      </c>
    </row>
    <row r="510" spans="39:112" x14ac:dyDescent="0.2">
      <c r="AM510" s="18"/>
      <c r="AS510" s="18"/>
      <c r="AX510" s="17"/>
      <c r="BI510" s="18"/>
      <c r="BO510" s="18"/>
      <c r="BT510" s="18"/>
      <c r="CA510" s="18"/>
      <c r="CH510" s="18"/>
      <c r="DF510" s="31" t="str">
        <f t="shared" si="18"/>
        <v xml:space="preserve">  </v>
      </c>
      <c r="DG510" s="25" t="str">
        <f t="shared" si="19"/>
        <v/>
      </c>
      <c r="DH510" s="25" t="str">
        <f>BasicInput!$D$13&amp;$DH$2&amp;B510&amp;"_"&amp;C510&amp;D510&amp;"_"&amp;BasicInput!$D$7&amp;BasicInput!$D$8&amp;"_"&amp;DG510&amp;".xuf"</f>
        <v>C:\PWWORKING\east01\d2591108\Ramps\__2019EX_PM_.xuf</v>
      </c>
    </row>
    <row r="511" spans="39:112" x14ac:dyDescent="0.2">
      <c r="AM511" s="18"/>
      <c r="AS511" s="18"/>
      <c r="AX511" s="17"/>
      <c r="BI511" s="18"/>
      <c r="BO511" s="18"/>
      <c r="BT511" s="18"/>
      <c r="CA511" s="18"/>
      <c r="CH511" s="18"/>
      <c r="DF511" s="31" t="str">
        <f t="shared" si="18"/>
        <v xml:space="preserve">  </v>
      </c>
      <c r="DG511" s="25" t="str">
        <f t="shared" si="19"/>
        <v/>
      </c>
      <c r="DH511" s="25" t="str">
        <f>BasicInput!$D$13&amp;$DH$2&amp;B511&amp;"_"&amp;C511&amp;D511&amp;"_"&amp;BasicInput!$D$7&amp;BasicInput!$D$8&amp;"_"&amp;DG511&amp;".xuf"</f>
        <v>C:\PWWORKING\east01\d2591108\Ramps\__2019EX_PM_.xuf</v>
      </c>
    </row>
    <row r="512" spans="39:112" x14ac:dyDescent="0.2">
      <c r="AM512" s="18"/>
      <c r="AS512" s="18"/>
      <c r="AX512" s="17"/>
      <c r="BI512" s="18"/>
      <c r="BO512" s="18"/>
      <c r="BT512" s="18"/>
      <c r="CA512" s="18"/>
      <c r="CH512" s="18"/>
      <c r="DF512" s="31" t="str">
        <f t="shared" si="18"/>
        <v xml:space="preserve">  </v>
      </c>
      <c r="DG512" s="25" t="str">
        <f t="shared" si="19"/>
        <v/>
      </c>
      <c r="DH512" s="25" t="str">
        <f>BasicInput!$D$13&amp;$DH$2&amp;B512&amp;"_"&amp;C512&amp;D512&amp;"_"&amp;BasicInput!$D$7&amp;BasicInput!$D$8&amp;"_"&amp;DG512&amp;".xuf"</f>
        <v>C:\PWWORKING\east01\d2591108\Ramps\__2019EX_PM_.xuf</v>
      </c>
    </row>
    <row r="513" spans="39:112" x14ac:dyDescent="0.2">
      <c r="AM513" s="18"/>
      <c r="AS513" s="18"/>
      <c r="AX513" s="17"/>
      <c r="BI513" s="18"/>
      <c r="BO513" s="18"/>
      <c r="BT513" s="18"/>
      <c r="CA513" s="18"/>
      <c r="CH513" s="18"/>
      <c r="DF513" s="31" t="str">
        <f t="shared" si="18"/>
        <v xml:space="preserve">  </v>
      </c>
      <c r="DG513" s="25" t="str">
        <f t="shared" si="19"/>
        <v/>
      </c>
      <c r="DH513" s="25" t="str">
        <f>BasicInput!$D$13&amp;$DH$2&amp;B513&amp;"_"&amp;C513&amp;D513&amp;"_"&amp;BasicInput!$D$7&amp;BasicInput!$D$8&amp;"_"&amp;DG513&amp;".xuf"</f>
        <v>C:\PWWORKING\east01\d2591108\Ramps\__2019EX_PM_.xuf</v>
      </c>
    </row>
    <row r="514" spans="39:112" x14ac:dyDescent="0.2">
      <c r="AM514" s="18"/>
      <c r="AS514" s="18"/>
      <c r="AX514" s="17"/>
      <c r="BI514" s="18"/>
      <c r="BO514" s="18"/>
      <c r="BT514" s="18"/>
      <c r="CA514" s="18"/>
      <c r="CH514" s="18"/>
      <c r="DF514" s="31" t="str">
        <f t="shared" si="18"/>
        <v xml:space="preserve">  </v>
      </c>
      <c r="DG514" s="25" t="str">
        <f t="shared" si="19"/>
        <v/>
      </c>
      <c r="DH514" s="25" t="str">
        <f>BasicInput!$D$13&amp;$DH$2&amp;B514&amp;"_"&amp;C514&amp;D514&amp;"_"&amp;BasicInput!$D$7&amp;BasicInput!$D$8&amp;"_"&amp;DG514&amp;".xuf"</f>
        <v>C:\PWWORKING\east01\d2591108\Ramps\__2019EX_PM_.xuf</v>
      </c>
    </row>
    <row r="515" spans="39:112" x14ac:dyDescent="0.2">
      <c r="AM515" s="18"/>
      <c r="AS515" s="18"/>
      <c r="AX515" s="17"/>
      <c r="BI515" s="18"/>
      <c r="BO515" s="18"/>
      <c r="BT515" s="18"/>
      <c r="CA515" s="18"/>
      <c r="CH515" s="18"/>
      <c r="DF515" s="31" t="str">
        <f t="shared" si="18"/>
        <v xml:space="preserve">  </v>
      </c>
      <c r="DG515" s="25" t="str">
        <f t="shared" si="19"/>
        <v/>
      </c>
      <c r="DH515" s="25" t="str">
        <f>BasicInput!$D$13&amp;$DH$2&amp;B515&amp;"_"&amp;C515&amp;D515&amp;"_"&amp;BasicInput!$D$7&amp;BasicInput!$D$8&amp;"_"&amp;DG515&amp;".xuf"</f>
        <v>C:\PWWORKING\east01\d2591108\Ramps\__2019EX_PM_.xuf</v>
      </c>
    </row>
    <row r="516" spans="39:112" x14ac:dyDescent="0.2">
      <c r="AM516" s="18"/>
      <c r="AS516" s="18"/>
      <c r="AX516" s="17"/>
      <c r="BI516" s="18"/>
      <c r="BO516" s="18"/>
      <c r="BT516" s="18"/>
      <c r="CA516" s="18"/>
      <c r="CH516" s="18"/>
      <c r="DF516" s="31" t="str">
        <f t="shared" si="18"/>
        <v xml:space="preserve">  </v>
      </c>
      <c r="DG516" s="25" t="str">
        <f t="shared" si="19"/>
        <v/>
      </c>
      <c r="DH516" s="25" t="str">
        <f>BasicInput!$D$13&amp;$DH$2&amp;B516&amp;"_"&amp;C516&amp;D516&amp;"_"&amp;BasicInput!$D$7&amp;BasicInput!$D$8&amp;"_"&amp;DG516&amp;".xuf"</f>
        <v>C:\PWWORKING\east01\d2591108\Ramps\__2019EX_PM_.xuf</v>
      </c>
    </row>
    <row r="517" spans="39:112" x14ac:dyDescent="0.2">
      <c r="AM517" s="18"/>
      <c r="AS517" s="18"/>
      <c r="AX517" s="17"/>
      <c r="BI517" s="18"/>
      <c r="BO517" s="18"/>
      <c r="BT517" s="18"/>
      <c r="CA517" s="18"/>
      <c r="CH517" s="18"/>
      <c r="DF517" s="31" t="str">
        <f t="shared" si="18"/>
        <v xml:space="preserve">  </v>
      </c>
      <c r="DG517" s="25" t="str">
        <f t="shared" si="19"/>
        <v/>
      </c>
      <c r="DH517" s="25" t="str">
        <f>BasicInput!$D$13&amp;$DH$2&amp;B517&amp;"_"&amp;C517&amp;D517&amp;"_"&amp;BasicInput!$D$7&amp;BasicInput!$D$8&amp;"_"&amp;DG517&amp;".xuf"</f>
        <v>C:\PWWORKING\east01\d2591108\Ramps\__2019EX_PM_.xuf</v>
      </c>
    </row>
    <row r="518" spans="39:112" x14ac:dyDescent="0.2">
      <c r="AM518" s="18"/>
      <c r="AS518" s="18"/>
      <c r="AX518" s="17"/>
      <c r="BI518" s="18"/>
      <c r="BO518" s="18"/>
      <c r="BT518" s="18"/>
      <c r="CA518" s="18"/>
      <c r="CH518" s="18"/>
      <c r="DF518" s="31" t="str">
        <f t="shared" si="18"/>
        <v xml:space="preserve">  </v>
      </c>
      <c r="DG518" s="25" t="str">
        <f t="shared" si="19"/>
        <v/>
      </c>
      <c r="DH518" s="25" t="str">
        <f>BasicInput!$D$13&amp;$DH$2&amp;B518&amp;"_"&amp;C518&amp;D518&amp;"_"&amp;BasicInput!$D$7&amp;BasicInput!$D$8&amp;"_"&amp;DG518&amp;".xuf"</f>
        <v>C:\PWWORKING\east01\d2591108\Ramps\__2019EX_PM_.xuf</v>
      </c>
    </row>
    <row r="519" spans="39:112" x14ac:dyDescent="0.2">
      <c r="AM519" s="18"/>
      <c r="AS519" s="18"/>
      <c r="AX519" s="17"/>
      <c r="BI519" s="18"/>
      <c r="BO519" s="18"/>
      <c r="BT519" s="18"/>
      <c r="CA519" s="18"/>
      <c r="CH519" s="18"/>
      <c r="DF519" s="31" t="str">
        <f t="shared" si="18"/>
        <v xml:space="preserve">  </v>
      </c>
      <c r="DG519" s="25" t="str">
        <f t="shared" si="19"/>
        <v/>
      </c>
      <c r="DH519" s="25" t="str">
        <f>BasicInput!$D$13&amp;$DH$2&amp;B519&amp;"_"&amp;C519&amp;D519&amp;"_"&amp;BasicInput!$D$7&amp;BasicInput!$D$8&amp;"_"&amp;DG519&amp;".xuf"</f>
        <v>C:\PWWORKING\east01\d2591108\Ramps\__2019EX_PM_.xuf</v>
      </c>
    </row>
    <row r="520" spans="39:112" x14ac:dyDescent="0.2">
      <c r="AM520" s="18"/>
      <c r="AS520" s="18"/>
      <c r="AX520" s="17"/>
      <c r="BI520" s="18"/>
      <c r="BO520" s="18"/>
      <c r="BT520" s="18"/>
      <c r="CA520" s="18"/>
      <c r="CH520" s="18"/>
      <c r="DF520" s="31" t="str">
        <f t="shared" si="18"/>
        <v xml:space="preserve">  </v>
      </c>
      <c r="DG520" s="25" t="str">
        <f t="shared" si="19"/>
        <v/>
      </c>
      <c r="DH520" s="25" t="str">
        <f>BasicInput!$D$13&amp;$DH$2&amp;B520&amp;"_"&amp;C520&amp;D520&amp;"_"&amp;BasicInput!$D$7&amp;BasicInput!$D$8&amp;"_"&amp;DG520&amp;".xuf"</f>
        <v>C:\PWWORKING\east01\d2591108\Ramps\__2019EX_PM_.xuf</v>
      </c>
    </row>
    <row r="521" spans="39:112" x14ac:dyDescent="0.2">
      <c r="AM521" s="18"/>
      <c r="AS521" s="18"/>
      <c r="AX521" s="17"/>
      <c r="BI521" s="18"/>
      <c r="BO521" s="18"/>
      <c r="BT521" s="18"/>
      <c r="CA521" s="18"/>
      <c r="CH521" s="18"/>
      <c r="DF521" s="31" t="str">
        <f t="shared" si="18"/>
        <v xml:space="preserve">  </v>
      </c>
      <c r="DG521" s="25" t="str">
        <f t="shared" si="19"/>
        <v/>
      </c>
      <c r="DH521" s="25" t="str">
        <f>BasicInput!$D$13&amp;$DH$2&amp;B521&amp;"_"&amp;C521&amp;D521&amp;"_"&amp;BasicInput!$D$7&amp;BasicInput!$D$8&amp;"_"&amp;DG521&amp;".xuf"</f>
        <v>C:\PWWORKING\east01\d2591108\Ramps\__2019EX_PM_.xuf</v>
      </c>
    </row>
    <row r="522" spans="39:112" x14ac:dyDescent="0.2">
      <c r="AM522" s="18"/>
      <c r="AS522" s="18"/>
      <c r="AX522" s="17"/>
      <c r="BI522" s="18"/>
      <c r="BO522" s="18"/>
      <c r="BT522" s="18"/>
      <c r="CA522" s="18"/>
      <c r="CH522" s="18"/>
      <c r="DF522" s="31" t="str">
        <f t="shared" si="18"/>
        <v xml:space="preserve">  </v>
      </c>
      <c r="DG522" s="25" t="str">
        <f t="shared" si="19"/>
        <v/>
      </c>
      <c r="DH522" s="25" t="str">
        <f>BasicInput!$D$13&amp;$DH$2&amp;B522&amp;"_"&amp;C522&amp;D522&amp;"_"&amp;BasicInput!$D$7&amp;BasicInput!$D$8&amp;"_"&amp;DG522&amp;".xuf"</f>
        <v>C:\PWWORKING\east01\d2591108\Ramps\__2019EX_PM_.xuf</v>
      </c>
    </row>
    <row r="523" spans="39:112" x14ac:dyDescent="0.2">
      <c r="AM523" s="18"/>
      <c r="AS523" s="18"/>
      <c r="AX523" s="17"/>
      <c r="BI523" s="18"/>
      <c r="BO523" s="18"/>
      <c r="BT523" s="18"/>
      <c r="CA523" s="18"/>
      <c r="CH523" s="18"/>
      <c r="DF523" s="31" t="str">
        <f t="shared" si="18"/>
        <v xml:space="preserve">  </v>
      </c>
      <c r="DG523" s="25" t="str">
        <f t="shared" si="19"/>
        <v/>
      </c>
      <c r="DH523" s="25" t="str">
        <f>BasicInput!$D$13&amp;$DH$2&amp;B523&amp;"_"&amp;C523&amp;D523&amp;"_"&amp;BasicInput!$D$7&amp;BasicInput!$D$8&amp;"_"&amp;DG523&amp;".xuf"</f>
        <v>C:\PWWORKING\east01\d2591108\Ramps\__2019EX_PM_.xuf</v>
      </c>
    </row>
    <row r="524" spans="39:112" x14ac:dyDescent="0.2">
      <c r="AM524" s="18"/>
      <c r="AS524" s="18"/>
      <c r="AX524" s="17"/>
      <c r="BI524" s="18"/>
      <c r="BO524" s="18"/>
      <c r="BT524" s="18"/>
      <c r="CA524" s="18"/>
      <c r="CH524" s="18"/>
      <c r="DF524" s="31" t="str">
        <f t="shared" si="18"/>
        <v xml:space="preserve">  </v>
      </c>
      <c r="DG524" s="25" t="str">
        <f t="shared" si="19"/>
        <v/>
      </c>
      <c r="DH524" s="25" t="str">
        <f>BasicInput!$D$13&amp;$DH$2&amp;B524&amp;"_"&amp;C524&amp;D524&amp;"_"&amp;BasicInput!$D$7&amp;BasicInput!$D$8&amp;"_"&amp;DG524&amp;".xuf"</f>
        <v>C:\PWWORKING\east01\d2591108\Ramps\__2019EX_PM_.xuf</v>
      </c>
    </row>
    <row r="525" spans="39:112" x14ac:dyDescent="0.2">
      <c r="AM525" s="18"/>
      <c r="AS525" s="18"/>
      <c r="AX525" s="17"/>
      <c r="BI525" s="18"/>
      <c r="BO525" s="18"/>
      <c r="BT525" s="18"/>
      <c r="CA525" s="18"/>
      <c r="CH525" s="18"/>
      <c r="DF525" s="31" t="str">
        <f t="shared" si="18"/>
        <v xml:space="preserve">  </v>
      </c>
      <c r="DG525" s="25" t="str">
        <f t="shared" si="19"/>
        <v/>
      </c>
      <c r="DH525" s="25" t="str">
        <f>BasicInput!$D$13&amp;$DH$2&amp;B525&amp;"_"&amp;C525&amp;D525&amp;"_"&amp;BasicInput!$D$7&amp;BasicInput!$D$8&amp;"_"&amp;DG525&amp;".xuf"</f>
        <v>C:\PWWORKING\east01\d2591108\Ramps\__2019EX_PM_.xuf</v>
      </c>
    </row>
    <row r="526" spans="39:112" x14ac:dyDescent="0.2">
      <c r="AM526" s="18"/>
      <c r="AS526" s="18"/>
      <c r="AX526" s="17"/>
      <c r="BI526" s="18"/>
      <c r="BO526" s="18"/>
      <c r="BT526" s="18"/>
      <c r="CA526" s="18"/>
      <c r="CH526" s="18"/>
      <c r="DF526" s="31" t="str">
        <f t="shared" si="18"/>
        <v xml:space="preserve">  </v>
      </c>
      <c r="DG526" s="25" t="str">
        <f t="shared" si="19"/>
        <v/>
      </c>
      <c r="DH526" s="25" t="str">
        <f>BasicInput!$D$13&amp;$DH$2&amp;B526&amp;"_"&amp;C526&amp;D526&amp;"_"&amp;BasicInput!$D$7&amp;BasicInput!$D$8&amp;"_"&amp;DG526&amp;".xuf"</f>
        <v>C:\PWWORKING\east01\d2591108\Ramps\__2019EX_PM_.xuf</v>
      </c>
    </row>
    <row r="527" spans="39:112" x14ac:dyDescent="0.2">
      <c r="AM527" s="18"/>
      <c r="AS527" s="18"/>
      <c r="AX527" s="17"/>
      <c r="BI527" s="18"/>
      <c r="BO527" s="18"/>
      <c r="BT527" s="18"/>
      <c r="CA527" s="18"/>
      <c r="CH527" s="18"/>
      <c r="DF527" s="31" t="str">
        <f t="shared" si="18"/>
        <v xml:space="preserve">  </v>
      </c>
      <c r="DG527" s="25" t="str">
        <f t="shared" si="19"/>
        <v/>
      </c>
      <c r="DH527" s="25" t="str">
        <f>BasicInput!$D$13&amp;$DH$2&amp;B527&amp;"_"&amp;C527&amp;D527&amp;"_"&amp;BasicInput!$D$7&amp;BasicInput!$D$8&amp;"_"&amp;DG527&amp;".xuf"</f>
        <v>C:\PWWORKING\east01\d2591108\Ramps\__2019EX_PM_.xuf</v>
      </c>
    </row>
    <row r="528" spans="39:112" x14ac:dyDescent="0.2">
      <c r="AM528" s="18"/>
      <c r="AS528" s="18"/>
      <c r="AX528" s="17"/>
      <c r="BI528" s="18"/>
      <c r="BO528" s="18"/>
      <c r="BT528" s="18"/>
      <c r="CA528" s="18"/>
      <c r="CH528" s="18"/>
      <c r="DF528" s="31" t="str">
        <f t="shared" si="18"/>
        <v xml:space="preserve">  </v>
      </c>
      <c r="DG528" s="25" t="str">
        <f t="shared" si="19"/>
        <v/>
      </c>
      <c r="DH528" s="25" t="str">
        <f>BasicInput!$D$13&amp;$DH$2&amp;B528&amp;"_"&amp;C528&amp;D528&amp;"_"&amp;BasicInput!$D$7&amp;BasicInput!$D$8&amp;"_"&amp;DG528&amp;".xuf"</f>
        <v>C:\PWWORKING\east01\d2591108\Ramps\__2019EX_PM_.xuf</v>
      </c>
    </row>
    <row r="529" spans="39:112" x14ac:dyDescent="0.2">
      <c r="AM529" s="18"/>
      <c r="AS529" s="18"/>
      <c r="AX529" s="17"/>
      <c r="BI529" s="18"/>
      <c r="BO529" s="18"/>
      <c r="BT529" s="18"/>
      <c r="CA529" s="18"/>
      <c r="CH529" s="18"/>
      <c r="DF529" s="31" t="str">
        <f t="shared" ref="DF529:DF592" si="20">C529&amp; " "&amp;D529&amp;" " &amp;E529</f>
        <v xml:space="preserve">  </v>
      </c>
      <c r="DG529" s="25" t="str">
        <f t="shared" ref="DG529:DG592" si="21">SUBSTITUTE(E529, "/", "_")</f>
        <v/>
      </c>
      <c r="DH529" s="25" t="str">
        <f>BasicInput!$D$13&amp;$DH$2&amp;B529&amp;"_"&amp;C529&amp;D529&amp;"_"&amp;BasicInput!$D$7&amp;BasicInput!$D$8&amp;"_"&amp;DG529&amp;".xuf"</f>
        <v>C:\PWWORKING\east01\d2591108\Ramps\__2019EX_PM_.xuf</v>
      </c>
    </row>
    <row r="530" spans="39:112" x14ac:dyDescent="0.2">
      <c r="AM530" s="18"/>
      <c r="AS530" s="18"/>
      <c r="AX530" s="17"/>
      <c r="BI530" s="18"/>
      <c r="BO530" s="18"/>
      <c r="BT530" s="18"/>
      <c r="CA530" s="18"/>
      <c r="CH530" s="18"/>
      <c r="DF530" s="31" t="str">
        <f t="shared" si="20"/>
        <v xml:space="preserve">  </v>
      </c>
      <c r="DG530" s="25" t="str">
        <f t="shared" si="21"/>
        <v/>
      </c>
      <c r="DH530" s="25" t="str">
        <f>BasicInput!$D$13&amp;$DH$2&amp;B530&amp;"_"&amp;C530&amp;D530&amp;"_"&amp;BasicInput!$D$7&amp;BasicInput!$D$8&amp;"_"&amp;DG530&amp;".xuf"</f>
        <v>C:\PWWORKING\east01\d2591108\Ramps\__2019EX_PM_.xuf</v>
      </c>
    </row>
    <row r="531" spans="39:112" x14ac:dyDescent="0.2">
      <c r="AM531" s="18"/>
      <c r="AS531" s="18"/>
      <c r="AX531" s="17"/>
      <c r="BI531" s="18"/>
      <c r="BO531" s="18"/>
      <c r="BT531" s="18"/>
      <c r="CA531" s="18"/>
      <c r="CH531" s="18"/>
      <c r="DF531" s="31" t="str">
        <f t="shared" si="20"/>
        <v xml:space="preserve">  </v>
      </c>
      <c r="DG531" s="25" t="str">
        <f t="shared" si="21"/>
        <v/>
      </c>
      <c r="DH531" s="25" t="str">
        <f>BasicInput!$D$13&amp;$DH$2&amp;B531&amp;"_"&amp;C531&amp;D531&amp;"_"&amp;BasicInput!$D$7&amp;BasicInput!$D$8&amp;"_"&amp;DG531&amp;".xuf"</f>
        <v>C:\PWWORKING\east01\d2591108\Ramps\__2019EX_PM_.xuf</v>
      </c>
    </row>
    <row r="532" spans="39:112" x14ac:dyDescent="0.2">
      <c r="AM532" s="18"/>
      <c r="AS532" s="18"/>
      <c r="AX532" s="17"/>
      <c r="BI532" s="18"/>
      <c r="BO532" s="18"/>
      <c r="BT532" s="18"/>
      <c r="CA532" s="18"/>
      <c r="CH532" s="18"/>
      <c r="DF532" s="31" t="str">
        <f t="shared" si="20"/>
        <v xml:space="preserve">  </v>
      </c>
      <c r="DG532" s="25" t="str">
        <f t="shared" si="21"/>
        <v/>
      </c>
      <c r="DH532" s="25" t="str">
        <f>BasicInput!$D$13&amp;$DH$2&amp;B532&amp;"_"&amp;C532&amp;D532&amp;"_"&amp;BasicInput!$D$7&amp;BasicInput!$D$8&amp;"_"&amp;DG532&amp;".xuf"</f>
        <v>C:\PWWORKING\east01\d2591108\Ramps\__2019EX_PM_.xuf</v>
      </c>
    </row>
    <row r="533" spans="39:112" x14ac:dyDescent="0.2">
      <c r="AM533" s="18"/>
      <c r="AS533" s="18"/>
      <c r="AX533" s="17"/>
      <c r="BI533" s="18"/>
      <c r="BO533" s="18"/>
      <c r="BT533" s="18"/>
      <c r="CA533" s="18"/>
      <c r="CH533" s="18"/>
      <c r="DF533" s="31" t="str">
        <f t="shared" si="20"/>
        <v xml:space="preserve">  </v>
      </c>
      <c r="DG533" s="25" t="str">
        <f t="shared" si="21"/>
        <v/>
      </c>
      <c r="DH533" s="25" t="str">
        <f>BasicInput!$D$13&amp;$DH$2&amp;B533&amp;"_"&amp;C533&amp;D533&amp;"_"&amp;BasicInput!$D$7&amp;BasicInput!$D$8&amp;"_"&amp;DG533&amp;".xuf"</f>
        <v>C:\PWWORKING\east01\d2591108\Ramps\__2019EX_PM_.xuf</v>
      </c>
    </row>
    <row r="534" spans="39:112" x14ac:dyDescent="0.2">
      <c r="AM534" s="18"/>
      <c r="AS534" s="18"/>
      <c r="AX534" s="17"/>
      <c r="BI534" s="18"/>
      <c r="BO534" s="18"/>
      <c r="BT534" s="18"/>
      <c r="CA534" s="18"/>
      <c r="CH534" s="18"/>
      <c r="DF534" s="31" t="str">
        <f t="shared" si="20"/>
        <v xml:space="preserve">  </v>
      </c>
      <c r="DG534" s="25" t="str">
        <f t="shared" si="21"/>
        <v/>
      </c>
      <c r="DH534" s="25" t="str">
        <f>BasicInput!$D$13&amp;$DH$2&amp;B534&amp;"_"&amp;C534&amp;D534&amp;"_"&amp;BasicInput!$D$7&amp;BasicInput!$D$8&amp;"_"&amp;DG534&amp;".xuf"</f>
        <v>C:\PWWORKING\east01\d2591108\Ramps\__2019EX_PM_.xuf</v>
      </c>
    </row>
    <row r="535" spans="39:112" x14ac:dyDescent="0.2">
      <c r="AM535" s="18"/>
      <c r="AS535" s="18"/>
      <c r="AX535" s="17"/>
      <c r="BI535" s="18"/>
      <c r="BO535" s="18"/>
      <c r="BT535" s="18"/>
      <c r="CA535" s="18"/>
      <c r="CH535" s="18"/>
      <c r="DF535" s="31" t="str">
        <f t="shared" si="20"/>
        <v xml:space="preserve">  </v>
      </c>
      <c r="DG535" s="25" t="str">
        <f t="shared" si="21"/>
        <v/>
      </c>
      <c r="DH535" s="25" t="str">
        <f>BasicInput!$D$13&amp;$DH$2&amp;B535&amp;"_"&amp;C535&amp;D535&amp;"_"&amp;BasicInput!$D$7&amp;BasicInput!$D$8&amp;"_"&amp;DG535&amp;".xuf"</f>
        <v>C:\PWWORKING\east01\d2591108\Ramps\__2019EX_PM_.xuf</v>
      </c>
    </row>
    <row r="536" spans="39:112" x14ac:dyDescent="0.2">
      <c r="AM536" s="18"/>
      <c r="AS536" s="18"/>
      <c r="AX536" s="17"/>
      <c r="BI536" s="18"/>
      <c r="BO536" s="18"/>
      <c r="BT536" s="18"/>
      <c r="CA536" s="18"/>
      <c r="CH536" s="18"/>
      <c r="DF536" s="31" t="str">
        <f t="shared" si="20"/>
        <v xml:space="preserve">  </v>
      </c>
      <c r="DG536" s="25" t="str">
        <f t="shared" si="21"/>
        <v/>
      </c>
      <c r="DH536" s="25" t="str">
        <f>BasicInput!$D$13&amp;$DH$2&amp;B536&amp;"_"&amp;C536&amp;D536&amp;"_"&amp;BasicInput!$D$7&amp;BasicInput!$D$8&amp;"_"&amp;DG536&amp;".xuf"</f>
        <v>C:\PWWORKING\east01\d2591108\Ramps\__2019EX_PM_.xuf</v>
      </c>
    </row>
    <row r="537" spans="39:112" x14ac:dyDescent="0.2">
      <c r="AM537" s="18"/>
      <c r="AS537" s="18"/>
      <c r="AX537" s="17"/>
      <c r="BI537" s="18"/>
      <c r="BO537" s="18"/>
      <c r="BT537" s="18"/>
      <c r="CA537" s="18"/>
      <c r="CH537" s="18"/>
      <c r="DF537" s="31" t="str">
        <f t="shared" si="20"/>
        <v xml:space="preserve">  </v>
      </c>
      <c r="DG537" s="25" t="str">
        <f t="shared" si="21"/>
        <v/>
      </c>
      <c r="DH537" s="25" t="str">
        <f>BasicInput!$D$13&amp;$DH$2&amp;B537&amp;"_"&amp;C537&amp;D537&amp;"_"&amp;BasicInput!$D$7&amp;BasicInput!$D$8&amp;"_"&amp;DG537&amp;".xuf"</f>
        <v>C:\PWWORKING\east01\d2591108\Ramps\__2019EX_PM_.xuf</v>
      </c>
    </row>
    <row r="538" spans="39:112" x14ac:dyDescent="0.2">
      <c r="AM538" s="18"/>
      <c r="AS538" s="18"/>
      <c r="AX538" s="17"/>
      <c r="BI538" s="18"/>
      <c r="BO538" s="18"/>
      <c r="BT538" s="18"/>
      <c r="CA538" s="18"/>
      <c r="CH538" s="18"/>
      <c r="DF538" s="31" t="str">
        <f t="shared" si="20"/>
        <v xml:space="preserve">  </v>
      </c>
      <c r="DG538" s="25" t="str">
        <f t="shared" si="21"/>
        <v/>
      </c>
      <c r="DH538" s="25" t="str">
        <f>BasicInput!$D$13&amp;$DH$2&amp;B538&amp;"_"&amp;C538&amp;D538&amp;"_"&amp;BasicInput!$D$7&amp;BasicInput!$D$8&amp;"_"&amp;DG538&amp;".xuf"</f>
        <v>C:\PWWORKING\east01\d2591108\Ramps\__2019EX_PM_.xuf</v>
      </c>
    </row>
    <row r="539" spans="39:112" x14ac:dyDescent="0.2">
      <c r="AM539" s="18"/>
      <c r="AS539" s="18"/>
      <c r="AX539" s="17"/>
      <c r="BI539" s="18"/>
      <c r="BO539" s="18"/>
      <c r="BT539" s="18"/>
      <c r="CA539" s="18"/>
      <c r="CH539" s="18"/>
      <c r="DF539" s="31" t="str">
        <f t="shared" si="20"/>
        <v xml:space="preserve">  </v>
      </c>
      <c r="DG539" s="25" t="str">
        <f t="shared" si="21"/>
        <v/>
      </c>
      <c r="DH539" s="25" t="str">
        <f>BasicInput!$D$13&amp;$DH$2&amp;B539&amp;"_"&amp;C539&amp;D539&amp;"_"&amp;BasicInput!$D$7&amp;BasicInput!$D$8&amp;"_"&amp;DG539&amp;".xuf"</f>
        <v>C:\PWWORKING\east01\d2591108\Ramps\__2019EX_PM_.xuf</v>
      </c>
    </row>
    <row r="540" spans="39:112" x14ac:dyDescent="0.2">
      <c r="AM540" s="18"/>
      <c r="AS540" s="18"/>
      <c r="AX540" s="17"/>
      <c r="BI540" s="18"/>
      <c r="BO540" s="18"/>
      <c r="BT540" s="18"/>
      <c r="CA540" s="18"/>
      <c r="CH540" s="18"/>
      <c r="DF540" s="31" t="str">
        <f t="shared" si="20"/>
        <v xml:space="preserve">  </v>
      </c>
      <c r="DG540" s="25" t="str">
        <f t="shared" si="21"/>
        <v/>
      </c>
      <c r="DH540" s="25" t="str">
        <f>BasicInput!$D$13&amp;$DH$2&amp;B540&amp;"_"&amp;C540&amp;D540&amp;"_"&amp;BasicInput!$D$7&amp;BasicInput!$D$8&amp;"_"&amp;DG540&amp;".xuf"</f>
        <v>C:\PWWORKING\east01\d2591108\Ramps\__2019EX_PM_.xuf</v>
      </c>
    </row>
    <row r="541" spans="39:112" x14ac:dyDescent="0.2">
      <c r="AM541" s="18"/>
      <c r="AS541" s="18"/>
      <c r="AX541" s="17"/>
      <c r="BI541" s="18"/>
      <c r="BO541" s="18"/>
      <c r="BT541" s="18"/>
      <c r="CA541" s="18"/>
      <c r="CH541" s="18"/>
      <c r="DF541" s="31" t="str">
        <f t="shared" si="20"/>
        <v xml:space="preserve">  </v>
      </c>
      <c r="DG541" s="25" t="str">
        <f t="shared" si="21"/>
        <v/>
      </c>
      <c r="DH541" s="25" t="str">
        <f>BasicInput!$D$13&amp;$DH$2&amp;B541&amp;"_"&amp;C541&amp;D541&amp;"_"&amp;BasicInput!$D$7&amp;BasicInput!$D$8&amp;"_"&amp;DG541&amp;".xuf"</f>
        <v>C:\PWWORKING\east01\d2591108\Ramps\__2019EX_PM_.xuf</v>
      </c>
    </row>
    <row r="542" spans="39:112" x14ac:dyDescent="0.2">
      <c r="AM542" s="18"/>
      <c r="AS542" s="18"/>
      <c r="AX542" s="17"/>
      <c r="BI542" s="18"/>
      <c r="BO542" s="18"/>
      <c r="BT542" s="18"/>
      <c r="CA542" s="18"/>
      <c r="CH542" s="18"/>
      <c r="DF542" s="31" t="str">
        <f t="shared" si="20"/>
        <v xml:space="preserve">  </v>
      </c>
      <c r="DG542" s="25" t="str">
        <f t="shared" si="21"/>
        <v/>
      </c>
      <c r="DH542" s="25" t="str">
        <f>BasicInput!$D$13&amp;$DH$2&amp;B542&amp;"_"&amp;C542&amp;D542&amp;"_"&amp;BasicInput!$D$7&amp;BasicInput!$D$8&amp;"_"&amp;DG542&amp;".xuf"</f>
        <v>C:\PWWORKING\east01\d2591108\Ramps\__2019EX_PM_.xuf</v>
      </c>
    </row>
    <row r="543" spans="39:112" x14ac:dyDescent="0.2">
      <c r="AM543" s="18"/>
      <c r="AS543" s="18"/>
      <c r="AX543" s="17"/>
      <c r="BI543" s="18"/>
      <c r="BO543" s="18"/>
      <c r="BT543" s="18"/>
      <c r="CA543" s="18"/>
      <c r="CH543" s="18"/>
      <c r="DF543" s="31" t="str">
        <f t="shared" si="20"/>
        <v xml:space="preserve">  </v>
      </c>
      <c r="DG543" s="25" t="str">
        <f t="shared" si="21"/>
        <v/>
      </c>
      <c r="DH543" s="25" t="str">
        <f>BasicInput!$D$13&amp;$DH$2&amp;B543&amp;"_"&amp;C543&amp;D543&amp;"_"&amp;BasicInput!$D$7&amp;BasicInput!$D$8&amp;"_"&amp;DG543&amp;".xuf"</f>
        <v>C:\PWWORKING\east01\d2591108\Ramps\__2019EX_PM_.xuf</v>
      </c>
    </row>
    <row r="544" spans="39:112" x14ac:dyDescent="0.2">
      <c r="AM544" s="18"/>
      <c r="AS544" s="18"/>
      <c r="AX544" s="17"/>
      <c r="BI544" s="18"/>
      <c r="BO544" s="18"/>
      <c r="BT544" s="18"/>
      <c r="CA544" s="18"/>
      <c r="CH544" s="18"/>
      <c r="DF544" s="31" t="str">
        <f t="shared" si="20"/>
        <v xml:space="preserve">  </v>
      </c>
      <c r="DG544" s="25" t="str">
        <f t="shared" si="21"/>
        <v/>
      </c>
      <c r="DH544" s="25" t="str">
        <f>BasicInput!$D$13&amp;$DH$2&amp;B544&amp;"_"&amp;C544&amp;D544&amp;"_"&amp;BasicInput!$D$7&amp;BasicInput!$D$8&amp;"_"&amp;DG544&amp;".xuf"</f>
        <v>C:\PWWORKING\east01\d2591108\Ramps\__2019EX_PM_.xuf</v>
      </c>
    </row>
    <row r="545" spans="39:112" x14ac:dyDescent="0.2">
      <c r="AM545" s="18"/>
      <c r="AS545" s="18"/>
      <c r="AX545" s="17"/>
      <c r="BI545" s="18"/>
      <c r="BO545" s="18"/>
      <c r="BT545" s="18"/>
      <c r="CA545" s="18"/>
      <c r="CH545" s="18"/>
      <c r="DF545" s="31" t="str">
        <f t="shared" si="20"/>
        <v xml:space="preserve">  </v>
      </c>
      <c r="DG545" s="25" t="str">
        <f t="shared" si="21"/>
        <v/>
      </c>
      <c r="DH545" s="25" t="str">
        <f>BasicInput!$D$13&amp;$DH$2&amp;B545&amp;"_"&amp;C545&amp;D545&amp;"_"&amp;BasicInput!$D$7&amp;BasicInput!$D$8&amp;"_"&amp;DG545&amp;".xuf"</f>
        <v>C:\PWWORKING\east01\d2591108\Ramps\__2019EX_PM_.xuf</v>
      </c>
    </row>
    <row r="546" spans="39:112" x14ac:dyDescent="0.2">
      <c r="AM546" s="18"/>
      <c r="AS546" s="18"/>
      <c r="AX546" s="17"/>
      <c r="BI546" s="18"/>
      <c r="BO546" s="18"/>
      <c r="BT546" s="18"/>
      <c r="CA546" s="18"/>
      <c r="CH546" s="18"/>
      <c r="DF546" s="31" t="str">
        <f t="shared" si="20"/>
        <v xml:space="preserve">  </v>
      </c>
      <c r="DG546" s="25" t="str">
        <f t="shared" si="21"/>
        <v/>
      </c>
      <c r="DH546" s="25" t="str">
        <f>BasicInput!$D$13&amp;$DH$2&amp;B546&amp;"_"&amp;C546&amp;D546&amp;"_"&amp;BasicInput!$D$7&amp;BasicInput!$D$8&amp;"_"&amp;DG546&amp;".xuf"</f>
        <v>C:\PWWORKING\east01\d2591108\Ramps\__2019EX_PM_.xuf</v>
      </c>
    </row>
    <row r="547" spans="39:112" x14ac:dyDescent="0.2">
      <c r="AM547" s="18"/>
      <c r="AS547" s="18"/>
      <c r="AX547" s="17"/>
      <c r="BI547" s="18"/>
      <c r="BO547" s="18"/>
      <c r="BT547" s="18"/>
      <c r="CA547" s="18"/>
      <c r="CH547" s="18"/>
      <c r="DF547" s="31" t="str">
        <f t="shared" si="20"/>
        <v xml:space="preserve">  </v>
      </c>
      <c r="DG547" s="25" t="str">
        <f t="shared" si="21"/>
        <v/>
      </c>
      <c r="DH547" s="25" t="str">
        <f>BasicInput!$D$13&amp;$DH$2&amp;B547&amp;"_"&amp;C547&amp;D547&amp;"_"&amp;BasicInput!$D$7&amp;BasicInput!$D$8&amp;"_"&amp;DG547&amp;".xuf"</f>
        <v>C:\PWWORKING\east01\d2591108\Ramps\__2019EX_PM_.xuf</v>
      </c>
    </row>
    <row r="548" spans="39:112" x14ac:dyDescent="0.2">
      <c r="AM548" s="18"/>
      <c r="AS548" s="18"/>
      <c r="AX548" s="17"/>
      <c r="BI548" s="18"/>
      <c r="BO548" s="18"/>
      <c r="BT548" s="18"/>
      <c r="CA548" s="18"/>
      <c r="CH548" s="18"/>
      <c r="DF548" s="31" t="str">
        <f t="shared" si="20"/>
        <v xml:space="preserve">  </v>
      </c>
      <c r="DG548" s="25" t="str">
        <f t="shared" si="21"/>
        <v/>
      </c>
      <c r="DH548" s="25" t="str">
        <f>BasicInput!$D$13&amp;$DH$2&amp;B548&amp;"_"&amp;C548&amp;D548&amp;"_"&amp;BasicInput!$D$7&amp;BasicInput!$D$8&amp;"_"&amp;DG548&amp;".xuf"</f>
        <v>C:\PWWORKING\east01\d2591108\Ramps\__2019EX_PM_.xuf</v>
      </c>
    </row>
    <row r="549" spans="39:112" x14ac:dyDescent="0.2">
      <c r="AM549" s="18"/>
      <c r="AS549" s="18"/>
      <c r="AX549" s="17"/>
      <c r="BI549" s="18"/>
      <c r="BO549" s="18"/>
      <c r="BT549" s="18"/>
      <c r="CA549" s="18"/>
      <c r="CH549" s="18"/>
      <c r="DF549" s="31" t="str">
        <f t="shared" si="20"/>
        <v xml:space="preserve">  </v>
      </c>
      <c r="DG549" s="25" t="str">
        <f t="shared" si="21"/>
        <v/>
      </c>
      <c r="DH549" s="25" t="str">
        <f>BasicInput!$D$13&amp;$DH$2&amp;B549&amp;"_"&amp;C549&amp;D549&amp;"_"&amp;BasicInput!$D$7&amp;BasicInput!$D$8&amp;"_"&amp;DG549&amp;".xuf"</f>
        <v>C:\PWWORKING\east01\d2591108\Ramps\__2019EX_PM_.xuf</v>
      </c>
    </row>
    <row r="550" spans="39:112" x14ac:dyDescent="0.2">
      <c r="AM550" s="18"/>
      <c r="AS550" s="18"/>
      <c r="AX550" s="17"/>
      <c r="BI550" s="18"/>
      <c r="BO550" s="18"/>
      <c r="BT550" s="18"/>
      <c r="CA550" s="18"/>
      <c r="CH550" s="18"/>
      <c r="DF550" s="31" t="str">
        <f t="shared" si="20"/>
        <v xml:space="preserve">  </v>
      </c>
      <c r="DG550" s="25" t="str">
        <f t="shared" si="21"/>
        <v/>
      </c>
      <c r="DH550" s="25" t="str">
        <f>BasicInput!$D$13&amp;$DH$2&amp;B550&amp;"_"&amp;C550&amp;D550&amp;"_"&amp;BasicInput!$D$7&amp;BasicInput!$D$8&amp;"_"&amp;DG550&amp;".xuf"</f>
        <v>C:\PWWORKING\east01\d2591108\Ramps\__2019EX_PM_.xuf</v>
      </c>
    </row>
    <row r="551" spans="39:112" x14ac:dyDescent="0.2">
      <c r="AM551" s="18"/>
      <c r="AS551" s="18"/>
      <c r="AX551" s="17"/>
      <c r="BI551" s="18"/>
      <c r="BO551" s="18"/>
      <c r="BT551" s="18"/>
      <c r="CA551" s="18"/>
      <c r="CH551" s="18"/>
      <c r="DF551" s="31" t="str">
        <f t="shared" si="20"/>
        <v xml:space="preserve">  </v>
      </c>
      <c r="DG551" s="25" t="str">
        <f t="shared" si="21"/>
        <v/>
      </c>
      <c r="DH551" s="25" t="str">
        <f>BasicInput!$D$13&amp;$DH$2&amp;B551&amp;"_"&amp;C551&amp;D551&amp;"_"&amp;BasicInput!$D$7&amp;BasicInput!$D$8&amp;"_"&amp;DG551&amp;".xuf"</f>
        <v>C:\PWWORKING\east01\d2591108\Ramps\__2019EX_PM_.xuf</v>
      </c>
    </row>
    <row r="552" spans="39:112" x14ac:dyDescent="0.2">
      <c r="AM552" s="18"/>
      <c r="AS552" s="18"/>
      <c r="AX552" s="17"/>
      <c r="BI552" s="18"/>
      <c r="BO552" s="18"/>
      <c r="BT552" s="18"/>
      <c r="CA552" s="18"/>
      <c r="CH552" s="18"/>
      <c r="DF552" s="31" t="str">
        <f t="shared" si="20"/>
        <v xml:space="preserve">  </v>
      </c>
      <c r="DG552" s="25" t="str">
        <f t="shared" si="21"/>
        <v/>
      </c>
      <c r="DH552" s="25" t="str">
        <f>BasicInput!$D$13&amp;$DH$2&amp;B552&amp;"_"&amp;C552&amp;D552&amp;"_"&amp;BasicInput!$D$7&amp;BasicInput!$D$8&amp;"_"&amp;DG552&amp;".xuf"</f>
        <v>C:\PWWORKING\east01\d2591108\Ramps\__2019EX_PM_.xuf</v>
      </c>
    </row>
    <row r="553" spans="39:112" x14ac:dyDescent="0.2">
      <c r="AM553" s="18"/>
      <c r="AS553" s="18"/>
      <c r="AX553" s="17"/>
      <c r="BI553" s="18"/>
      <c r="BO553" s="18"/>
      <c r="BT553" s="18"/>
      <c r="CA553" s="18"/>
      <c r="CH553" s="18"/>
      <c r="DF553" s="31" t="str">
        <f t="shared" si="20"/>
        <v xml:space="preserve">  </v>
      </c>
      <c r="DG553" s="25" t="str">
        <f t="shared" si="21"/>
        <v/>
      </c>
      <c r="DH553" s="25" t="str">
        <f>BasicInput!$D$13&amp;$DH$2&amp;B553&amp;"_"&amp;C553&amp;D553&amp;"_"&amp;BasicInput!$D$7&amp;BasicInput!$D$8&amp;"_"&amp;DG553&amp;".xuf"</f>
        <v>C:\PWWORKING\east01\d2591108\Ramps\__2019EX_PM_.xuf</v>
      </c>
    </row>
    <row r="554" spans="39:112" x14ac:dyDescent="0.2">
      <c r="AM554" s="18"/>
      <c r="AS554" s="18"/>
      <c r="AX554" s="17"/>
      <c r="BI554" s="18"/>
      <c r="BO554" s="18"/>
      <c r="BT554" s="18"/>
      <c r="CA554" s="18"/>
      <c r="CH554" s="18"/>
      <c r="DF554" s="31" t="str">
        <f t="shared" si="20"/>
        <v xml:space="preserve">  </v>
      </c>
      <c r="DG554" s="25" t="str">
        <f t="shared" si="21"/>
        <v/>
      </c>
      <c r="DH554" s="25" t="str">
        <f>BasicInput!$D$13&amp;$DH$2&amp;B554&amp;"_"&amp;C554&amp;D554&amp;"_"&amp;BasicInput!$D$7&amp;BasicInput!$D$8&amp;"_"&amp;DG554&amp;".xuf"</f>
        <v>C:\PWWORKING\east01\d2591108\Ramps\__2019EX_PM_.xuf</v>
      </c>
    </row>
    <row r="555" spans="39:112" x14ac:dyDescent="0.2">
      <c r="AM555" s="18"/>
      <c r="AS555" s="18"/>
      <c r="AX555" s="17"/>
      <c r="BI555" s="18"/>
      <c r="BO555" s="18"/>
      <c r="BT555" s="18"/>
      <c r="CA555" s="18"/>
      <c r="CH555" s="18"/>
      <c r="DF555" s="31" t="str">
        <f t="shared" si="20"/>
        <v xml:space="preserve">  </v>
      </c>
      <c r="DG555" s="25" t="str">
        <f t="shared" si="21"/>
        <v/>
      </c>
      <c r="DH555" s="25" t="str">
        <f>BasicInput!$D$13&amp;$DH$2&amp;B555&amp;"_"&amp;C555&amp;D555&amp;"_"&amp;BasicInput!$D$7&amp;BasicInput!$D$8&amp;"_"&amp;DG555&amp;".xuf"</f>
        <v>C:\PWWORKING\east01\d2591108\Ramps\__2019EX_PM_.xuf</v>
      </c>
    </row>
    <row r="556" spans="39:112" x14ac:dyDescent="0.2">
      <c r="AM556" s="18"/>
      <c r="AS556" s="18"/>
      <c r="AX556" s="17"/>
      <c r="BI556" s="18"/>
      <c r="BO556" s="18"/>
      <c r="BT556" s="18"/>
      <c r="CA556" s="18"/>
      <c r="CH556" s="18"/>
      <c r="DF556" s="31" t="str">
        <f t="shared" si="20"/>
        <v xml:space="preserve">  </v>
      </c>
      <c r="DG556" s="25" t="str">
        <f t="shared" si="21"/>
        <v/>
      </c>
      <c r="DH556" s="25" t="str">
        <f>BasicInput!$D$13&amp;$DH$2&amp;B556&amp;"_"&amp;C556&amp;D556&amp;"_"&amp;BasicInput!$D$7&amp;BasicInput!$D$8&amp;"_"&amp;DG556&amp;".xuf"</f>
        <v>C:\PWWORKING\east01\d2591108\Ramps\__2019EX_PM_.xuf</v>
      </c>
    </row>
    <row r="557" spans="39:112" x14ac:dyDescent="0.2">
      <c r="AM557" s="18"/>
      <c r="AS557" s="18"/>
      <c r="AX557" s="17"/>
      <c r="BI557" s="18"/>
      <c r="BO557" s="18"/>
      <c r="BT557" s="18"/>
      <c r="CA557" s="18"/>
      <c r="CH557" s="18"/>
      <c r="DF557" s="31" t="str">
        <f t="shared" si="20"/>
        <v xml:space="preserve">  </v>
      </c>
      <c r="DG557" s="25" t="str">
        <f t="shared" si="21"/>
        <v/>
      </c>
      <c r="DH557" s="25" t="str">
        <f>BasicInput!$D$13&amp;$DH$2&amp;B557&amp;"_"&amp;C557&amp;D557&amp;"_"&amp;BasicInput!$D$7&amp;BasicInput!$D$8&amp;"_"&amp;DG557&amp;".xuf"</f>
        <v>C:\PWWORKING\east01\d2591108\Ramps\__2019EX_PM_.xuf</v>
      </c>
    </row>
    <row r="558" spans="39:112" x14ac:dyDescent="0.2">
      <c r="AM558" s="18"/>
      <c r="AS558" s="18"/>
      <c r="AX558" s="17"/>
      <c r="BI558" s="18"/>
      <c r="BO558" s="18"/>
      <c r="BT558" s="18"/>
      <c r="CA558" s="18"/>
      <c r="CH558" s="18"/>
      <c r="DF558" s="31" t="str">
        <f t="shared" si="20"/>
        <v xml:space="preserve">  </v>
      </c>
      <c r="DG558" s="25" t="str">
        <f t="shared" si="21"/>
        <v/>
      </c>
      <c r="DH558" s="25" t="str">
        <f>BasicInput!$D$13&amp;$DH$2&amp;B558&amp;"_"&amp;C558&amp;D558&amp;"_"&amp;BasicInput!$D$7&amp;BasicInput!$D$8&amp;"_"&amp;DG558&amp;".xuf"</f>
        <v>C:\PWWORKING\east01\d2591108\Ramps\__2019EX_PM_.xuf</v>
      </c>
    </row>
    <row r="559" spans="39:112" x14ac:dyDescent="0.2">
      <c r="AM559" s="18"/>
      <c r="AS559" s="18"/>
      <c r="AX559" s="17"/>
      <c r="BI559" s="18"/>
      <c r="BO559" s="18"/>
      <c r="BT559" s="18"/>
      <c r="CA559" s="18"/>
      <c r="CH559" s="18"/>
      <c r="DF559" s="31" t="str">
        <f t="shared" si="20"/>
        <v xml:space="preserve">  </v>
      </c>
      <c r="DG559" s="25" t="str">
        <f t="shared" si="21"/>
        <v/>
      </c>
      <c r="DH559" s="25" t="str">
        <f>BasicInput!$D$13&amp;$DH$2&amp;B559&amp;"_"&amp;C559&amp;D559&amp;"_"&amp;BasicInput!$D$7&amp;BasicInput!$D$8&amp;"_"&amp;DG559&amp;".xuf"</f>
        <v>C:\PWWORKING\east01\d2591108\Ramps\__2019EX_PM_.xuf</v>
      </c>
    </row>
    <row r="560" spans="39:112" x14ac:dyDescent="0.2">
      <c r="AM560" s="18"/>
      <c r="AS560" s="18"/>
      <c r="AX560" s="17"/>
      <c r="BI560" s="18"/>
      <c r="BO560" s="18"/>
      <c r="BT560" s="18"/>
      <c r="CA560" s="18"/>
      <c r="CH560" s="18"/>
      <c r="DF560" s="31" t="str">
        <f t="shared" si="20"/>
        <v xml:space="preserve">  </v>
      </c>
      <c r="DG560" s="25" t="str">
        <f t="shared" si="21"/>
        <v/>
      </c>
      <c r="DH560" s="25" t="str">
        <f>BasicInput!$D$13&amp;$DH$2&amp;B560&amp;"_"&amp;C560&amp;D560&amp;"_"&amp;BasicInput!$D$7&amp;BasicInput!$D$8&amp;"_"&amp;DG560&amp;".xuf"</f>
        <v>C:\PWWORKING\east01\d2591108\Ramps\__2019EX_PM_.xuf</v>
      </c>
    </row>
    <row r="561" spans="39:112" x14ac:dyDescent="0.2">
      <c r="AM561" s="18"/>
      <c r="AS561" s="18"/>
      <c r="AX561" s="17"/>
      <c r="BI561" s="18"/>
      <c r="BO561" s="18"/>
      <c r="BT561" s="18"/>
      <c r="CA561" s="18"/>
      <c r="CH561" s="18"/>
      <c r="DF561" s="31" t="str">
        <f t="shared" si="20"/>
        <v xml:space="preserve">  </v>
      </c>
      <c r="DG561" s="25" t="str">
        <f t="shared" si="21"/>
        <v/>
      </c>
      <c r="DH561" s="25" t="str">
        <f>BasicInput!$D$13&amp;$DH$2&amp;B561&amp;"_"&amp;C561&amp;D561&amp;"_"&amp;BasicInput!$D$7&amp;BasicInput!$D$8&amp;"_"&amp;DG561&amp;".xuf"</f>
        <v>C:\PWWORKING\east01\d2591108\Ramps\__2019EX_PM_.xuf</v>
      </c>
    </row>
    <row r="562" spans="39:112" x14ac:dyDescent="0.2">
      <c r="AM562" s="18"/>
      <c r="AS562" s="18"/>
      <c r="AX562" s="17"/>
      <c r="BI562" s="18"/>
      <c r="BO562" s="18"/>
      <c r="BT562" s="18"/>
      <c r="CA562" s="18"/>
      <c r="CH562" s="18"/>
      <c r="DF562" s="31" t="str">
        <f t="shared" si="20"/>
        <v xml:space="preserve">  </v>
      </c>
      <c r="DG562" s="25" t="str">
        <f t="shared" si="21"/>
        <v/>
      </c>
      <c r="DH562" s="25" t="str">
        <f>BasicInput!$D$13&amp;$DH$2&amp;B562&amp;"_"&amp;C562&amp;D562&amp;"_"&amp;BasicInput!$D$7&amp;BasicInput!$D$8&amp;"_"&amp;DG562&amp;".xuf"</f>
        <v>C:\PWWORKING\east01\d2591108\Ramps\__2019EX_PM_.xuf</v>
      </c>
    </row>
    <row r="563" spans="39:112" x14ac:dyDescent="0.2">
      <c r="AM563" s="18"/>
      <c r="AS563" s="18"/>
      <c r="AX563" s="17"/>
      <c r="BI563" s="18"/>
      <c r="BO563" s="18"/>
      <c r="BT563" s="18"/>
      <c r="CA563" s="18"/>
      <c r="CH563" s="18"/>
      <c r="DF563" s="31" t="str">
        <f t="shared" si="20"/>
        <v xml:space="preserve">  </v>
      </c>
      <c r="DG563" s="25" t="str">
        <f t="shared" si="21"/>
        <v/>
      </c>
      <c r="DH563" s="25" t="str">
        <f>BasicInput!$D$13&amp;$DH$2&amp;B563&amp;"_"&amp;C563&amp;D563&amp;"_"&amp;BasicInput!$D$7&amp;BasicInput!$D$8&amp;"_"&amp;DG563&amp;".xuf"</f>
        <v>C:\PWWORKING\east01\d2591108\Ramps\__2019EX_PM_.xuf</v>
      </c>
    </row>
    <row r="564" spans="39:112" x14ac:dyDescent="0.2">
      <c r="AM564" s="18"/>
      <c r="AS564" s="18"/>
      <c r="AX564" s="17"/>
      <c r="BI564" s="18"/>
      <c r="BO564" s="18"/>
      <c r="BT564" s="18"/>
      <c r="CA564" s="18"/>
      <c r="CH564" s="18"/>
      <c r="DF564" s="31" t="str">
        <f t="shared" si="20"/>
        <v xml:space="preserve">  </v>
      </c>
      <c r="DG564" s="25" t="str">
        <f t="shared" si="21"/>
        <v/>
      </c>
      <c r="DH564" s="25" t="str">
        <f>BasicInput!$D$13&amp;$DH$2&amp;B564&amp;"_"&amp;C564&amp;D564&amp;"_"&amp;BasicInput!$D$7&amp;BasicInput!$D$8&amp;"_"&amp;DG564&amp;".xuf"</f>
        <v>C:\PWWORKING\east01\d2591108\Ramps\__2019EX_PM_.xuf</v>
      </c>
    </row>
    <row r="565" spans="39:112" x14ac:dyDescent="0.2">
      <c r="AM565" s="18"/>
      <c r="AS565" s="18"/>
      <c r="AX565" s="17"/>
      <c r="BI565" s="18"/>
      <c r="BO565" s="18"/>
      <c r="BT565" s="18"/>
      <c r="CA565" s="18"/>
      <c r="CH565" s="18"/>
      <c r="DF565" s="31" t="str">
        <f t="shared" si="20"/>
        <v xml:space="preserve">  </v>
      </c>
      <c r="DG565" s="25" t="str">
        <f t="shared" si="21"/>
        <v/>
      </c>
      <c r="DH565" s="25" t="str">
        <f>BasicInput!$D$13&amp;$DH$2&amp;B565&amp;"_"&amp;C565&amp;D565&amp;"_"&amp;BasicInput!$D$7&amp;BasicInput!$D$8&amp;"_"&amp;DG565&amp;".xuf"</f>
        <v>C:\PWWORKING\east01\d2591108\Ramps\__2019EX_PM_.xuf</v>
      </c>
    </row>
    <row r="566" spans="39:112" x14ac:dyDescent="0.2">
      <c r="AM566" s="18"/>
      <c r="AS566" s="18"/>
      <c r="AX566" s="17"/>
      <c r="BI566" s="18"/>
      <c r="BO566" s="18"/>
      <c r="BT566" s="18"/>
      <c r="CA566" s="18"/>
      <c r="CH566" s="18"/>
      <c r="DF566" s="31" t="str">
        <f t="shared" si="20"/>
        <v xml:space="preserve">  </v>
      </c>
      <c r="DG566" s="25" t="str">
        <f t="shared" si="21"/>
        <v/>
      </c>
      <c r="DH566" s="25" t="str">
        <f>BasicInput!$D$13&amp;$DH$2&amp;B566&amp;"_"&amp;C566&amp;D566&amp;"_"&amp;BasicInput!$D$7&amp;BasicInput!$D$8&amp;"_"&amp;DG566&amp;".xuf"</f>
        <v>C:\PWWORKING\east01\d2591108\Ramps\__2019EX_PM_.xuf</v>
      </c>
    </row>
    <row r="567" spans="39:112" x14ac:dyDescent="0.2">
      <c r="AM567" s="18"/>
      <c r="AS567" s="18"/>
      <c r="AX567" s="17"/>
      <c r="BI567" s="18"/>
      <c r="BO567" s="18"/>
      <c r="BT567" s="18"/>
      <c r="CA567" s="18"/>
      <c r="CH567" s="18"/>
      <c r="DF567" s="31" t="str">
        <f t="shared" si="20"/>
        <v xml:space="preserve">  </v>
      </c>
      <c r="DG567" s="25" t="str">
        <f t="shared" si="21"/>
        <v/>
      </c>
      <c r="DH567" s="25" t="str">
        <f>BasicInput!$D$13&amp;$DH$2&amp;B567&amp;"_"&amp;C567&amp;D567&amp;"_"&amp;BasicInput!$D$7&amp;BasicInput!$D$8&amp;"_"&amp;DG567&amp;".xuf"</f>
        <v>C:\PWWORKING\east01\d2591108\Ramps\__2019EX_PM_.xuf</v>
      </c>
    </row>
    <row r="568" spans="39:112" x14ac:dyDescent="0.2">
      <c r="AM568" s="18"/>
      <c r="AS568" s="18"/>
      <c r="AX568" s="17"/>
      <c r="BI568" s="18"/>
      <c r="BO568" s="18"/>
      <c r="BT568" s="18"/>
      <c r="CA568" s="18"/>
      <c r="CH568" s="18"/>
      <c r="DF568" s="31" t="str">
        <f t="shared" si="20"/>
        <v xml:space="preserve">  </v>
      </c>
      <c r="DG568" s="25" t="str">
        <f t="shared" si="21"/>
        <v/>
      </c>
      <c r="DH568" s="25" t="str">
        <f>BasicInput!$D$13&amp;$DH$2&amp;B568&amp;"_"&amp;C568&amp;D568&amp;"_"&amp;BasicInput!$D$7&amp;BasicInput!$D$8&amp;"_"&amp;DG568&amp;".xuf"</f>
        <v>C:\PWWORKING\east01\d2591108\Ramps\__2019EX_PM_.xuf</v>
      </c>
    </row>
    <row r="569" spans="39:112" x14ac:dyDescent="0.2">
      <c r="AM569" s="18"/>
      <c r="AS569" s="18"/>
      <c r="AX569" s="17"/>
      <c r="BI569" s="18"/>
      <c r="BO569" s="18"/>
      <c r="BT569" s="18"/>
      <c r="CA569" s="18"/>
      <c r="CH569" s="18"/>
      <c r="DF569" s="31" t="str">
        <f t="shared" si="20"/>
        <v xml:space="preserve">  </v>
      </c>
      <c r="DG569" s="25" t="str">
        <f t="shared" si="21"/>
        <v/>
      </c>
      <c r="DH569" s="25" t="str">
        <f>BasicInput!$D$13&amp;$DH$2&amp;B569&amp;"_"&amp;C569&amp;D569&amp;"_"&amp;BasicInput!$D$7&amp;BasicInput!$D$8&amp;"_"&amp;DG569&amp;".xuf"</f>
        <v>C:\PWWORKING\east01\d2591108\Ramps\__2019EX_PM_.xuf</v>
      </c>
    </row>
    <row r="570" spans="39:112" x14ac:dyDescent="0.2">
      <c r="AM570" s="18"/>
      <c r="AS570" s="18"/>
      <c r="AX570" s="17"/>
      <c r="BI570" s="18"/>
      <c r="BO570" s="18"/>
      <c r="BT570" s="18"/>
      <c r="CA570" s="18"/>
      <c r="CH570" s="18"/>
      <c r="DF570" s="31" t="str">
        <f t="shared" si="20"/>
        <v xml:space="preserve">  </v>
      </c>
      <c r="DG570" s="25" t="str">
        <f t="shared" si="21"/>
        <v/>
      </c>
      <c r="DH570" s="25" t="str">
        <f>BasicInput!$D$13&amp;$DH$2&amp;B570&amp;"_"&amp;C570&amp;D570&amp;"_"&amp;BasicInput!$D$7&amp;BasicInput!$D$8&amp;"_"&amp;DG570&amp;".xuf"</f>
        <v>C:\PWWORKING\east01\d2591108\Ramps\__2019EX_PM_.xuf</v>
      </c>
    </row>
    <row r="571" spans="39:112" x14ac:dyDescent="0.2">
      <c r="AM571" s="18"/>
      <c r="AS571" s="18"/>
      <c r="AX571" s="17"/>
      <c r="BI571" s="18"/>
      <c r="BO571" s="18"/>
      <c r="BT571" s="18"/>
      <c r="CA571" s="18"/>
      <c r="CH571" s="18"/>
      <c r="DF571" s="31" t="str">
        <f t="shared" si="20"/>
        <v xml:space="preserve">  </v>
      </c>
      <c r="DG571" s="25" t="str">
        <f t="shared" si="21"/>
        <v/>
      </c>
      <c r="DH571" s="25" t="str">
        <f>BasicInput!$D$13&amp;$DH$2&amp;B571&amp;"_"&amp;C571&amp;D571&amp;"_"&amp;BasicInput!$D$7&amp;BasicInput!$D$8&amp;"_"&amp;DG571&amp;".xuf"</f>
        <v>C:\PWWORKING\east01\d2591108\Ramps\__2019EX_PM_.xuf</v>
      </c>
    </row>
    <row r="572" spans="39:112" x14ac:dyDescent="0.2">
      <c r="AM572" s="18"/>
      <c r="AS572" s="18"/>
      <c r="AX572" s="17"/>
      <c r="BI572" s="18"/>
      <c r="BO572" s="18"/>
      <c r="BT572" s="18"/>
      <c r="CA572" s="18"/>
      <c r="CH572" s="18"/>
      <c r="DF572" s="31" t="str">
        <f t="shared" si="20"/>
        <v xml:space="preserve">  </v>
      </c>
      <c r="DG572" s="25" t="str">
        <f t="shared" si="21"/>
        <v/>
      </c>
      <c r="DH572" s="25" t="str">
        <f>BasicInput!$D$13&amp;$DH$2&amp;B572&amp;"_"&amp;C572&amp;D572&amp;"_"&amp;BasicInput!$D$7&amp;BasicInput!$D$8&amp;"_"&amp;DG572&amp;".xuf"</f>
        <v>C:\PWWORKING\east01\d2591108\Ramps\__2019EX_PM_.xuf</v>
      </c>
    </row>
    <row r="573" spans="39:112" x14ac:dyDescent="0.2">
      <c r="AM573" s="18"/>
      <c r="AS573" s="18"/>
      <c r="AX573" s="17"/>
      <c r="BI573" s="18"/>
      <c r="BO573" s="18"/>
      <c r="BT573" s="18"/>
      <c r="CA573" s="18"/>
      <c r="CH573" s="18"/>
      <c r="DF573" s="31" t="str">
        <f t="shared" si="20"/>
        <v xml:space="preserve">  </v>
      </c>
      <c r="DG573" s="25" t="str">
        <f t="shared" si="21"/>
        <v/>
      </c>
      <c r="DH573" s="25" t="str">
        <f>BasicInput!$D$13&amp;$DH$2&amp;B573&amp;"_"&amp;C573&amp;D573&amp;"_"&amp;BasicInput!$D$7&amp;BasicInput!$D$8&amp;"_"&amp;DG573&amp;".xuf"</f>
        <v>C:\PWWORKING\east01\d2591108\Ramps\__2019EX_PM_.xuf</v>
      </c>
    </row>
    <row r="574" spans="39:112" x14ac:dyDescent="0.2">
      <c r="AM574" s="18"/>
      <c r="AS574" s="18"/>
      <c r="AX574" s="17"/>
      <c r="BI574" s="18"/>
      <c r="BO574" s="18"/>
      <c r="BT574" s="18"/>
      <c r="CA574" s="18"/>
      <c r="CH574" s="18"/>
      <c r="DF574" s="31" t="str">
        <f t="shared" si="20"/>
        <v xml:space="preserve">  </v>
      </c>
      <c r="DG574" s="25" t="str">
        <f t="shared" si="21"/>
        <v/>
      </c>
      <c r="DH574" s="25" t="str">
        <f>BasicInput!$D$13&amp;$DH$2&amp;B574&amp;"_"&amp;C574&amp;D574&amp;"_"&amp;BasicInput!$D$7&amp;BasicInput!$D$8&amp;"_"&amp;DG574&amp;".xuf"</f>
        <v>C:\PWWORKING\east01\d2591108\Ramps\__2019EX_PM_.xuf</v>
      </c>
    </row>
    <row r="575" spans="39:112" x14ac:dyDescent="0.2">
      <c r="AM575" s="18"/>
      <c r="AS575" s="18"/>
      <c r="AX575" s="17"/>
      <c r="BI575" s="18"/>
      <c r="BO575" s="18"/>
      <c r="BT575" s="18"/>
      <c r="CA575" s="18"/>
      <c r="CH575" s="18"/>
      <c r="DF575" s="31" t="str">
        <f t="shared" si="20"/>
        <v xml:space="preserve">  </v>
      </c>
      <c r="DG575" s="25" t="str">
        <f t="shared" si="21"/>
        <v/>
      </c>
      <c r="DH575" s="25" t="str">
        <f>BasicInput!$D$13&amp;$DH$2&amp;B575&amp;"_"&amp;C575&amp;D575&amp;"_"&amp;BasicInput!$D$7&amp;BasicInput!$D$8&amp;"_"&amp;DG575&amp;".xuf"</f>
        <v>C:\PWWORKING\east01\d2591108\Ramps\__2019EX_PM_.xuf</v>
      </c>
    </row>
    <row r="576" spans="39:112" x14ac:dyDescent="0.2">
      <c r="AM576" s="18"/>
      <c r="AS576" s="18"/>
      <c r="AX576" s="17"/>
      <c r="BI576" s="18"/>
      <c r="BO576" s="18"/>
      <c r="BT576" s="18"/>
      <c r="CA576" s="18"/>
      <c r="CH576" s="18"/>
      <c r="DF576" s="31" t="str">
        <f t="shared" si="20"/>
        <v xml:space="preserve">  </v>
      </c>
      <c r="DG576" s="25" t="str">
        <f t="shared" si="21"/>
        <v/>
      </c>
      <c r="DH576" s="25" t="str">
        <f>BasicInput!$D$13&amp;$DH$2&amp;B576&amp;"_"&amp;C576&amp;D576&amp;"_"&amp;BasicInput!$D$7&amp;BasicInput!$D$8&amp;"_"&amp;DG576&amp;".xuf"</f>
        <v>C:\PWWORKING\east01\d2591108\Ramps\__2019EX_PM_.xuf</v>
      </c>
    </row>
    <row r="577" spans="39:112" x14ac:dyDescent="0.2">
      <c r="AM577" s="18"/>
      <c r="AS577" s="18"/>
      <c r="AX577" s="17"/>
      <c r="BI577" s="18"/>
      <c r="BO577" s="18"/>
      <c r="BT577" s="18"/>
      <c r="CA577" s="18"/>
      <c r="CH577" s="18"/>
      <c r="DF577" s="31" t="str">
        <f t="shared" si="20"/>
        <v xml:space="preserve">  </v>
      </c>
      <c r="DG577" s="25" t="str">
        <f t="shared" si="21"/>
        <v/>
      </c>
      <c r="DH577" s="25" t="str">
        <f>BasicInput!$D$13&amp;$DH$2&amp;B577&amp;"_"&amp;C577&amp;D577&amp;"_"&amp;BasicInput!$D$7&amp;BasicInput!$D$8&amp;"_"&amp;DG577&amp;".xuf"</f>
        <v>C:\PWWORKING\east01\d2591108\Ramps\__2019EX_PM_.xuf</v>
      </c>
    </row>
    <row r="578" spans="39:112" x14ac:dyDescent="0.2">
      <c r="AM578" s="18"/>
      <c r="AS578" s="18"/>
      <c r="AX578" s="17"/>
      <c r="BI578" s="18"/>
      <c r="BO578" s="18"/>
      <c r="BT578" s="18"/>
      <c r="CA578" s="18"/>
      <c r="CH578" s="18"/>
      <c r="DF578" s="31" t="str">
        <f t="shared" si="20"/>
        <v xml:space="preserve">  </v>
      </c>
      <c r="DG578" s="25" t="str">
        <f t="shared" si="21"/>
        <v/>
      </c>
      <c r="DH578" s="25" t="str">
        <f>BasicInput!$D$13&amp;$DH$2&amp;B578&amp;"_"&amp;C578&amp;D578&amp;"_"&amp;BasicInput!$D$7&amp;BasicInput!$D$8&amp;"_"&amp;DG578&amp;".xuf"</f>
        <v>C:\PWWORKING\east01\d2591108\Ramps\__2019EX_PM_.xuf</v>
      </c>
    </row>
    <row r="579" spans="39:112" x14ac:dyDescent="0.2">
      <c r="AM579" s="18"/>
      <c r="AS579" s="18"/>
      <c r="AX579" s="17"/>
      <c r="BI579" s="18"/>
      <c r="BO579" s="18"/>
      <c r="BT579" s="18"/>
      <c r="CA579" s="18"/>
      <c r="CH579" s="18"/>
      <c r="DF579" s="31" t="str">
        <f t="shared" si="20"/>
        <v xml:space="preserve">  </v>
      </c>
      <c r="DG579" s="25" t="str">
        <f t="shared" si="21"/>
        <v/>
      </c>
      <c r="DH579" s="25" t="str">
        <f>BasicInput!$D$13&amp;$DH$2&amp;B579&amp;"_"&amp;C579&amp;D579&amp;"_"&amp;BasicInput!$D$7&amp;BasicInput!$D$8&amp;"_"&amp;DG579&amp;".xuf"</f>
        <v>C:\PWWORKING\east01\d2591108\Ramps\__2019EX_PM_.xuf</v>
      </c>
    </row>
    <row r="580" spans="39:112" x14ac:dyDescent="0.2">
      <c r="AM580" s="18"/>
      <c r="AS580" s="18"/>
      <c r="AX580" s="17"/>
      <c r="BI580" s="18"/>
      <c r="BO580" s="18"/>
      <c r="BT580" s="18"/>
      <c r="CA580" s="18"/>
      <c r="CH580" s="18"/>
      <c r="DF580" s="31" t="str">
        <f t="shared" si="20"/>
        <v xml:space="preserve">  </v>
      </c>
      <c r="DG580" s="25" t="str">
        <f t="shared" si="21"/>
        <v/>
      </c>
      <c r="DH580" s="25" t="str">
        <f>BasicInput!$D$13&amp;$DH$2&amp;B580&amp;"_"&amp;C580&amp;D580&amp;"_"&amp;BasicInput!$D$7&amp;BasicInput!$D$8&amp;"_"&amp;DG580&amp;".xuf"</f>
        <v>C:\PWWORKING\east01\d2591108\Ramps\__2019EX_PM_.xuf</v>
      </c>
    </row>
    <row r="581" spans="39:112" x14ac:dyDescent="0.2">
      <c r="AM581" s="18"/>
      <c r="AS581" s="18"/>
      <c r="AX581" s="17"/>
      <c r="BI581" s="18"/>
      <c r="BO581" s="18"/>
      <c r="BT581" s="18"/>
      <c r="CA581" s="18"/>
      <c r="CH581" s="18"/>
      <c r="DF581" s="31" t="str">
        <f t="shared" si="20"/>
        <v xml:space="preserve">  </v>
      </c>
      <c r="DG581" s="25" t="str">
        <f t="shared" si="21"/>
        <v/>
      </c>
      <c r="DH581" s="25" t="str">
        <f>BasicInput!$D$13&amp;$DH$2&amp;B581&amp;"_"&amp;C581&amp;D581&amp;"_"&amp;BasicInput!$D$7&amp;BasicInput!$D$8&amp;"_"&amp;DG581&amp;".xuf"</f>
        <v>C:\PWWORKING\east01\d2591108\Ramps\__2019EX_PM_.xuf</v>
      </c>
    </row>
    <row r="582" spans="39:112" x14ac:dyDescent="0.2">
      <c r="AM582" s="18"/>
      <c r="AS582" s="18"/>
      <c r="AX582" s="17"/>
      <c r="BI582" s="18"/>
      <c r="BO582" s="18"/>
      <c r="BT582" s="18"/>
      <c r="CA582" s="18"/>
      <c r="CH582" s="18"/>
      <c r="DF582" s="31" t="str">
        <f t="shared" si="20"/>
        <v xml:space="preserve">  </v>
      </c>
      <c r="DG582" s="25" t="str">
        <f t="shared" si="21"/>
        <v/>
      </c>
      <c r="DH582" s="25" t="str">
        <f>BasicInput!$D$13&amp;$DH$2&amp;B582&amp;"_"&amp;C582&amp;D582&amp;"_"&amp;BasicInput!$D$7&amp;BasicInput!$D$8&amp;"_"&amp;DG582&amp;".xuf"</f>
        <v>C:\PWWORKING\east01\d2591108\Ramps\__2019EX_PM_.xuf</v>
      </c>
    </row>
    <row r="583" spans="39:112" x14ac:dyDescent="0.2">
      <c r="AM583" s="18"/>
      <c r="AS583" s="18"/>
      <c r="AX583" s="17"/>
      <c r="BI583" s="18"/>
      <c r="BO583" s="18"/>
      <c r="BT583" s="18"/>
      <c r="CA583" s="18"/>
      <c r="CH583" s="18"/>
      <c r="DF583" s="31" t="str">
        <f t="shared" si="20"/>
        <v xml:space="preserve">  </v>
      </c>
      <c r="DG583" s="25" t="str">
        <f t="shared" si="21"/>
        <v/>
      </c>
      <c r="DH583" s="25" t="str">
        <f>BasicInput!$D$13&amp;$DH$2&amp;B583&amp;"_"&amp;C583&amp;D583&amp;"_"&amp;BasicInput!$D$7&amp;BasicInput!$D$8&amp;"_"&amp;DG583&amp;".xuf"</f>
        <v>C:\PWWORKING\east01\d2591108\Ramps\__2019EX_PM_.xuf</v>
      </c>
    </row>
    <row r="584" spans="39:112" x14ac:dyDescent="0.2">
      <c r="AM584" s="18"/>
      <c r="AS584" s="18"/>
      <c r="AX584" s="17"/>
      <c r="BI584" s="18"/>
      <c r="BO584" s="18"/>
      <c r="BT584" s="18"/>
      <c r="CA584" s="18"/>
      <c r="CH584" s="18"/>
      <c r="DF584" s="31" t="str">
        <f t="shared" si="20"/>
        <v xml:space="preserve">  </v>
      </c>
      <c r="DG584" s="25" t="str">
        <f t="shared" si="21"/>
        <v/>
      </c>
      <c r="DH584" s="25" t="str">
        <f>BasicInput!$D$13&amp;$DH$2&amp;B584&amp;"_"&amp;C584&amp;D584&amp;"_"&amp;BasicInput!$D$7&amp;BasicInput!$D$8&amp;"_"&amp;DG584&amp;".xuf"</f>
        <v>C:\PWWORKING\east01\d2591108\Ramps\__2019EX_PM_.xuf</v>
      </c>
    </row>
    <row r="585" spans="39:112" x14ac:dyDescent="0.2">
      <c r="AM585" s="18"/>
      <c r="AS585" s="18"/>
      <c r="AX585" s="17"/>
      <c r="BI585" s="18"/>
      <c r="BO585" s="18"/>
      <c r="BT585" s="18"/>
      <c r="CA585" s="18"/>
      <c r="CH585" s="18"/>
      <c r="DF585" s="31" t="str">
        <f t="shared" si="20"/>
        <v xml:space="preserve">  </v>
      </c>
      <c r="DG585" s="25" t="str">
        <f t="shared" si="21"/>
        <v/>
      </c>
      <c r="DH585" s="25" t="str">
        <f>BasicInput!$D$13&amp;$DH$2&amp;B585&amp;"_"&amp;C585&amp;D585&amp;"_"&amp;BasicInput!$D$7&amp;BasicInput!$D$8&amp;"_"&amp;DG585&amp;".xuf"</f>
        <v>C:\PWWORKING\east01\d2591108\Ramps\__2019EX_PM_.xuf</v>
      </c>
    </row>
    <row r="586" spans="39:112" x14ac:dyDescent="0.2">
      <c r="AM586" s="18"/>
      <c r="AS586" s="18"/>
      <c r="AX586" s="17"/>
      <c r="BI586" s="18"/>
      <c r="BO586" s="18"/>
      <c r="BT586" s="18"/>
      <c r="CA586" s="18"/>
      <c r="CH586" s="18"/>
      <c r="DF586" s="31" t="str">
        <f t="shared" si="20"/>
        <v xml:space="preserve">  </v>
      </c>
      <c r="DG586" s="25" t="str">
        <f t="shared" si="21"/>
        <v/>
      </c>
      <c r="DH586" s="25" t="str">
        <f>BasicInput!$D$13&amp;$DH$2&amp;B586&amp;"_"&amp;C586&amp;D586&amp;"_"&amp;BasicInput!$D$7&amp;BasicInput!$D$8&amp;"_"&amp;DG586&amp;".xuf"</f>
        <v>C:\PWWORKING\east01\d2591108\Ramps\__2019EX_PM_.xuf</v>
      </c>
    </row>
    <row r="587" spans="39:112" x14ac:dyDescent="0.2">
      <c r="AM587" s="18"/>
      <c r="AS587" s="18"/>
      <c r="AX587" s="17"/>
      <c r="BI587" s="18"/>
      <c r="BO587" s="18"/>
      <c r="BT587" s="18"/>
      <c r="CA587" s="18"/>
      <c r="CH587" s="18"/>
      <c r="DF587" s="31" t="str">
        <f t="shared" si="20"/>
        <v xml:space="preserve">  </v>
      </c>
      <c r="DG587" s="25" t="str">
        <f t="shared" si="21"/>
        <v/>
      </c>
      <c r="DH587" s="25" t="str">
        <f>BasicInput!$D$13&amp;$DH$2&amp;B587&amp;"_"&amp;C587&amp;D587&amp;"_"&amp;BasicInput!$D$7&amp;BasicInput!$D$8&amp;"_"&amp;DG587&amp;".xuf"</f>
        <v>C:\PWWORKING\east01\d2591108\Ramps\__2019EX_PM_.xuf</v>
      </c>
    </row>
    <row r="588" spans="39:112" x14ac:dyDescent="0.2">
      <c r="AM588" s="18"/>
      <c r="AS588" s="18"/>
      <c r="AX588" s="17"/>
      <c r="BI588" s="18"/>
      <c r="BO588" s="18"/>
      <c r="BT588" s="18"/>
      <c r="CA588" s="18"/>
      <c r="CH588" s="18"/>
      <c r="DF588" s="31" t="str">
        <f t="shared" si="20"/>
        <v xml:space="preserve">  </v>
      </c>
      <c r="DG588" s="25" t="str">
        <f t="shared" si="21"/>
        <v/>
      </c>
      <c r="DH588" s="25" t="str">
        <f>BasicInput!$D$13&amp;$DH$2&amp;B588&amp;"_"&amp;C588&amp;D588&amp;"_"&amp;BasicInput!$D$7&amp;BasicInput!$D$8&amp;"_"&amp;DG588&amp;".xuf"</f>
        <v>C:\PWWORKING\east01\d2591108\Ramps\__2019EX_PM_.xuf</v>
      </c>
    </row>
    <row r="589" spans="39:112" x14ac:dyDescent="0.2">
      <c r="AM589" s="18"/>
      <c r="AS589" s="18"/>
      <c r="AX589" s="17"/>
      <c r="BI589" s="18"/>
      <c r="BO589" s="18"/>
      <c r="BT589" s="18"/>
      <c r="CA589" s="18"/>
      <c r="CH589" s="18"/>
      <c r="DF589" s="31" t="str">
        <f t="shared" si="20"/>
        <v xml:space="preserve">  </v>
      </c>
      <c r="DG589" s="25" t="str">
        <f t="shared" si="21"/>
        <v/>
      </c>
      <c r="DH589" s="25" t="str">
        <f>BasicInput!$D$13&amp;$DH$2&amp;B589&amp;"_"&amp;C589&amp;D589&amp;"_"&amp;BasicInput!$D$7&amp;BasicInput!$D$8&amp;"_"&amp;DG589&amp;".xuf"</f>
        <v>C:\PWWORKING\east01\d2591108\Ramps\__2019EX_PM_.xuf</v>
      </c>
    </row>
    <row r="590" spans="39:112" x14ac:dyDescent="0.2">
      <c r="AM590" s="18"/>
      <c r="AS590" s="18"/>
      <c r="AX590" s="17"/>
      <c r="BI590" s="18"/>
      <c r="BO590" s="18"/>
      <c r="BT590" s="18"/>
      <c r="CA590" s="18"/>
      <c r="CH590" s="18"/>
      <c r="DF590" s="31" t="str">
        <f t="shared" si="20"/>
        <v xml:space="preserve">  </v>
      </c>
      <c r="DG590" s="25" t="str">
        <f t="shared" si="21"/>
        <v/>
      </c>
      <c r="DH590" s="25" t="str">
        <f>BasicInput!$D$13&amp;$DH$2&amp;B590&amp;"_"&amp;C590&amp;D590&amp;"_"&amp;BasicInput!$D$7&amp;BasicInput!$D$8&amp;"_"&amp;DG590&amp;".xuf"</f>
        <v>C:\PWWORKING\east01\d2591108\Ramps\__2019EX_PM_.xuf</v>
      </c>
    </row>
    <row r="591" spans="39:112" x14ac:dyDescent="0.2">
      <c r="AM591" s="18"/>
      <c r="AS591" s="18"/>
      <c r="AX591" s="17"/>
      <c r="BI591" s="18"/>
      <c r="BO591" s="18"/>
      <c r="BT591" s="18"/>
      <c r="CA591" s="18"/>
      <c r="CH591" s="18"/>
      <c r="DF591" s="31" t="str">
        <f t="shared" si="20"/>
        <v xml:space="preserve">  </v>
      </c>
      <c r="DG591" s="25" t="str">
        <f t="shared" si="21"/>
        <v/>
      </c>
      <c r="DH591" s="25" t="str">
        <f>BasicInput!$D$13&amp;$DH$2&amp;B591&amp;"_"&amp;C591&amp;D591&amp;"_"&amp;BasicInput!$D$7&amp;BasicInput!$D$8&amp;"_"&amp;DG591&amp;".xuf"</f>
        <v>C:\PWWORKING\east01\d2591108\Ramps\__2019EX_PM_.xuf</v>
      </c>
    </row>
    <row r="592" spans="39:112" x14ac:dyDescent="0.2">
      <c r="AM592" s="18"/>
      <c r="AS592" s="18"/>
      <c r="AX592" s="17"/>
      <c r="BI592" s="18"/>
      <c r="BO592" s="18"/>
      <c r="BT592" s="18"/>
      <c r="CA592" s="18"/>
      <c r="CH592" s="18"/>
      <c r="DF592" s="31" t="str">
        <f t="shared" si="20"/>
        <v xml:space="preserve">  </v>
      </c>
      <c r="DG592" s="25" t="str">
        <f t="shared" si="21"/>
        <v/>
      </c>
      <c r="DH592" s="25" t="str">
        <f>BasicInput!$D$13&amp;$DH$2&amp;B592&amp;"_"&amp;C592&amp;D592&amp;"_"&amp;BasicInput!$D$7&amp;BasicInput!$D$8&amp;"_"&amp;DG592&amp;".xuf"</f>
        <v>C:\PWWORKING\east01\d2591108\Ramps\__2019EX_PM_.xuf</v>
      </c>
    </row>
    <row r="593" spans="39:112" x14ac:dyDescent="0.2">
      <c r="AM593" s="18"/>
      <c r="AS593" s="18"/>
      <c r="AX593" s="17"/>
      <c r="BI593" s="18"/>
      <c r="BO593" s="18"/>
      <c r="BT593" s="18"/>
      <c r="CA593" s="18"/>
      <c r="CH593" s="18"/>
      <c r="DF593" s="31" t="str">
        <f t="shared" ref="DF593:DF656" si="22">C593&amp; " "&amp;D593&amp;" " &amp;E593</f>
        <v xml:space="preserve">  </v>
      </c>
      <c r="DG593" s="25" t="str">
        <f t="shared" ref="DG593:DG656" si="23">SUBSTITUTE(E593, "/", "_")</f>
        <v/>
      </c>
      <c r="DH593" s="25" t="str">
        <f>BasicInput!$D$13&amp;$DH$2&amp;B593&amp;"_"&amp;C593&amp;D593&amp;"_"&amp;BasicInput!$D$7&amp;BasicInput!$D$8&amp;"_"&amp;DG593&amp;".xuf"</f>
        <v>C:\PWWORKING\east01\d2591108\Ramps\__2019EX_PM_.xuf</v>
      </c>
    </row>
    <row r="594" spans="39:112" x14ac:dyDescent="0.2">
      <c r="AM594" s="18"/>
      <c r="AS594" s="18"/>
      <c r="AX594" s="17"/>
      <c r="BI594" s="18"/>
      <c r="BO594" s="18"/>
      <c r="BT594" s="18"/>
      <c r="CA594" s="18"/>
      <c r="CH594" s="18"/>
      <c r="DF594" s="31" t="str">
        <f t="shared" si="22"/>
        <v xml:space="preserve">  </v>
      </c>
      <c r="DG594" s="25" t="str">
        <f t="shared" si="23"/>
        <v/>
      </c>
      <c r="DH594" s="25" t="str">
        <f>BasicInput!$D$13&amp;$DH$2&amp;B594&amp;"_"&amp;C594&amp;D594&amp;"_"&amp;BasicInput!$D$7&amp;BasicInput!$D$8&amp;"_"&amp;DG594&amp;".xuf"</f>
        <v>C:\PWWORKING\east01\d2591108\Ramps\__2019EX_PM_.xuf</v>
      </c>
    </row>
    <row r="595" spans="39:112" x14ac:dyDescent="0.2">
      <c r="AM595" s="18"/>
      <c r="AS595" s="18"/>
      <c r="AX595" s="17"/>
      <c r="BI595" s="18"/>
      <c r="BO595" s="18"/>
      <c r="BT595" s="18"/>
      <c r="CA595" s="18"/>
      <c r="CH595" s="18"/>
      <c r="DF595" s="31" t="str">
        <f t="shared" si="22"/>
        <v xml:space="preserve">  </v>
      </c>
      <c r="DG595" s="25" t="str">
        <f t="shared" si="23"/>
        <v/>
      </c>
      <c r="DH595" s="25" t="str">
        <f>BasicInput!$D$13&amp;$DH$2&amp;B595&amp;"_"&amp;C595&amp;D595&amp;"_"&amp;BasicInput!$D$7&amp;BasicInput!$D$8&amp;"_"&amp;DG595&amp;".xuf"</f>
        <v>C:\PWWORKING\east01\d2591108\Ramps\__2019EX_PM_.xuf</v>
      </c>
    </row>
    <row r="596" spans="39:112" x14ac:dyDescent="0.2">
      <c r="AM596" s="18"/>
      <c r="AS596" s="18"/>
      <c r="AX596" s="17"/>
      <c r="BI596" s="18"/>
      <c r="BO596" s="18"/>
      <c r="BT596" s="18"/>
      <c r="CA596" s="18"/>
      <c r="CH596" s="18"/>
      <c r="DF596" s="31" t="str">
        <f t="shared" si="22"/>
        <v xml:space="preserve">  </v>
      </c>
      <c r="DG596" s="25" t="str">
        <f t="shared" si="23"/>
        <v/>
      </c>
      <c r="DH596" s="25" t="str">
        <f>BasicInput!$D$13&amp;$DH$2&amp;B596&amp;"_"&amp;C596&amp;D596&amp;"_"&amp;BasicInput!$D$7&amp;BasicInput!$D$8&amp;"_"&amp;DG596&amp;".xuf"</f>
        <v>C:\PWWORKING\east01\d2591108\Ramps\__2019EX_PM_.xuf</v>
      </c>
    </row>
    <row r="597" spans="39:112" x14ac:dyDescent="0.2">
      <c r="AM597" s="18"/>
      <c r="AS597" s="18"/>
      <c r="AX597" s="17"/>
      <c r="BI597" s="18"/>
      <c r="BO597" s="18"/>
      <c r="BT597" s="18"/>
      <c r="CA597" s="18"/>
      <c r="CH597" s="18"/>
      <c r="DF597" s="31" t="str">
        <f t="shared" si="22"/>
        <v xml:space="preserve">  </v>
      </c>
      <c r="DG597" s="25" t="str">
        <f t="shared" si="23"/>
        <v/>
      </c>
      <c r="DH597" s="25" t="str">
        <f>BasicInput!$D$13&amp;$DH$2&amp;B597&amp;"_"&amp;C597&amp;D597&amp;"_"&amp;BasicInput!$D$7&amp;BasicInput!$D$8&amp;"_"&amp;DG597&amp;".xuf"</f>
        <v>C:\PWWORKING\east01\d2591108\Ramps\__2019EX_PM_.xuf</v>
      </c>
    </row>
    <row r="598" spans="39:112" x14ac:dyDescent="0.2">
      <c r="AM598" s="18"/>
      <c r="AS598" s="18"/>
      <c r="AX598" s="17"/>
      <c r="BI598" s="18"/>
      <c r="BO598" s="18"/>
      <c r="BT598" s="18"/>
      <c r="CA598" s="18"/>
      <c r="CH598" s="18"/>
      <c r="DF598" s="31" t="str">
        <f t="shared" si="22"/>
        <v xml:space="preserve">  </v>
      </c>
      <c r="DG598" s="25" t="str">
        <f t="shared" si="23"/>
        <v/>
      </c>
      <c r="DH598" s="25" t="str">
        <f>BasicInput!$D$13&amp;$DH$2&amp;B598&amp;"_"&amp;C598&amp;D598&amp;"_"&amp;BasicInput!$D$7&amp;BasicInput!$D$8&amp;"_"&amp;DG598&amp;".xuf"</f>
        <v>C:\PWWORKING\east01\d2591108\Ramps\__2019EX_PM_.xuf</v>
      </c>
    </row>
    <row r="599" spans="39:112" x14ac:dyDescent="0.2">
      <c r="AM599" s="18"/>
      <c r="AS599" s="18"/>
      <c r="AX599" s="17"/>
      <c r="BI599" s="18"/>
      <c r="BO599" s="18"/>
      <c r="BT599" s="18"/>
      <c r="CA599" s="18"/>
      <c r="CH599" s="18"/>
      <c r="DF599" s="31" t="str">
        <f t="shared" si="22"/>
        <v xml:space="preserve">  </v>
      </c>
      <c r="DG599" s="25" t="str">
        <f t="shared" si="23"/>
        <v/>
      </c>
      <c r="DH599" s="25" t="str">
        <f>BasicInput!$D$13&amp;$DH$2&amp;B599&amp;"_"&amp;C599&amp;D599&amp;"_"&amp;BasicInput!$D$7&amp;BasicInput!$D$8&amp;"_"&amp;DG599&amp;".xuf"</f>
        <v>C:\PWWORKING\east01\d2591108\Ramps\__2019EX_PM_.xuf</v>
      </c>
    </row>
    <row r="600" spans="39:112" x14ac:dyDescent="0.2">
      <c r="AM600" s="18"/>
      <c r="AS600" s="18"/>
      <c r="AX600" s="17"/>
      <c r="BI600" s="18"/>
      <c r="BO600" s="18"/>
      <c r="BT600" s="18"/>
      <c r="CA600" s="18"/>
      <c r="CH600" s="18"/>
      <c r="DF600" s="31" t="str">
        <f t="shared" si="22"/>
        <v xml:space="preserve">  </v>
      </c>
      <c r="DG600" s="25" t="str">
        <f t="shared" si="23"/>
        <v/>
      </c>
      <c r="DH600" s="25" t="str">
        <f>BasicInput!$D$13&amp;$DH$2&amp;B600&amp;"_"&amp;C600&amp;D600&amp;"_"&amp;BasicInput!$D$7&amp;BasicInput!$D$8&amp;"_"&amp;DG600&amp;".xuf"</f>
        <v>C:\PWWORKING\east01\d2591108\Ramps\__2019EX_PM_.xuf</v>
      </c>
    </row>
    <row r="601" spans="39:112" x14ac:dyDescent="0.2">
      <c r="AM601" s="18"/>
      <c r="AS601" s="18"/>
      <c r="AX601" s="17"/>
      <c r="BI601" s="18"/>
      <c r="BO601" s="18"/>
      <c r="BT601" s="18"/>
      <c r="CA601" s="18"/>
      <c r="CH601" s="18"/>
      <c r="DF601" s="31" t="str">
        <f t="shared" si="22"/>
        <v xml:space="preserve">  </v>
      </c>
      <c r="DG601" s="25" t="str">
        <f t="shared" si="23"/>
        <v/>
      </c>
      <c r="DH601" s="25" t="str">
        <f>BasicInput!$D$13&amp;$DH$2&amp;B601&amp;"_"&amp;C601&amp;D601&amp;"_"&amp;BasicInput!$D$7&amp;BasicInput!$D$8&amp;"_"&amp;DG601&amp;".xuf"</f>
        <v>C:\PWWORKING\east01\d2591108\Ramps\__2019EX_PM_.xuf</v>
      </c>
    </row>
    <row r="602" spans="39:112" x14ac:dyDescent="0.2">
      <c r="AM602" s="18"/>
      <c r="AS602" s="18"/>
      <c r="AX602" s="17"/>
      <c r="BI602" s="18"/>
      <c r="BO602" s="18"/>
      <c r="BT602" s="18"/>
      <c r="CA602" s="18"/>
      <c r="CH602" s="18"/>
      <c r="DF602" s="31" t="str">
        <f t="shared" si="22"/>
        <v xml:space="preserve">  </v>
      </c>
      <c r="DG602" s="25" t="str">
        <f t="shared" si="23"/>
        <v/>
      </c>
      <c r="DH602" s="25" t="str">
        <f>BasicInput!$D$13&amp;$DH$2&amp;B602&amp;"_"&amp;C602&amp;D602&amp;"_"&amp;BasicInput!$D$7&amp;BasicInput!$D$8&amp;"_"&amp;DG602&amp;".xuf"</f>
        <v>C:\PWWORKING\east01\d2591108\Ramps\__2019EX_PM_.xuf</v>
      </c>
    </row>
    <row r="603" spans="39:112" x14ac:dyDescent="0.2">
      <c r="AM603" s="18"/>
      <c r="AS603" s="18"/>
      <c r="AX603" s="17"/>
      <c r="BI603" s="18"/>
      <c r="BO603" s="18"/>
      <c r="BT603" s="18"/>
      <c r="CA603" s="18"/>
      <c r="CH603" s="18"/>
      <c r="DF603" s="31" t="str">
        <f t="shared" si="22"/>
        <v xml:space="preserve">  </v>
      </c>
      <c r="DG603" s="25" t="str">
        <f t="shared" si="23"/>
        <v/>
      </c>
      <c r="DH603" s="25" t="str">
        <f>BasicInput!$D$13&amp;$DH$2&amp;B603&amp;"_"&amp;C603&amp;D603&amp;"_"&amp;BasicInput!$D$7&amp;BasicInput!$D$8&amp;"_"&amp;DG603&amp;".xuf"</f>
        <v>C:\PWWORKING\east01\d2591108\Ramps\__2019EX_PM_.xuf</v>
      </c>
    </row>
    <row r="604" spans="39:112" x14ac:dyDescent="0.2">
      <c r="AM604" s="18"/>
      <c r="AS604" s="18"/>
      <c r="AX604" s="17"/>
      <c r="BI604" s="18"/>
      <c r="BO604" s="18"/>
      <c r="BT604" s="18"/>
      <c r="CA604" s="18"/>
      <c r="CH604" s="18"/>
      <c r="DF604" s="31" t="str">
        <f t="shared" si="22"/>
        <v xml:space="preserve">  </v>
      </c>
      <c r="DG604" s="25" t="str">
        <f t="shared" si="23"/>
        <v/>
      </c>
      <c r="DH604" s="25" t="str">
        <f>BasicInput!$D$13&amp;$DH$2&amp;B604&amp;"_"&amp;C604&amp;D604&amp;"_"&amp;BasicInput!$D$7&amp;BasicInput!$D$8&amp;"_"&amp;DG604&amp;".xuf"</f>
        <v>C:\PWWORKING\east01\d2591108\Ramps\__2019EX_PM_.xuf</v>
      </c>
    </row>
    <row r="605" spans="39:112" x14ac:dyDescent="0.2">
      <c r="AM605" s="18"/>
      <c r="AS605" s="18"/>
      <c r="AX605" s="17"/>
      <c r="BI605" s="18"/>
      <c r="BO605" s="18"/>
      <c r="BT605" s="18"/>
      <c r="CA605" s="18"/>
      <c r="CH605" s="18"/>
      <c r="DF605" s="31" t="str">
        <f t="shared" si="22"/>
        <v xml:space="preserve">  </v>
      </c>
      <c r="DG605" s="25" t="str">
        <f t="shared" si="23"/>
        <v/>
      </c>
      <c r="DH605" s="25" t="str">
        <f>BasicInput!$D$13&amp;$DH$2&amp;B605&amp;"_"&amp;C605&amp;D605&amp;"_"&amp;BasicInput!$D$7&amp;BasicInput!$D$8&amp;"_"&amp;DG605&amp;".xuf"</f>
        <v>C:\PWWORKING\east01\d2591108\Ramps\__2019EX_PM_.xuf</v>
      </c>
    </row>
    <row r="606" spans="39:112" x14ac:dyDescent="0.2">
      <c r="AM606" s="18"/>
      <c r="AS606" s="18"/>
      <c r="AX606" s="17"/>
      <c r="BI606" s="18"/>
      <c r="BO606" s="18"/>
      <c r="BT606" s="18"/>
      <c r="CA606" s="18"/>
      <c r="CH606" s="18"/>
      <c r="DF606" s="31" t="str">
        <f t="shared" si="22"/>
        <v xml:space="preserve">  </v>
      </c>
      <c r="DG606" s="25" t="str">
        <f t="shared" si="23"/>
        <v/>
      </c>
      <c r="DH606" s="25" t="str">
        <f>BasicInput!$D$13&amp;$DH$2&amp;B606&amp;"_"&amp;C606&amp;D606&amp;"_"&amp;BasicInput!$D$7&amp;BasicInput!$D$8&amp;"_"&amp;DG606&amp;".xuf"</f>
        <v>C:\PWWORKING\east01\d2591108\Ramps\__2019EX_PM_.xuf</v>
      </c>
    </row>
    <row r="607" spans="39:112" x14ac:dyDescent="0.2">
      <c r="AM607" s="18"/>
      <c r="AS607" s="18"/>
      <c r="AX607" s="17"/>
      <c r="BI607" s="18"/>
      <c r="BO607" s="18"/>
      <c r="BT607" s="18"/>
      <c r="CA607" s="18"/>
      <c r="CH607" s="18"/>
      <c r="DF607" s="31" t="str">
        <f t="shared" si="22"/>
        <v xml:space="preserve">  </v>
      </c>
      <c r="DG607" s="25" t="str">
        <f t="shared" si="23"/>
        <v/>
      </c>
      <c r="DH607" s="25" t="str">
        <f>BasicInput!$D$13&amp;$DH$2&amp;B607&amp;"_"&amp;C607&amp;D607&amp;"_"&amp;BasicInput!$D$7&amp;BasicInput!$D$8&amp;"_"&amp;DG607&amp;".xuf"</f>
        <v>C:\PWWORKING\east01\d2591108\Ramps\__2019EX_PM_.xuf</v>
      </c>
    </row>
    <row r="608" spans="39:112" x14ac:dyDescent="0.2">
      <c r="AM608" s="18"/>
      <c r="AS608" s="18"/>
      <c r="AX608" s="17"/>
      <c r="BI608" s="18"/>
      <c r="BO608" s="18"/>
      <c r="BT608" s="18"/>
      <c r="CA608" s="18"/>
      <c r="CH608" s="18"/>
      <c r="DF608" s="31" t="str">
        <f t="shared" si="22"/>
        <v xml:space="preserve">  </v>
      </c>
      <c r="DG608" s="25" t="str">
        <f t="shared" si="23"/>
        <v/>
      </c>
      <c r="DH608" s="25" t="str">
        <f>BasicInput!$D$13&amp;$DH$2&amp;B608&amp;"_"&amp;C608&amp;D608&amp;"_"&amp;BasicInput!$D$7&amp;BasicInput!$D$8&amp;"_"&amp;DG608&amp;".xuf"</f>
        <v>C:\PWWORKING\east01\d2591108\Ramps\__2019EX_PM_.xuf</v>
      </c>
    </row>
    <row r="609" spans="39:112" x14ac:dyDescent="0.2">
      <c r="AM609" s="18"/>
      <c r="AS609" s="18"/>
      <c r="AX609" s="17"/>
      <c r="BI609" s="18"/>
      <c r="BO609" s="18"/>
      <c r="BT609" s="18"/>
      <c r="CA609" s="18"/>
      <c r="CH609" s="18"/>
      <c r="DF609" s="31" t="str">
        <f t="shared" si="22"/>
        <v xml:space="preserve">  </v>
      </c>
      <c r="DG609" s="25" t="str">
        <f t="shared" si="23"/>
        <v/>
      </c>
      <c r="DH609" s="25" t="str">
        <f>BasicInput!$D$13&amp;$DH$2&amp;B609&amp;"_"&amp;C609&amp;D609&amp;"_"&amp;BasicInput!$D$7&amp;BasicInput!$D$8&amp;"_"&amp;DG609&amp;".xuf"</f>
        <v>C:\PWWORKING\east01\d2591108\Ramps\__2019EX_PM_.xuf</v>
      </c>
    </row>
    <row r="610" spans="39:112" x14ac:dyDescent="0.2">
      <c r="AM610" s="18"/>
      <c r="AS610" s="18"/>
      <c r="AX610" s="17"/>
      <c r="BI610" s="18"/>
      <c r="BO610" s="18"/>
      <c r="BT610" s="18"/>
      <c r="CA610" s="18"/>
      <c r="CH610" s="18"/>
      <c r="DF610" s="31" t="str">
        <f t="shared" si="22"/>
        <v xml:space="preserve">  </v>
      </c>
      <c r="DG610" s="25" t="str">
        <f t="shared" si="23"/>
        <v/>
      </c>
      <c r="DH610" s="25" t="str">
        <f>BasicInput!$D$13&amp;$DH$2&amp;B610&amp;"_"&amp;C610&amp;D610&amp;"_"&amp;BasicInput!$D$7&amp;BasicInput!$D$8&amp;"_"&amp;DG610&amp;".xuf"</f>
        <v>C:\PWWORKING\east01\d2591108\Ramps\__2019EX_PM_.xuf</v>
      </c>
    </row>
    <row r="611" spans="39:112" x14ac:dyDescent="0.2">
      <c r="AM611" s="18"/>
      <c r="AS611" s="18"/>
      <c r="AX611" s="17"/>
      <c r="BI611" s="18"/>
      <c r="BO611" s="18"/>
      <c r="BT611" s="18"/>
      <c r="CA611" s="18"/>
      <c r="CH611" s="18"/>
      <c r="DF611" s="31" t="str">
        <f t="shared" si="22"/>
        <v xml:space="preserve">  </v>
      </c>
      <c r="DG611" s="25" t="str">
        <f t="shared" si="23"/>
        <v/>
      </c>
      <c r="DH611" s="25" t="str">
        <f>BasicInput!$D$13&amp;$DH$2&amp;B611&amp;"_"&amp;C611&amp;D611&amp;"_"&amp;BasicInput!$D$7&amp;BasicInput!$D$8&amp;"_"&amp;DG611&amp;".xuf"</f>
        <v>C:\PWWORKING\east01\d2591108\Ramps\__2019EX_PM_.xuf</v>
      </c>
    </row>
    <row r="612" spans="39:112" x14ac:dyDescent="0.2">
      <c r="AM612" s="18"/>
      <c r="AS612" s="18"/>
      <c r="AX612" s="17"/>
      <c r="BI612" s="18"/>
      <c r="BO612" s="18"/>
      <c r="BT612" s="18"/>
      <c r="CA612" s="18"/>
      <c r="CH612" s="18"/>
      <c r="DF612" s="31" t="str">
        <f t="shared" si="22"/>
        <v xml:space="preserve">  </v>
      </c>
      <c r="DG612" s="25" t="str">
        <f t="shared" si="23"/>
        <v/>
      </c>
      <c r="DH612" s="25" t="str">
        <f>BasicInput!$D$13&amp;$DH$2&amp;B612&amp;"_"&amp;C612&amp;D612&amp;"_"&amp;BasicInput!$D$7&amp;BasicInput!$D$8&amp;"_"&amp;DG612&amp;".xuf"</f>
        <v>C:\PWWORKING\east01\d2591108\Ramps\__2019EX_PM_.xuf</v>
      </c>
    </row>
    <row r="613" spans="39:112" x14ac:dyDescent="0.2">
      <c r="AM613" s="18"/>
      <c r="AS613" s="18"/>
      <c r="AX613" s="17"/>
      <c r="BI613" s="18"/>
      <c r="BO613" s="18"/>
      <c r="BT613" s="18"/>
      <c r="CA613" s="18"/>
      <c r="CH613" s="18"/>
      <c r="DF613" s="31" t="str">
        <f t="shared" si="22"/>
        <v xml:space="preserve">  </v>
      </c>
      <c r="DG613" s="25" t="str">
        <f t="shared" si="23"/>
        <v/>
      </c>
      <c r="DH613" s="25" t="str">
        <f>BasicInput!$D$13&amp;$DH$2&amp;B613&amp;"_"&amp;C613&amp;D613&amp;"_"&amp;BasicInput!$D$7&amp;BasicInput!$D$8&amp;"_"&amp;DG613&amp;".xuf"</f>
        <v>C:\PWWORKING\east01\d2591108\Ramps\__2019EX_PM_.xuf</v>
      </c>
    </row>
    <row r="614" spans="39:112" x14ac:dyDescent="0.2">
      <c r="AM614" s="18"/>
      <c r="AS614" s="18"/>
      <c r="AX614" s="17"/>
      <c r="BI614" s="18"/>
      <c r="BO614" s="18"/>
      <c r="BT614" s="18"/>
      <c r="CA614" s="18"/>
      <c r="CH614" s="18"/>
      <c r="DF614" s="31" t="str">
        <f t="shared" si="22"/>
        <v xml:space="preserve">  </v>
      </c>
      <c r="DG614" s="25" t="str">
        <f t="shared" si="23"/>
        <v/>
      </c>
      <c r="DH614" s="25" t="str">
        <f>BasicInput!$D$13&amp;$DH$2&amp;B614&amp;"_"&amp;C614&amp;D614&amp;"_"&amp;BasicInput!$D$7&amp;BasicInput!$D$8&amp;"_"&amp;DG614&amp;".xuf"</f>
        <v>C:\PWWORKING\east01\d2591108\Ramps\__2019EX_PM_.xuf</v>
      </c>
    </row>
    <row r="615" spans="39:112" x14ac:dyDescent="0.2">
      <c r="AM615" s="18"/>
      <c r="AS615" s="18"/>
      <c r="AX615" s="17"/>
      <c r="BI615" s="18"/>
      <c r="BO615" s="18"/>
      <c r="BT615" s="18"/>
      <c r="CA615" s="18"/>
      <c r="CH615" s="18"/>
      <c r="DF615" s="31" t="str">
        <f t="shared" si="22"/>
        <v xml:space="preserve">  </v>
      </c>
      <c r="DG615" s="25" t="str">
        <f t="shared" si="23"/>
        <v/>
      </c>
      <c r="DH615" s="25" t="str">
        <f>BasicInput!$D$13&amp;$DH$2&amp;B615&amp;"_"&amp;C615&amp;D615&amp;"_"&amp;BasicInput!$D$7&amp;BasicInput!$D$8&amp;"_"&amp;DG615&amp;".xuf"</f>
        <v>C:\PWWORKING\east01\d2591108\Ramps\__2019EX_PM_.xuf</v>
      </c>
    </row>
    <row r="616" spans="39:112" x14ac:dyDescent="0.2">
      <c r="AM616" s="18"/>
      <c r="AS616" s="18"/>
      <c r="AX616" s="17"/>
      <c r="BI616" s="18"/>
      <c r="BO616" s="18"/>
      <c r="BT616" s="18"/>
      <c r="CA616" s="18"/>
      <c r="CH616" s="18"/>
      <c r="DF616" s="31" t="str">
        <f t="shared" si="22"/>
        <v xml:space="preserve">  </v>
      </c>
      <c r="DG616" s="25" t="str">
        <f t="shared" si="23"/>
        <v/>
      </c>
      <c r="DH616" s="25" t="str">
        <f>BasicInput!$D$13&amp;$DH$2&amp;B616&amp;"_"&amp;C616&amp;D616&amp;"_"&amp;BasicInput!$D$7&amp;BasicInput!$D$8&amp;"_"&amp;DG616&amp;".xuf"</f>
        <v>C:\PWWORKING\east01\d2591108\Ramps\__2019EX_PM_.xuf</v>
      </c>
    </row>
    <row r="617" spans="39:112" x14ac:dyDescent="0.2">
      <c r="AM617" s="18"/>
      <c r="AS617" s="18"/>
      <c r="AX617" s="17"/>
      <c r="BI617" s="18"/>
      <c r="BO617" s="18"/>
      <c r="BT617" s="18"/>
      <c r="CA617" s="18"/>
      <c r="CH617" s="18"/>
      <c r="DF617" s="31" t="str">
        <f t="shared" si="22"/>
        <v xml:space="preserve">  </v>
      </c>
      <c r="DG617" s="25" t="str">
        <f t="shared" si="23"/>
        <v/>
      </c>
      <c r="DH617" s="25" t="str">
        <f>BasicInput!$D$13&amp;$DH$2&amp;B617&amp;"_"&amp;C617&amp;D617&amp;"_"&amp;BasicInput!$D$7&amp;BasicInput!$D$8&amp;"_"&amp;DG617&amp;".xuf"</f>
        <v>C:\PWWORKING\east01\d2591108\Ramps\__2019EX_PM_.xuf</v>
      </c>
    </row>
    <row r="618" spans="39:112" x14ac:dyDescent="0.2">
      <c r="AM618" s="18"/>
      <c r="AS618" s="18"/>
      <c r="AX618" s="17"/>
      <c r="BI618" s="18"/>
      <c r="BO618" s="18"/>
      <c r="BT618" s="18"/>
      <c r="CA618" s="18"/>
      <c r="CH618" s="18"/>
      <c r="DF618" s="31" t="str">
        <f t="shared" si="22"/>
        <v xml:space="preserve">  </v>
      </c>
      <c r="DG618" s="25" t="str">
        <f t="shared" si="23"/>
        <v/>
      </c>
      <c r="DH618" s="25" t="str">
        <f>BasicInput!$D$13&amp;$DH$2&amp;B618&amp;"_"&amp;C618&amp;D618&amp;"_"&amp;BasicInput!$D$7&amp;BasicInput!$D$8&amp;"_"&amp;DG618&amp;".xuf"</f>
        <v>C:\PWWORKING\east01\d2591108\Ramps\__2019EX_PM_.xuf</v>
      </c>
    </row>
    <row r="619" spans="39:112" x14ac:dyDescent="0.2">
      <c r="AM619" s="18"/>
      <c r="AS619" s="18"/>
      <c r="AX619" s="17"/>
      <c r="BI619" s="18"/>
      <c r="BO619" s="18"/>
      <c r="BT619" s="18"/>
      <c r="CA619" s="18"/>
      <c r="CH619" s="18"/>
      <c r="DF619" s="31" t="str">
        <f t="shared" si="22"/>
        <v xml:space="preserve">  </v>
      </c>
      <c r="DG619" s="25" t="str">
        <f t="shared" si="23"/>
        <v/>
      </c>
      <c r="DH619" s="25" t="str">
        <f>BasicInput!$D$13&amp;$DH$2&amp;B619&amp;"_"&amp;C619&amp;D619&amp;"_"&amp;BasicInput!$D$7&amp;BasicInput!$D$8&amp;"_"&amp;DG619&amp;".xuf"</f>
        <v>C:\PWWORKING\east01\d2591108\Ramps\__2019EX_PM_.xuf</v>
      </c>
    </row>
    <row r="620" spans="39:112" x14ac:dyDescent="0.2">
      <c r="AM620" s="18"/>
      <c r="AS620" s="18"/>
      <c r="AX620" s="17"/>
      <c r="BI620" s="18"/>
      <c r="BO620" s="18"/>
      <c r="BT620" s="18"/>
      <c r="CA620" s="18"/>
      <c r="CH620" s="18"/>
      <c r="DF620" s="31" t="str">
        <f t="shared" si="22"/>
        <v xml:space="preserve">  </v>
      </c>
      <c r="DG620" s="25" t="str">
        <f t="shared" si="23"/>
        <v/>
      </c>
      <c r="DH620" s="25" t="str">
        <f>BasicInput!$D$13&amp;$DH$2&amp;B620&amp;"_"&amp;C620&amp;D620&amp;"_"&amp;BasicInput!$D$7&amp;BasicInput!$D$8&amp;"_"&amp;DG620&amp;".xuf"</f>
        <v>C:\PWWORKING\east01\d2591108\Ramps\__2019EX_PM_.xuf</v>
      </c>
    </row>
    <row r="621" spans="39:112" x14ac:dyDescent="0.2">
      <c r="AM621" s="18"/>
      <c r="AS621" s="18"/>
      <c r="AX621" s="17"/>
      <c r="BI621" s="18"/>
      <c r="BO621" s="18"/>
      <c r="BT621" s="18"/>
      <c r="CA621" s="18"/>
      <c r="CH621" s="18"/>
      <c r="DF621" s="31" t="str">
        <f t="shared" si="22"/>
        <v xml:space="preserve">  </v>
      </c>
      <c r="DG621" s="25" t="str">
        <f t="shared" si="23"/>
        <v/>
      </c>
      <c r="DH621" s="25" t="str">
        <f>BasicInput!$D$13&amp;$DH$2&amp;B621&amp;"_"&amp;C621&amp;D621&amp;"_"&amp;BasicInput!$D$7&amp;BasicInput!$D$8&amp;"_"&amp;DG621&amp;".xuf"</f>
        <v>C:\PWWORKING\east01\d2591108\Ramps\__2019EX_PM_.xuf</v>
      </c>
    </row>
    <row r="622" spans="39:112" x14ac:dyDescent="0.2">
      <c r="AM622" s="18"/>
      <c r="AS622" s="18"/>
      <c r="AX622" s="17"/>
      <c r="BI622" s="18"/>
      <c r="BO622" s="18"/>
      <c r="BT622" s="18"/>
      <c r="CA622" s="18"/>
      <c r="CH622" s="18"/>
      <c r="DF622" s="31" t="str">
        <f t="shared" si="22"/>
        <v xml:space="preserve">  </v>
      </c>
      <c r="DG622" s="25" t="str">
        <f t="shared" si="23"/>
        <v/>
      </c>
      <c r="DH622" s="25" t="str">
        <f>BasicInput!$D$13&amp;$DH$2&amp;B622&amp;"_"&amp;C622&amp;D622&amp;"_"&amp;BasicInput!$D$7&amp;BasicInput!$D$8&amp;"_"&amp;DG622&amp;".xuf"</f>
        <v>C:\PWWORKING\east01\d2591108\Ramps\__2019EX_PM_.xuf</v>
      </c>
    </row>
    <row r="623" spans="39:112" x14ac:dyDescent="0.2">
      <c r="AM623" s="18"/>
      <c r="AS623" s="18"/>
      <c r="AX623" s="17"/>
      <c r="BI623" s="18"/>
      <c r="BO623" s="18"/>
      <c r="BT623" s="18"/>
      <c r="CA623" s="18"/>
      <c r="CH623" s="18"/>
      <c r="DF623" s="31" t="str">
        <f t="shared" si="22"/>
        <v xml:space="preserve">  </v>
      </c>
      <c r="DG623" s="25" t="str">
        <f t="shared" si="23"/>
        <v/>
      </c>
      <c r="DH623" s="25" t="str">
        <f>BasicInput!$D$13&amp;$DH$2&amp;B623&amp;"_"&amp;C623&amp;D623&amp;"_"&amp;BasicInput!$D$7&amp;BasicInput!$D$8&amp;"_"&amp;DG623&amp;".xuf"</f>
        <v>C:\PWWORKING\east01\d2591108\Ramps\__2019EX_PM_.xuf</v>
      </c>
    </row>
    <row r="624" spans="39:112" x14ac:dyDescent="0.2">
      <c r="AM624" s="18"/>
      <c r="AS624" s="18"/>
      <c r="AX624" s="17"/>
      <c r="BI624" s="18"/>
      <c r="BO624" s="18"/>
      <c r="BT624" s="18"/>
      <c r="CA624" s="18"/>
      <c r="CH624" s="18"/>
      <c r="DF624" s="31" t="str">
        <f t="shared" si="22"/>
        <v xml:space="preserve">  </v>
      </c>
      <c r="DG624" s="25" t="str">
        <f t="shared" si="23"/>
        <v/>
      </c>
      <c r="DH624" s="25" t="str">
        <f>BasicInput!$D$13&amp;$DH$2&amp;B624&amp;"_"&amp;C624&amp;D624&amp;"_"&amp;BasicInput!$D$7&amp;BasicInput!$D$8&amp;"_"&amp;DG624&amp;".xuf"</f>
        <v>C:\PWWORKING\east01\d2591108\Ramps\__2019EX_PM_.xuf</v>
      </c>
    </row>
    <row r="625" spans="39:112" x14ac:dyDescent="0.2">
      <c r="AM625" s="18"/>
      <c r="AS625" s="18"/>
      <c r="AX625" s="17"/>
      <c r="BI625" s="18"/>
      <c r="BO625" s="18"/>
      <c r="BT625" s="18"/>
      <c r="CA625" s="18"/>
      <c r="CH625" s="18"/>
      <c r="DF625" s="31" t="str">
        <f t="shared" si="22"/>
        <v xml:space="preserve">  </v>
      </c>
      <c r="DG625" s="25" t="str">
        <f t="shared" si="23"/>
        <v/>
      </c>
      <c r="DH625" s="25" t="str">
        <f>BasicInput!$D$13&amp;$DH$2&amp;B625&amp;"_"&amp;C625&amp;D625&amp;"_"&amp;BasicInput!$D$7&amp;BasicInput!$D$8&amp;"_"&amp;DG625&amp;".xuf"</f>
        <v>C:\PWWORKING\east01\d2591108\Ramps\__2019EX_PM_.xuf</v>
      </c>
    </row>
    <row r="626" spans="39:112" x14ac:dyDescent="0.2">
      <c r="AM626" s="18"/>
      <c r="AS626" s="18"/>
      <c r="AX626" s="17"/>
      <c r="BI626" s="18"/>
      <c r="BO626" s="18"/>
      <c r="BT626" s="18"/>
      <c r="CA626" s="18"/>
      <c r="CH626" s="18"/>
      <c r="DF626" s="31" t="str">
        <f t="shared" si="22"/>
        <v xml:space="preserve">  </v>
      </c>
      <c r="DG626" s="25" t="str">
        <f t="shared" si="23"/>
        <v/>
      </c>
      <c r="DH626" s="25" t="str">
        <f>BasicInput!$D$13&amp;$DH$2&amp;B626&amp;"_"&amp;C626&amp;D626&amp;"_"&amp;BasicInput!$D$7&amp;BasicInput!$D$8&amp;"_"&amp;DG626&amp;".xuf"</f>
        <v>C:\PWWORKING\east01\d2591108\Ramps\__2019EX_PM_.xuf</v>
      </c>
    </row>
    <row r="627" spans="39:112" x14ac:dyDescent="0.2">
      <c r="AM627" s="18"/>
      <c r="AS627" s="18"/>
      <c r="AX627" s="17"/>
      <c r="BI627" s="18"/>
      <c r="BO627" s="18"/>
      <c r="BT627" s="18"/>
      <c r="CA627" s="18"/>
      <c r="CH627" s="18"/>
      <c r="DF627" s="31" t="str">
        <f t="shared" si="22"/>
        <v xml:space="preserve">  </v>
      </c>
      <c r="DG627" s="25" t="str">
        <f t="shared" si="23"/>
        <v/>
      </c>
      <c r="DH627" s="25" t="str">
        <f>BasicInput!$D$13&amp;$DH$2&amp;B627&amp;"_"&amp;C627&amp;D627&amp;"_"&amp;BasicInput!$D$7&amp;BasicInput!$D$8&amp;"_"&amp;DG627&amp;".xuf"</f>
        <v>C:\PWWORKING\east01\d2591108\Ramps\__2019EX_PM_.xuf</v>
      </c>
    </row>
    <row r="628" spans="39:112" x14ac:dyDescent="0.2">
      <c r="AM628" s="18"/>
      <c r="AS628" s="18"/>
      <c r="AX628" s="17"/>
      <c r="BI628" s="18"/>
      <c r="BO628" s="18"/>
      <c r="BT628" s="18"/>
      <c r="CA628" s="18"/>
      <c r="CH628" s="18"/>
      <c r="DF628" s="31" t="str">
        <f t="shared" si="22"/>
        <v xml:space="preserve">  </v>
      </c>
      <c r="DG628" s="25" t="str">
        <f t="shared" si="23"/>
        <v/>
      </c>
      <c r="DH628" s="25" t="str">
        <f>BasicInput!$D$13&amp;$DH$2&amp;B628&amp;"_"&amp;C628&amp;D628&amp;"_"&amp;BasicInput!$D$7&amp;BasicInput!$D$8&amp;"_"&amp;DG628&amp;".xuf"</f>
        <v>C:\PWWORKING\east01\d2591108\Ramps\__2019EX_PM_.xuf</v>
      </c>
    </row>
    <row r="629" spans="39:112" x14ac:dyDescent="0.2">
      <c r="AM629" s="18"/>
      <c r="AS629" s="18"/>
      <c r="AX629" s="17"/>
      <c r="BI629" s="18"/>
      <c r="BO629" s="18"/>
      <c r="BT629" s="18"/>
      <c r="CA629" s="18"/>
      <c r="CH629" s="18"/>
      <c r="DF629" s="31" t="str">
        <f t="shared" si="22"/>
        <v xml:space="preserve">  </v>
      </c>
      <c r="DG629" s="25" t="str">
        <f t="shared" si="23"/>
        <v/>
      </c>
      <c r="DH629" s="25" t="str">
        <f>BasicInput!$D$13&amp;$DH$2&amp;B629&amp;"_"&amp;C629&amp;D629&amp;"_"&amp;BasicInput!$D$7&amp;BasicInput!$D$8&amp;"_"&amp;DG629&amp;".xuf"</f>
        <v>C:\PWWORKING\east01\d2591108\Ramps\__2019EX_PM_.xuf</v>
      </c>
    </row>
    <row r="630" spans="39:112" x14ac:dyDescent="0.2">
      <c r="AM630" s="18"/>
      <c r="AS630" s="18"/>
      <c r="AX630" s="17"/>
      <c r="BI630" s="18"/>
      <c r="BO630" s="18"/>
      <c r="BT630" s="18"/>
      <c r="CA630" s="18"/>
      <c r="CH630" s="18"/>
      <c r="DF630" s="31" t="str">
        <f t="shared" si="22"/>
        <v xml:space="preserve">  </v>
      </c>
      <c r="DG630" s="25" t="str">
        <f t="shared" si="23"/>
        <v/>
      </c>
      <c r="DH630" s="25" t="str">
        <f>BasicInput!$D$13&amp;$DH$2&amp;B630&amp;"_"&amp;C630&amp;D630&amp;"_"&amp;BasicInput!$D$7&amp;BasicInput!$D$8&amp;"_"&amp;DG630&amp;".xuf"</f>
        <v>C:\PWWORKING\east01\d2591108\Ramps\__2019EX_PM_.xuf</v>
      </c>
    </row>
    <row r="631" spans="39:112" x14ac:dyDescent="0.2">
      <c r="AM631" s="18"/>
      <c r="AS631" s="18"/>
      <c r="AX631" s="17"/>
      <c r="BI631" s="18"/>
      <c r="BO631" s="18"/>
      <c r="BT631" s="18"/>
      <c r="CA631" s="18"/>
      <c r="CH631" s="18"/>
      <c r="DF631" s="31" t="str">
        <f t="shared" si="22"/>
        <v xml:space="preserve">  </v>
      </c>
      <c r="DG631" s="25" t="str">
        <f t="shared" si="23"/>
        <v/>
      </c>
      <c r="DH631" s="25" t="str">
        <f>BasicInput!$D$13&amp;$DH$2&amp;B631&amp;"_"&amp;C631&amp;D631&amp;"_"&amp;BasicInput!$D$7&amp;BasicInput!$D$8&amp;"_"&amp;DG631&amp;".xuf"</f>
        <v>C:\PWWORKING\east01\d2591108\Ramps\__2019EX_PM_.xuf</v>
      </c>
    </row>
    <row r="632" spans="39:112" x14ac:dyDescent="0.2">
      <c r="AM632" s="18"/>
      <c r="AS632" s="18"/>
      <c r="AX632" s="17"/>
      <c r="BI632" s="18"/>
      <c r="BO632" s="18"/>
      <c r="BT632" s="18"/>
      <c r="CA632" s="18"/>
      <c r="CH632" s="18"/>
      <c r="DF632" s="31" t="str">
        <f t="shared" si="22"/>
        <v xml:space="preserve">  </v>
      </c>
      <c r="DG632" s="25" t="str">
        <f t="shared" si="23"/>
        <v/>
      </c>
      <c r="DH632" s="25" t="str">
        <f>BasicInput!$D$13&amp;$DH$2&amp;B632&amp;"_"&amp;C632&amp;D632&amp;"_"&amp;BasicInput!$D$7&amp;BasicInput!$D$8&amp;"_"&amp;DG632&amp;".xuf"</f>
        <v>C:\PWWORKING\east01\d2591108\Ramps\__2019EX_PM_.xuf</v>
      </c>
    </row>
    <row r="633" spans="39:112" x14ac:dyDescent="0.2">
      <c r="AM633" s="18"/>
      <c r="AS633" s="18"/>
      <c r="AX633" s="17"/>
      <c r="BI633" s="18"/>
      <c r="BO633" s="18"/>
      <c r="BT633" s="18"/>
      <c r="CA633" s="18"/>
      <c r="CH633" s="18"/>
      <c r="DF633" s="31" t="str">
        <f t="shared" si="22"/>
        <v xml:space="preserve">  </v>
      </c>
      <c r="DG633" s="25" t="str">
        <f t="shared" si="23"/>
        <v/>
      </c>
      <c r="DH633" s="25" t="str">
        <f>BasicInput!$D$13&amp;$DH$2&amp;B633&amp;"_"&amp;C633&amp;D633&amp;"_"&amp;BasicInput!$D$7&amp;BasicInput!$D$8&amp;"_"&amp;DG633&amp;".xuf"</f>
        <v>C:\PWWORKING\east01\d2591108\Ramps\__2019EX_PM_.xuf</v>
      </c>
    </row>
    <row r="634" spans="39:112" x14ac:dyDescent="0.2">
      <c r="AM634" s="18"/>
      <c r="AS634" s="18"/>
      <c r="AX634" s="17"/>
      <c r="BI634" s="18"/>
      <c r="BO634" s="18"/>
      <c r="BT634" s="18"/>
      <c r="CA634" s="18"/>
      <c r="CH634" s="18"/>
      <c r="DF634" s="31" t="str">
        <f t="shared" si="22"/>
        <v xml:space="preserve">  </v>
      </c>
      <c r="DG634" s="25" t="str">
        <f t="shared" si="23"/>
        <v/>
      </c>
      <c r="DH634" s="25" t="str">
        <f>BasicInput!$D$13&amp;$DH$2&amp;B634&amp;"_"&amp;C634&amp;D634&amp;"_"&amp;BasicInput!$D$7&amp;BasicInput!$D$8&amp;"_"&amp;DG634&amp;".xuf"</f>
        <v>C:\PWWORKING\east01\d2591108\Ramps\__2019EX_PM_.xuf</v>
      </c>
    </row>
    <row r="635" spans="39:112" x14ac:dyDescent="0.2">
      <c r="AM635" s="18"/>
      <c r="AS635" s="18"/>
      <c r="AX635" s="17"/>
      <c r="BI635" s="18"/>
      <c r="BO635" s="18"/>
      <c r="BT635" s="18"/>
      <c r="CA635" s="18"/>
      <c r="CH635" s="18"/>
      <c r="DF635" s="31" t="str">
        <f t="shared" si="22"/>
        <v xml:space="preserve">  </v>
      </c>
      <c r="DG635" s="25" t="str">
        <f t="shared" si="23"/>
        <v/>
      </c>
      <c r="DH635" s="25" t="str">
        <f>BasicInput!$D$13&amp;$DH$2&amp;B635&amp;"_"&amp;C635&amp;D635&amp;"_"&amp;BasicInput!$D$7&amp;BasicInput!$D$8&amp;"_"&amp;DG635&amp;".xuf"</f>
        <v>C:\PWWORKING\east01\d2591108\Ramps\__2019EX_PM_.xuf</v>
      </c>
    </row>
    <row r="636" spans="39:112" x14ac:dyDescent="0.2">
      <c r="AM636" s="18"/>
      <c r="AS636" s="18"/>
      <c r="AX636" s="17"/>
      <c r="BI636" s="18"/>
      <c r="BO636" s="18"/>
      <c r="BT636" s="18"/>
      <c r="CA636" s="18"/>
      <c r="CH636" s="18"/>
      <c r="DF636" s="31" t="str">
        <f t="shared" si="22"/>
        <v xml:space="preserve">  </v>
      </c>
      <c r="DG636" s="25" t="str">
        <f t="shared" si="23"/>
        <v/>
      </c>
      <c r="DH636" s="25" t="str">
        <f>BasicInput!$D$13&amp;$DH$2&amp;B636&amp;"_"&amp;C636&amp;D636&amp;"_"&amp;BasicInput!$D$7&amp;BasicInput!$D$8&amp;"_"&amp;DG636&amp;".xuf"</f>
        <v>C:\PWWORKING\east01\d2591108\Ramps\__2019EX_PM_.xuf</v>
      </c>
    </row>
    <row r="637" spans="39:112" x14ac:dyDescent="0.2">
      <c r="AM637" s="18"/>
      <c r="AS637" s="18"/>
      <c r="AX637" s="17"/>
      <c r="BI637" s="18"/>
      <c r="BO637" s="18"/>
      <c r="BT637" s="18"/>
      <c r="CA637" s="18"/>
      <c r="CH637" s="18"/>
      <c r="DF637" s="31" t="str">
        <f t="shared" si="22"/>
        <v xml:space="preserve">  </v>
      </c>
      <c r="DG637" s="25" t="str">
        <f t="shared" si="23"/>
        <v/>
      </c>
      <c r="DH637" s="25" t="str">
        <f>BasicInput!$D$13&amp;$DH$2&amp;B637&amp;"_"&amp;C637&amp;D637&amp;"_"&amp;BasicInput!$D$7&amp;BasicInput!$D$8&amp;"_"&amp;DG637&amp;".xuf"</f>
        <v>C:\PWWORKING\east01\d2591108\Ramps\__2019EX_PM_.xuf</v>
      </c>
    </row>
    <row r="638" spans="39:112" x14ac:dyDescent="0.2">
      <c r="AM638" s="18"/>
      <c r="AS638" s="18"/>
      <c r="AX638" s="17"/>
      <c r="BI638" s="18"/>
      <c r="BO638" s="18"/>
      <c r="BT638" s="18"/>
      <c r="CA638" s="18"/>
      <c r="CH638" s="18"/>
      <c r="DF638" s="31" t="str">
        <f t="shared" si="22"/>
        <v xml:space="preserve">  </v>
      </c>
      <c r="DG638" s="25" t="str">
        <f t="shared" si="23"/>
        <v/>
      </c>
      <c r="DH638" s="25" t="str">
        <f>BasicInput!$D$13&amp;$DH$2&amp;B638&amp;"_"&amp;C638&amp;D638&amp;"_"&amp;BasicInput!$D$7&amp;BasicInput!$D$8&amp;"_"&amp;DG638&amp;".xuf"</f>
        <v>C:\PWWORKING\east01\d2591108\Ramps\__2019EX_PM_.xuf</v>
      </c>
    </row>
    <row r="639" spans="39:112" x14ac:dyDescent="0.2">
      <c r="AM639" s="18"/>
      <c r="AS639" s="18"/>
      <c r="AX639" s="17"/>
      <c r="BI639" s="18"/>
      <c r="BO639" s="18"/>
      <c r="BT639" s="18"/>
      <c r="CA639" s="18"/>
      <c r="CH639" s="18"/>
      <c r="DF639" s="31" t="str">
        <f t="shared" si="22"/>
        <v xml:space="preserve">  </v>
      </c>
      <c r="DG639" s="25" t="str">
        <f t="shared" si="23"/>
        <v/>
      </c>
      <c r="DH639" s="25" t="str">
        <f>BasicInput!$D$13&amp;$DH$2&amp;B639&amp;"_"&amp;C639&amp;D639&amp;"_"&amp;BasicInput!$D$7&amp;BasicInput!$D$8&amp;"_"&amp;DG639&amp;".xuf"</f>
        <v>C:\PWWORKING\east01\d2591108\Ramps\__2019EX_PM_.xuf</v>
      </c>
    </row>
    <row r="640" spans="39:112" x14ac:dyDescent="0.2">
      <c r="AM640" s="18"/>
      <c r="AS640" s="18"/>
      <c r="AX640" s="17"/>
      <c r="BI640" s="18"/>
      <c r="BO640" s="18"/>
      <c r="BT640" s="18"/>
      <c r="CA640" s="18"/>
      <c r="CH640" s="18"/>
      <c r="DF640" s="31" t="str">
        <f t="shared" si="22"/>
        <v xml:space="preserve">  </v>
      </c>
      <c r="DG640" s="25" t="str">
        <f t="shared" si="23"/>
        <v/>
      </c>
      <c r="DH640" s="25" t="str">
        <f>BasicInput!$D$13&amp;$DH$2&amp;B640&amp;"_"&amp;C640&amp;D640&amp;"_"&amp;BasicInput!$D$7&amp;BasicInput!$D$8&amp;"_"&amp;DG640&amp;".xuf"</f>
        <v>C:\PWWORKING\east01\d2591108\Ramps\__2019EX_PM_.xuf</v>
      </c>
    </row>
    <row r="641" spans="39:112" x14ac:dyDescent="0.2">
      <c r="AM641" s="18"/>
      <c r="AS641" s="18"/>
      <c r="AX641" s="17"/>
      <c r="BI641" s="18"/>
      <c r="BO641" s="18"/>
      <c r="BT641" s="18"/>
      <c r="CA641" s="18"/>
      <c r="CH641" s="18"/>
      <c r="DF641" s="31" t="str">
        <f t="shared" si="22"/>
        <v xml:space="preserve">  </v>
      </c>
      <c r="DG641" s="25" t="str">
        <f t="shared" si="23"/>
        <v/>
      </c>
      <c r="DH641" s="25" t="str">
        <f>BasicInput!$D$13&amp;$DH$2&amp;B641&amp;"_"&amp;C641&amp;D641&amp;"_"&amp;BasicInput!$D$7&amp;BasicInput!$D$8&amp;"_"&amp;DG641&amp;".xuf"</f>
        <v>C:\PWWORKING\east01\d2591108\Ramps\__2019EX_PM_.xuf</v>
      </c>
    </row>
    <row r="642" spans="39:112" x14ac:dyDescent="0.2">
      <c r="AM642" s="18"/>
      <c r="AS642" s="18"/>
      <c r="AX642" s="17"/>
      <c r="BI642" s="18"/>
      <c r="BO642" s="18"/>
      <c r="BT642" s="18"/>
      <c r="CA642" s="18"/>
      <c r="CH642" s="18"/>
      <c r="DF642" s="31" t="str">
        <f t="shared" si="22"/>
        <v xml:space="preserve">  </v>
      </c>
      <c r="DG642" s="25" t="str">
        <f t="shared" si="23"/>
        <v/>
      </c>
      <c r="DH642" s="25" t="str">
        <f>BasicInput!$D$13&amp;$DH$2&amp;B642&amp;"_"&amp;C642&amp;D642&amp;"_"&amp;BasicInput!$D$7&amp;BasicInput!$D$8&amp;"_"&amp;DG642&amp;".xuf"</f>
        <v>C:\PWWORKING\east01\d2591108\Ramps\__2019EX_PM_.xuf</v>
      </c>
    </row>
    <row r="643" spans="39:112" x14ac:dyDescent="0.2">
      <c r="AM643" s="18"/>
      <c r="AS643" s="18"/>
      <c r="AX643" s="17"/>
      <c r="BI643" s="18"/>
      <c r="BO643" s="18"/>
      <c r="BT643" s="18"/>
      <c r="CA643" s="18"/>
      <c r="CH643" s="18"/>
      <c r="DF643" s="31" t="str">
        <f t="shared" si="22"/>
        <v xml:space="preserve">  </v>
      </c>
      <c r="DG643" s="25" t="str">
        <f t="shared" si="23"/>
        <v/>
      </c>
      <c r="DH643" s="25" t="str">
        <f>BasicInput!$D$13&amp;$DH$2&amp;B643&amp;"_"&amp;C643&amp;D643&amp;"_"&amp;BasicInput!$D$7&amp;BasicInput!$D$8&amp;"_"&amp;DG643&amp;".xuf"</f>
        <v>C:\PWWORKING\east01\d2591108\Ramps\__2019EX_PM_.xuf</v>
      </c>
    </row>
    <row r="644" spans="39:112" x14ac:dyDescent="0.2">
      <c r="AM644" s="18"/>
      <c r="AS644" s="18"/>
      <c r="AX644" s="17"/>
      <c r="BI644" s="18"/>
      <c r="BO644" s="18"/>
      <c r="BT644" s="18"/>
      <c r="CA644" s="18"/>
      <c r="CH644" s="18"/>
      <c r="DF644" s="31" t="str">
        <f t="shared" si="22"/>
        <v xml:space="preserve">  </v>
      </c>
      <c r="DG644" s="25" t="str">
        <f t="shared" si="23"/>
        <v/>
      </c>
      <c r="DH644" s="25" t="str">
        <f>BasicInput!$D$13&amp;$DH$2&amp;B644&amp;"_"&amp;C644&amp;D644&amp;"_"&amp;BasicInput!$D$7&amp;BasicInput!$D$8&amp;"_"&amp;DG644&amp;".xuf"</f>
        <v>C:\PWWORKING\east01\d2591108\Ramps\__2019EX_PM_.xuf</v>
      </c>
    </row>
    <row r="645" spans="39:112" x14ac:dyDescent="0.2">
      <c r="AM645" s="18"/>
      <c r="AS645" s="18"/>
      <c r="AX645" s="17"/>
      <c r="BI645" s="18"/>
      <c r="BO645" s="18"/>
      <c r="BT645" s="18"/>
      <c r="CA645" s="18"/>
      <c r="CH645" s="18"/>
      <c r="DF645" s="31" t="str">
        <f t="shared" si="22"/>
        <v xml:space="preserve">  </v>
      </c>
      <c r="DG645" s="25" t="str">
        <f t="shared" si="23"/>
        <v/>
      </c>
      <c r="DH645" s="25" t="str">
        <f>BasicInput!$D$13&amp;$DH$2&amp;B645&amp;"_"&amp;C645&amp;D645&amp;"_"&amp;BasicInput!$D$7&amp;BasicInput!$D$8&amp;"_"&amp;DG645&amp;".xuf"</f>
        <v>C:\PWWORKING\east01\d2591108\Ramps\__2019EX_PM_.xuf</v>
      </c>
    </row>
    <row r="646" spans="39:112" x14ac:dyDescent="0.2">
      <c r="AM646" s="18"/>
      <c r="AS646" s="18"/>
      <c r="AX646" s="17"/>
      <c r="BI646" s="18"/>
      <c r="BO646" s="18"/>
      <c r="BT646" s="18"/>
      <c r="CA646" s="18"/>
      <c r="CH646" s="18"/>
      <c r="DF646" s="31" t="str">
        <f t="shared" si="22"/>
        <v xml:space="preserve">  </v>
      </c>
      <c r="DG646" s="25" t="str">
        <f t="shared" si="23"/>
        <v/>
      </c>
      <c r="DH646" s="25" t="str">
        <f>BasicInput!$D$13&amp;$DH$2&amp;B646&amp;"_"&amp;C646&amp;D646&amp;"_"&amp;BasicInput!$D$7&amp;BasicInput!$D$8&amp;"_"&amp;DG646&amp;".xuf"</f>
        <v>C:\PWWORKING\east01\d2591108\Ramps\__2019EX_PM_.xuf</v>
      </c>
    </row>
    <row r="647" spans="39:112" x14ac:dyDescent="0.2">
      <c r="AM647" s="18"/>
      <c r="AS647" s="18"/>
      <c r="AX647" s="17"/>
      <c r="BI647" s="18"/>
      <c r="BO647" s="18"/>
      <c r="BT647" s="18"/>
      <c r="CA647" s="18"/>
      <c r="CH647" s="18"/>
      <c r="DF647" s="31" t="str">
        <f t="shared" si="22"/>
        <v xml:space="preserve">  </v>
      </c>
      <c r="DG647" s="25" t="str">
        <f t="shared" si="23"/>
        <v/>
      </c>
      <c r="DH647" s="25" t="str">
        <f>BasicInput!$D$13&amp;$DH$2&amp;B647&amp;"_"&amp;C647&amp;D647&amp;"_"&amp;BasicInput!$D$7&amp;BasicInput!$D$8&amp;"_"&amp;DG647&amp;".xuf"</f>
        <v>C:\PWWORKING\east01\d2591108\Ramps\__2019EX_PM_.xuf</v>
      </c>
    </row>
    <row r="648" spans="39:112" x14ac:dyDescent="0.2">
      <c r="AM648" s="18"/>
      <c r="AS648" s="18"/>
      <c r="AX648" s="17"/>
      <c r="BI648" s="18"/>
      <c r="BO648" s="18"/>
      <c r="BT648" s="18"/>
      <c r="CA648" s="18"/>
      <c r="CH648" s="18"/>
      <c r="DF648" s="31" t="str">
        <f t="shared" si="22"/>
        <v xml:space="preserve">  </v>
      </c>
      <c r="DG648" s="25" t="str">
        <f t="shared" si="23"/>
        <v/>
      </c>
      <c r="DH648" s="25" t="str">
        <f>BasicInput!$D$13&amp;$DH$2&amp;B648&amp;"_"&amp;C648&amp;D648&amp;"_"&amp;BasicInput!$D$7&amp;BasicInput!$D$8&amp;"_"&amp;DG648&amp;".xuf"</f>
        <v>C:\PWWORKING\east01\d2591108\Ramps\__2019EX_PM_.xuf</v>
      </c>
    </row>
    <row r="649" spans="39:112" x14ac:dyDescent="0.2">
      <c r="AM649" s="18"/>
      <c r="AS649" s="18"/>
      <c r="AX649" s="17"/>
      <c r="BI649" s="18"/>
      <c r="BO649" s="18"/>
      <c r="BT649" s="18"/>
      <c r="CA649" s="18"/>
      <c r="CH649" s="18"/>
      <c r="DF649" s="31" t="str">
        <f t="shared" si="22"/>
        <v xml:space="preserve">  </v>
      </c>
      <c r="DG649" s="25" t="str">
        <f t="shared" si="23"/>
        <v/>
      </c>
      <c r="DH649" s="25" t="str">
        <f>BasicInput!$D$13&amp;$DH$2&amp;B649&amp;"_"&amp;C649&amp;D649&amp;"_"&amp;BasicInput!$D$7&amp;BasicInput!$D$8&amp;"_"&amp;DG649&amp;".xuf"</f>
        <v>C:\PWWORKING\east01\d2591108\Ramps\__2019EX_PM_.xuf</v>
      </c>
    </row>
    <row r="650" spans="39:112" x14ac:dyDescent="0.2">
      <c r="AM650" s="18"/>
      <c r="AS650" s="18"/>
      <c r="AX650" s="17"/>
      <c r="BI650" s="18"/>
      <c r="BO650" s="18"/>
      <c r="BT650" s="18"/>
      <c r="CA650" s="18"/>
      <c r="CH650" s="18"/>
      <c r="DF650" s="31" t="str">
        <f t="shared" si="22"/>
        <v xml:space="preserve">  </v>
      </c>
      <c r="DG650" s="25" t="str">
        <f t="shared" si="23"/>
        <v/>
      </c>
      <c r="DH650" s="25" t="str">
        <f>BasicInput!$D$13&amp;$DH$2&amp;B650&amp;"_"&amp;C650&amp;D650&amp;"_"&amp;BasicInput!$D$7&amp;BasicInput!$D$8&amp;"_"&amp;DG650&amp;".xuf"</f>
        <v>C:\PWWORKING\east01\d2591108\Ramps\__2019EX_PM_.xuf</v>
      </c>
    </row>
    <row r="651" spans="39:112" x14ac:dyDescent="0.2">
      <c r="AM651" s="18"/>
      <c r="AS651" s="18"/>
      <c r="AX651" s="17"/>
      <c r="BI651" s="18"/>
      <c r="BO651" s="18"/>
      <c r="BT651" s="18"/>
      <c r="CA651" s="18"/>
      <c r="CH651" s="18"/>
      <c r="DF651" s="31" t="str">
        <f t="shared" si="22"/>
        <v xml:space="preserve">  </v>
      </c>
      <c r="DG651" s="25" t="str">
        <f t="shared" si="23"/>
        <v/>
      </c>
      <c r="DH651" s="25" t="str">
        <f>BasicInput!$D$13&amp;$DH$2&amp;B651&amp;"_"&amp;C651&amp;D651&amp;"_"&amp;BasicInput!$D$7&amp;BasicInput!$D$8&amp;"_"&amp;DG651&amp;".xuf"</f>
        <v>C:\PWWORKING\east01\d2591108\Ramps\__2019EX_PM_.xuf</v>
      </c>
    </row>
    <row r="652" spans="39:112" x14ac:dyDescent="0.2">
      <c r="AM652" s="18"/>
      <c r="AS652" s="18"/>
      <c r="AX652" s="17"/>
      <c r="BI652" s="18"/>
      <c r="BO652" s="18"/>
      <c r="BT652" s="18"/>
      <c r="CA652" s="18"/>
      <c r="CH652" s="18"/>
      <c r="DF652" s="31" t="str">
        <f t="shared" si="22"/>
        <v xml:space="preserve">  </v>
      </c>
      <c r="DG652" s="25" t="str">
        <f t="shared" si="23"/>
        <v/>
      </c>
      <c r="DH652" s="25" t="str">
        <f>BasicInput!$D$13&amp;$DH$2&amp;B652&amp;"_"&amp;C652&amp;D652&amp;"_"&amp;BasicInput!$D$7&amp;BasicInput!$D$8&amp;"_"&amp;DG652&amp;".xuf"</f>
        <v>C:\PWWORKING\east01\d2591108\Ramps\__2019EX_PM_.xuf</v>
      </c>
    </row>
    <row r="653" spans="39:112" x14ac:dyDescent="0.2">
      <c r="AM653" s="18"/>
      <c r="AS653" s="18"/>
      <c r="AX653" s="17"/>
      <c r="BI653" s="18"/>
      <c r="BO653" s="18"/>
      <c r="BT653" s="18"/>
      <c r="CA653" s="18"/>
      <c r="CH653" s="18"/>
      <c r="DF653" s="31" t="str">
        <f t="shared" si="22"/>
        <v xml:space="preserve">  </v>
      </c>
      <c r="DG653" s="25" t="str">
        <f t="shared" si="23"/>
        <v/>
      </c>
      <c r="DH653" s="25" t="str">
        <f>BasicInput!$D$13&amp;$DH$2&amp;B653&amp;"_"&amp;C653&amp;D653&amp;"_"&amp;BasicInput!$D$7&amp;BasicInput!$D$8&amp;"_"&amp;DG653&amp;".xuf"</f>
        <v>C:\PWWORKING\east01\d2591108\Ramps\__2019EX_PM_.xuf</v>
      </c>
    </row>
    <row r="654" spans="39:112" x14ac:dyDescent="0.2">
      <c r="AM654" s="18"/>
      <c r="AS654" s="18"/>
      <c r="AX654" s="17"/>
      <c r="BI654" s="18"/>
      <c r="BO654" s="18"/>
      <c r="BT654" s="18"/>
      <c r="CA654" s="18"/>
      <c r="CH654" s="18"/>
      <c r="DF654" s="31" t="str">
        <f t="shared" si="22"/>
        <v xml:space="preserve">  </v>
      </c>
      <c r="DG654" s="25" t="str">
        <f t="shared" si="23"/>
        <v/>
      </c>
      <c r="DH654" s="25" t="str">
        <f>BasicInput!$D$13&amp;$DH$2&amp;B654&amp;"_"&amp;C654&amp;D654&amp;"_"&amp;BasicInput!$D$7&amp;BasicInput!$D$8&amp;"_"&amp;DG654&amp;".xuf"</f>
        <v>C:\PWWORKING\east01\d2591108\Ramps\__2019EX_PM_.xuf</v>
      </c>
    </row>
    <row r="655" spans="39:112" x14ac:dyDescent="0.2">
      <c r="AM655" s="18"/>
      <c r="AS655" s="18"/>
      <c r="AX655" s="17"/>
      <c r="BI655" s="18"/>
      <c r="BO655" s="18"/>
      <c r="BT655" s="18"/>
      <c r="CA655" s="18"/>
      <c r="CH655" s="18"/>
      <c r="DF655" s="31" t="str">
        <f t="shared" si="22"/>
        <v xml:space="preserve">  </v>
      </c>
      <c r="DG655" s="25" t="str">
        <f t="shared" si="23"/>
        <v/>
      </c>
      <c r="DH655" s="25" t="str">
        <f>BasicInput!$D$13&amp;$DH$2&amp;B655&amp;"_"&amp;C655&amp;D655&amp;"_"&amp;BasicInput!$D$7&amp;BasicInput!$D$8&amp;"_"&amp;DG655&amp;".xuf"</f>
        <v>C:\PWWORKING\east01\d2591108\Ramps\__2019EX_PM_.xuf</v>
      </c>
    </row>
    <row r="656" spans="39:112" x14ac:dyDescent="0.2">
      <c r="AM656" s="18"/>
      <c r="AS656" s="18"/>
      <c r="AX656" s="17"/>
      <c r="BI656" s="18"/>
      <c r="BO656" s="18"/>
      <c r="BT656" s="18"/>
      <c r="CA656" s="18"/>
      <c r="CH656" s="18"/>
      <c r="DF656" s="31" t="str">
        <f t="shared" si="22"/>
        <v xml:space="preserve">  </v>
      </c>
      <c r="DG656" s="25" t="str">
        <f t="shared" si="23"/>
        <v/>
      </c>
      <c r="DH656" s="25" t="str">
        <f>BasicInput!$D$13&amp;$DH$2&amp;B656&amp;"_"&amp;C656&amp;D656&amp;"_"&amp;BasicInput!$D$7&amp;BasicInput!$D$8&amp;"_"&amp;DG656&amp;".xuf"</f>
        <v>C:\PWWORKING\east01\d2591108\Ramps\__2019EX_PM_.xuf</v>
      </c>
    </row>
    <row r="657" spans="39:112" x14ac:dyDescent="0.2">
      <c r="AM657" s="18"/>
      <c r="AS657" s="18"/>
      <c r="AX657" s="17"/>
      <c r="BI657" s="18"/>
      <c r="BO657" s="18"/>
      <c r="BT657" s="18"/>
      <c r="CA657" s="18"/>
      <c r="CH657" s="18"/>
      <c r="DF657" s="31" t="str">
        <f t="shared" ref="DF657:DF720" si="24">C657&amp; " "&amp;D657&amp;" " &amp;E657</f>
        <v xml:space="preserve">  </v>
      </c>
      <c r="DG657" s="25" t="str">
        <f t="shared" ref="DG657:DG720" si="25">SUBSTITUTE(E657, "/", "_")</f>
        <v/>
      </c>
      <c r="DH657" s="25" t="str">
        <f>BasicInput!$D$13&amp;$DH$2&amp;B657&amp;"_"&amp;C657&amp;D657&amp;"_"&amp;BasicInput!$D$7&amp;BasicInput!$D$8&amp;"_"&amp;DG657&amp;".xuf"</f>
        <v>C:\PWWORKING\east01\d2591108\Ramps\__2019EX_PM_.xuf</v>
      </c>
    </row>
    <row r="658" spans="39:112" x14ac:dyDescent="0.2">
      <c r="AM658" s="18"/>
      <c r="AS658" s="18"/>
      <c r="AX658" s="17"/>
      <c r="BI658" s="18"/>
      <c r="BO658" s="18"/>
      <c r="BT658" s="18"/>
      <c r="CA658" s="18"/>
      <c r="CH658" s="18"/>
      <c r="DF658" s="31" t="str">
        <f t="shared" si="24"/>
        <v xml:space="preserve">  </v>
      </c>
      <c r="DG658" s="25" t="str">
        <f t="shared" si="25"/>
        <v/>
      </c>
      <c r="DH658" s="25" t="str">
        <f>BasicInput!$D$13&amp;$DH$2&amp;B658&amp;"_"&amp;C658&amp;D658&amp;"_"&amp;BasicInput!$D$7&amp;BasicInput!$D$8&amp;"_"&amp;DG658&amp;".xuf"</f>
        <v>C:\PWWORKING\east01\d2591108\Ramps\__2019EX_PM_.xuf</v>
      </c>
    </row>
    <row r="659" spans="39:112" x14ac:dyDescent="0.2">
      <c r="AM659" s="18"/>
      <c r="AS659" s="18"/>
      <c r="AX659" s="17"/>
      <c r="BI659" s="18"/>
      <c r="BO659" s="18"/>
      <c r="BT659" s="18"/>
      <c r="CA659" s="18"/>
      <c r="CH659" s="18"/>
      <c r="DF659" s="31" t="str">
        <f t="shared" si="24"/>
        <v xml:space="preserve">  </v>
      </c>
      <c r="DG659" s="25" t="str">
        <f t="shared" si="25"/>
        <v/>
      </c>
      <c r="DH659" s="25" t="str">
        <f>BasicInput!$D$13&amp;$DH$2&amp;B659&amp;"_"&amp;C659&amp;D659&amp;"_"&amp;BasicInput!$D$7&amp;BasicInput!$D$8&amp;"_"&amp;DG659&amp;".xuf"</f>
        <v>C:\PWWORKING\east01\d2591108\Ramps\__2019EX_PM_.xuf</v>
      </c>
    </row>
    <row r="660" spans="39:112" x14ac:dyDescent="0.2">
      <c r="AM660" s="18"/>
      <c r="AS660" s="18"/>
      <c r="AX660" s="17"/>
      <c r="BI660" s="18"/>
      <c r="BO660" s="18"/>
      <c r="BT660" s="18"/>
      <c r="CA660" s="18"/>
      <c r="CH660" s="18"/>
      <c r="DF660" s="31" t="str">
        <f t="shared" si="24"/>
        <v xml:space="preserve">  </v>
      </c>
      <c r="DG660" s="25" t="str">
        <f t="shared" si="25"/>
        <v/>
      </c>
      <c r="DH660" s="25" t="str">
        <f>BasicInput!$D$13&amp;$DH$2&amp;B660&amp;"_"&amp;C660&amp;D660&amp;"_"&amp;BasicInput!$D$7&amp;BasicInput!$D$8&amp;"_"&amp;DG660&amp;".xuf"</f>
        <v>C:\PWWORKING\east01\d2591108\Ramps\__2019EX_PM_.xuf</v>
      </c>
    </row>
    <row r="661" spans="39:112" x14ac:dyDescent="0.2">
      <c r="AM661" s="18"/>
      <c r="AS661" s="18"/>
      <c r="AX661" s="17"/>
      <c r="BI661" s="18"/>
      <c r="BO661" s="18"/>
      <c r="BT661" s="18"/>
      <c r="CA661" s="18"/>
      <c r="CH661" s="18"/>
      <c r="DF661" s="31" t="str">
        <f t="shared" si="24"/>
        <v xml:space="preserve">  </v>
      </c>
      <c r="DG661" s="25" t="str">
        <f t="shared" si="25"/>
        <v/>
      </c>
      <c r="DH661" s="25" t="str">
        <f>BasicInput!$D$13&amp;$DH$2&amp;B661&amp;"_"&amp;C661&amp;D661&amp;"_"&amp;BasicInput!$D$7&amp;BasicInput!$D$8&amp;"_"&amp;DG661&amp;".xuf"</f>
        <v>C:\PWWORKING\east01\d2591108\Ramps\__2019EX_PM_.xuf</v>
      </c>
    </row>
    <row r="662" spans="39:112" x14ac:dyDescent="0.2">
      <c r="AM662" s="18"/>
      <c r="AS662" s="18"/>
      <c r="AX662" s="17"/>
      <c r="BI662" s="18"/>
      <c r="BO662" s="18"/>
      <c r="BT662" s="18"/>
      <c r="CA662" s="18"/>
      <c r="CH662" s="18"/>
      <c r="DF662" s="31" t="str">
        <f t="shared" si="24"/>
        <v xml:space="preserve">  </v>
      </c>
      <c r="DG662" s="25" t="str">
        <f t="shared" si="25"/>
        <v/>
      </c>
      <c r="DH662" s="25" t="str">
        <f>BasicInput!$D$13&amp;$DH$2&amp;B662&amp;"_"&amp;C662&amp;D662&amp;"_"&amp;BasicInput!$D$7&amp;BasicInput!$D$8&amp;"_"&amp;DG662&amp;".xuf"</f>
        <v>C:\PWWORKING\east01\d2591108\Ramps\__2019EX_PM_.xuf</v>
      </c>
    </row>
    <row r="663" spans="39:112" x14ac:dyDescent="0.2">
      <c r="AM663" s="18"/>
      <c r="AS663" s="18"/>
      <c r="AX663" s="17"/>
      <c r="BI663" s="18"/>
      <c r="BO663" s="18"/>
      <c r="BT663" s="18"/>
      <c r="CA663" s="18"/>
      <c r="CH663" s="18"/>
      <c r="DF663" s="31" t="str">
        <f t="shared" si="24"/>
        <v xml:space="preserve">  </v>
      </c>
      <c r="DG663" s="25" t="str">
        <f t="shared" si="25"/>
        <v/>
      </c>
      <c r="DH663" s="25" t="str">
        <f>BasicInput!$D$13&amp;$DH$2&amp;B663&amp;"_"&amp;C663&amp;D663&amp;"_"&amp;BasicInput!$D$7&amp;BasicInput!$D$8&amp;"_"&amp;DG663&amp;".xuf"</f>
        <v>C:\PWWORKING\east01\d2591108\Ramps\__2019EX_PM_.xuf</v>
      </c>
    </row>
    <row r="664" spans="39:112" x14ac:dyDescent="0.2">
      <c r="AM664" s="18"/>
      <c r="AS664" s="18"/>
      <c r="AX664" s="17"/>
      <c r="BI664" s="18"/>
      <c r="BO664" s="18"/>
      <c r="BT664" s="18"/>
      <c r="CA664" s="18"/>
      <c r="CH664" s="18"/>
      <c r="DF664" s="31" t="str">
        <f t="shared" si="24"/>
        <v xml:space="preserve">  </v>
      </c>
      <c r="DG664" s="25" t="str">
        <f t="shared" si="25"/>
        <v/>
      </c>
      <c r="DH664" s="25" t="str">
        <f>BasicInput!$D$13&amp;$DH$2&amp;B664&amp;"_"&amp;C664&amp;D664&amp;"_"&amp;BasicInput!$D$7&amp;BasicInput!$D$8&amp;"_"&amp;DG664&amp;".xuf"</f>
        <v>C:\PWWORKING\east01\d2591108\Ramps\__2019EX_PM_.xuf</v>
      </c>
    </row>
    <row r="665" spans="39:112" x14ac:dyDescent="0.2">
      <c r="AM665" s="18"/>
      <c r="AS665" s="18"/>
      <c r="AX665" s="17"/>
      <c r="BI665" s="18"/>
      <c r="BO665" s="18"/>
      <c r="BT665" s="18"/>
      <c r="CA665" s="18"/>
      <c r="CH665" s="18"/>
      <c r="DF665" s="31" t="str">
        <f t="shared" si="24"/>
        <v xml:space="preserve">  </v>
      </c>
      <c r="DG665" s="25" t="str">
        <f t="shared" si="25"/>
        <v/>
      </c>
      <c r="DH665" s="25" t="str">
        <f>BasicInput!$D$13&amp;$DH$2&amp;B665&amp;"_"&amp;C665&amp;D665&amp;"_"&amp;BasicInput!$D$7&amp;BasicInput!$D$8&amp;"_"&amp;DG665&amp;".xuf"</f>
        <v>C:\PWWORKING\east01\d2591108\Ramps\__2019EX_PM_.xuf</v>
      </c>
    </row>
    <row r="666" spans="39:112" x14ac:dyDescent="0.2">
      <c r="AM666" s="18"/>
      <c r="AS666" s="18"/>
      <c r="AX666" s="17"/>
      <c r="BI666" s="18"/>
      <c r="BO666" s="18"/>
      <c r="BT666" s="18"/>
      <c r="CA666" s="18"/>
      <c r="CH666" s="18"/>
      <c r="DF666" s="31" t="str">
        <f t="shared" si="24"/>
        <v xml:space="preserve">  </v>
      </c>
      <c r="DG666" s="25" t="str">
        <f t="shared" si="25"/>
        <v/>
      </c>
      <c r="DH666" s="25" t="str">
        <f>BasicInput!$D$13&amp;$DH$2&amp;B666&amp;"_"&amp;C666&amp;D666&amp;"_"&amp;BasicInput!$D$7&amp;BasicInput!$D$8&amp;"_"&amp;DG666&amp;".xuf"</f>
        <v>C:\PWWORKING\east01\d2591108\Ramps\__2019EX_PM_.xuf</v>
      </c>
    </row>
    <row r="667" spans="39:112" x14ac:dyDescent="0.2">
      <c r="AM667" s="18"/>
      <c r="AS667" s="18"/>
      <c r="AX667" s="17"/>
      <c r="BI667" s="18"/>
      <c r="BO667" s="18"/>
      <c r="BT667" s="18"/>
      <c r="CA667" s="18"/>
      <c r="CH667" s="18"/>
      <c r="DF667" s="31" t="str">
        <f t="shared" si="24"/>
        <v xml:space="preserve">  </v>
      </c>
      <c r="DG667" s="25" t="str">
        <f t="shared" si="25"/>
        <v/>
      </c>
      <c r="DH667" s="25" t="str">
        <f>BasicInput!$D$13&amp;$DH$2&amp;B667&amp;"_"&amp;C667&amp;D667&amp;"_"&amp;BasicInput!$D$7&amp;BasicInput!$D$8&amp;"_"&amp;DG667&amp;".xuf"</f>
        <v>C:\PWWORKING\east01\d2591108\Ramps\__2019EX_PM_.xuf</v>
      </c>
    </row>
    <row r="668" spans="39:112" x14ac:dyDescent="0.2">
      <c r="AM668" s="18"/>
      <c r="AS668" s="18"/>
      <c r="AX668" s="17"/>
      <c r="BI668" s="18"/>
      <c r="BO668" s="18"/>
      <c r="BT668" s="18"/>
      <c r="CA668" s="18"/>
      <c r="CH668" s="18"/>
      <c r="DF668" s="31" t="str">
        <f t="shared" si="24"/>
        <v xml:space="preserve">  </v>
      </c>
      <c r="DG668" s="25" t="str">
        <f t="shared" si="25"/>
        <v/>
      </c>
      <c r="DH668" s="25" t="str">
        <f>BasicInput!$D$13&amp;$DH$2&amp;B668&amp;"_"&amp;C668&amp;D668&amp;"_"&amp;BasicInput!$D$7&amp;BasicInput!$D$8&amp;"_"&amp;DG668&amp;".xuf"</f>
        <v>C:\PWWORKING\east01\d2591108\Ramps\__2019EX_PM_.xuf</v>
      </c>
    </row>
    <row r="669" spans="39:112" x14ac:dyDescent="0.2">
      <c r="AM669" s="18"/>
      <c r="AS669" s="18"/>
      <c r="AX669" s="17"/>
      <c r="BI669" s="18"/>
      <c r="BO669" s="18"/>
      <c r="BT669" s="18"/>
      <c r="CA669" s="18"/>
      <c r="CH669" s="18"/>
      <c r="DF669" s="31" t="str">
        <f t="shared" si="24"/>
        <v xml:space="preserve">  </v>
      </c>
      <c r="DG669" s="25" t="str">
        <f t="shared" si="25"/>
        <v/>
      </c>
      <c r="DH669" s="25" t="str">
        <f>BasicInput!$D$13&amp;$DH$2&amp;B669&amp;"_"&amp;C669&amp;D669&amp;"_"&amp;BasicInput!$D$7&amp;BasicInput!$D$8&amp;"_"&amp;DG669&amp;".xuf"</f>
        <v>C:\PWWORKING\east01\d2591108\Ramps\__2019EX_PM_.xuf</v>
      </c>
    </row>
    <row r="670" spans="39:112" x14ac:dyDescent="0.2">
      <c r="AM670" s="18"/>
      <c r="AS670" s="18"/>
      <c r="AX670" s="17"/>
      <c r="BI670" s="18"/>
      <c r="BO670" s="18"/>
      <c r="BT670" s="18"/>
      <c r="CA670" s="18"/>
      <c r="CH670" s="18"/>
      <c r="DF670" s="31" t="str">
        <f t="shared" si="24"/>
        <v xml:space="preserve">  </v>
      </c>
      <c r="DG670" s="25" t="str">
        <f t="shared" si="25"/>
        <v/>
      </c>
      <c r="DH670" s="25" t="str">
        <f>BasicInput!$D$13&amp;$DH$2&amp;B670&amp;"_"&amp;C670&amp;D670&amp;"_"&amp;BasicInput!$D$7&amp;BasicInput!$D$8&amp;"_"&amp;DG670&amp;".xuf"</f>
        <v>C:\PWWORKING\east01\d2591108\Ramps\__2019EX_PM_.xuf</v>
      </c>
    </row>
    <row r="671" spans="39:112" x14ac:dyDescent="0.2">
      <c r="AM671" s="18"/>
      <c r="AS671" s="18"/>
      <c r="AX671" s="17"/>
      <c r="BI671" s="18"/>
      <c r="BO671" s="18"/>
      <c r="BT671" s="18"/>
      <c r="CA671" s="18"/>
      <c r="CH671" s="18"/>
      <c r="DF671" s="31" t="str">
        <f t="shared" si="24"/>
        <v xml:space="preserve">  </v>
      </c>
      <c r="DG671" s="25" t="str">
        <f t="shared" si="25"/>
        <v/>
      </c>
      <c r="DH671" s="25" t="str">
        <f>BasicInput!$D$13&amp;$DH$2&amp;B671&amp;"_"&amp;C671&amp;D671&amp;"_"&amp;BasicInput!$D$7&amp;BasicInput!$D$8&amp;"_"&amp;DG671&amp;".xuf"</f>
        <v>C:\PWWORKING\east01\d2591108\Ramps\__2019EX_PM_.xuf</v>
      </c>
    </row>
    <row r="672" spans="39:112" x14ac:dyDescent="0.2">
      <c r="AM672" s="18"/>
      <c r="AS672" s="18"/>
      <c r="AX672" s="17"/>
      <c r="BI672" s="18"/>
      <c r="BO672" s="18"/>
      <c r="BT672" s="18"/>
      <c r="CA672" s="18"/>
      <c r="CH672" s="18"/>
      <c r="DF672" s="31" t="str">
        <f t="shared" si="24"/>
        <v xml:space="preserve">  </v>
      </c>
      <c r="DG672" s="25" t="str">
        <f t="shared" si="25"/>
        <v/>
      </c>
      <c r="DH672" s="25" t="str">
        <f>BasicInput!$D$13&amp;$DH$2&amp;B672&amp;"_"&amp;C672&amp;D672&amp;"_"&amp;BasicInput!$D$7&amp;BasicInput!$D$8&amp;"_"&amp;DG672&amp;".xuf"</f>
        <v>C:\PWWORKING\east01\d2591108\Ramps\__2019EX_PM_.xuf</v>
      </c>
    </row>
    <row r="673" spans="39:112" x14ac:dyDescent="0.2">
      <c r="AM673" s="18"/>
      <c r="AS673" s="18"/>
      <c r="AX673" s="17"/>
      <c r="BI673" s="18"/>
      <c r="BO673" s="18"/>
      <c r="BT673" s="18"/>
      <c r="CA673" s="18"/>
      <c r="CH673" s="18"/>
      <c r="DF673" s="31" t="str">
        <f t="shared" si="24"/>
        <v xml:space="preserve">  </v>
      </c>
      <c r="DG673" s="25" t="str">
        <f t="shared" si="25"/>
        <v/>
      </c>
      <c r="DH673" s="25" t="str">
        <f>BasicInput!$D$13&amp;$DH$2&amp;B673&amp;"_"&amp;C673&amp;D673&amp;"_"&amp;BasicInput!$D$7&amp;BasicInput!$D$8&amp;"_"&amp;DG673&amp;".xuf"</f>
        <v>C:\PWWORKING\east01\d2591108\Ramps\__2019EX_PM_.xuf</v>
      </c>
    </row>
    <row r="674" spans="39:112" x14ac:dyDescent="0.2">
      <c r="AM674" s="18"/>
      <c r="AS674" s="18"/>
      <c r="AX674" s="17"/>
      <c r="BI674" s="18"/>
      <c r="BO674" s="18"/>
      <c r="BT674" s="18"/>
      <c r="CA674" s="18"/>
      <c r="CH674" s="18"/>
      <c r="DF674" s="31" t="str">
        <f t="shared" si="24"/>
        <v xml:space="preserve">  </v>
      </c>
      <c r="DG674" s="25" t="str">
        <f t="shared" si="25"/>
        <v/>
      </c>
      <c r="DH674" s="25" t="str">
        <f>BasicInput!$D$13&amp;$DH$2&amp;B674&amp;"_"&amp;C674&amp;D674&amp;"_"&amp;BasicInput!$D$7&amp;BasicInput!$D$8&amp;"_"&amp;DG674&amp;".xuf"</f>
        <v>C:\PWWORKING\east01\d2591108\Ramps\__2019EX_PM_.xuf</v>
      </c>
    </row>
    <row r="675" spans="39:112" x14ac:dyDescent="0.2">
      <c r="AM675" s="18"/>
      <c r="AS675" s="18"/>
      <c r="AX675" s="17"/>
      <c r="BI675" s="18"/>
      <c r="BO675" s="18"/>
      <c r="BT675" s="18"/>
      <c r="CA675" s="18"/>
      <c r="CH675" s="18"/>
      <c r="DF675" s="31" t="str">
        <f t="shared" si="24"/>
        <v xml:space="preserve">  </v>
      </c>
      <c r="DG675" s="25" t="str">
        <f t="shared" si="25"/>
        <v/>
      </c>
      <c r="DH675" s="25" t="str">
        <f>BasicInput!$D$13&amp;$DH$2&amp;B675&amp;"_"&amp;C675&amp;D675&amp;"_"&amp;BasicInput!$D$7&amp;BasicInput!$D$8&amp;"_"&amp;DG675&amp;".xuf"</f>
        <v>C:\PWWORKING\east01\d2591108\Ramps\__2019EX_PM_.xuf</v>
      </c>
    </row>
    <row r="676" spans="39:112" x14ac:dyDescent="0.2">
      <c r="AM676" s="18"/>
      <c r="AS676" s="18"/>
      <c r="AX676" s="17"/>
      <c r="BI676" s="18"/>
      <c r="BO676" s="18"/>
      <c r="BT676" s="18"/>
      <c r="CA676" s="18"/>
      <c r="CH676" s="18"/>
      <c r="DF676" s="31" t="str">
        <f t="shared" si="24"/>
        <v xml:space="preserve">  </v>
      </c>
      <c r="DG676" s="25" t="str">
        <f t="shared" si="25"/>
        <v/>
      </c>
      <c r="DH676" s="25" t="str">
        <f>BasicInput!$D$13&amp;$DH$2&amp;B676&amp;"_"&amp;C676&amp;D676&amp;"_"&amp;BasicInput!$D$7&amp;BasicInput!$D$8&amp;"_"&amp;DG676&amp;".xuf"</f>
        <v>C:\PWWORKING\east01\d2591108\Ramps\__2019EX_PM_.xuf</v>
      </c>
    </row>
    <row r="677" spans="39:112" x14ac:dyDescent="0.2">
      <c r="AM677" s="18"/>
      <c r="AS677" s="18"/>
      <c r="AX677" s="17"/>
      <c r="BI677" s="18"/>
      <c r="BO677" s="18"/>
      <c r="BT677" s="18"/>
      <c r="CA677" s="18"/>
      <c r="CH677" s="18"/>
      <c r="DF677" s="31" t="str">
        <f t="shared" si="24"/>
        <v xml:space="preserve">  </v>
      </c>
      <c r="DG677" s="25" t="str">
        <f t="shared" si="25"/>
        <v/>
      </c>
      <c r="DH677" s="25" t="str">
        <f>BasicInput!$D$13&amp;$DH$2&amp;B677&amp;"_"&amp;C677&amp;D677&amp;"_"&amp;BasicInput!$D$7&amp;BasicInput!$D$8&amp;"_"&amp;DG677&amp;".xuf"</f>
        <v>C:\PWWORKING\east01\d2591108\Ramps\__2019EX_PM_.xuf</v>
      </c>
    </row>
    <row r="678" spans="39:112" x14ac:dyDescent="0.2">
      <c r="AM678" s="18"/>
      <c r="AS678" s="18"/>
      <c r="AX678" s="17"/>
      <c r="BI678" s="18"/>
      <c r="BO678" s="18"/>
      <c r="BT678" s="18"/>
      <c r="CA678" s="18"/>
      <c r="CH678" s="18"/>
      <c r="DF678" s="31" t="str">
        <f t="shared" si="24"/>
        <v xml:space="preserve">  </v>
      </c>
      <c r="DG678" s="25" t="str">
        <f t="shared" si="25"/>
        <v/>
      </c>
      <c r="DH678" s="25" t="str">
        <f>BasicInput!$D$13&amp;$DH$2&amp;B678&amp;"_"&amp;C678&amp;D678&amp;"_"&amp;BasicInput!$D$7&amp;BasicInput!$D$8&amp;"_"&amp;DG678&amp;".xuf"</f>
        <v>C:\PWWORKING\east01\d2591108\Ramps\__2019EX_PM_.xuf</v>
      </c>
    </row>
    <row r="679" spans="39:112" x14ac:dyDescent="0.2">
      <c r="AM679" s="18"/>
      <c r="AS679" s="18"/>
      <c r="AX679" s="17"/>
      <c r="BI679" s="18"/>
      <c r="BO679" s="18"/>
      <c r="BT679" s="18"/>
      <c r="CA679" s="18"/>
      <c r="CH679" s="18"/>
      <c r="DF679" s="31" t="str">
        <f t="shared" si="24"/>
        <v xml:space="preserve">  </v>
      </c>
      <c r="DG679" s="25" t="str">
        <f t="shared" si="25"/>
        <v/>
      </c>
      <c r="DH679" s="25" t="str">
        <f>BasicInput!$D$13&amp;$DH$2&amp;B679&amp;"_"&amp;C679&amp;D679&amp;"_"&amp;BasicInput!$D$7&amp;BasicInput!$D$8&amp;"_"&amp;DG679&amp;".xuf"</f>
        <v>C:\PWWORKING\east01\d2591108\Ramps\__2019EX_PM_.xuf</v>
      </c>
    </row>
    <row r="680" spans="39:112" x14ac:dyDescent="0.2">
      <c r="AM680" s="18"/>
      <c r="AS680" s="18"/>
      <c r="AX680" s="17"/>
      <c r="BI680" s="18"/>
      <c r="BO680" s="18"/>
      <c r="BT680" s="18"/>
      <c r="CA680" s="18"/>
      <c r="CH680" s="18"/>
      <c r="DF680" s="31" t="str">
        <f t="shared" si="24"/>
        <v xml:space="preserve">  </v>
      </c>
      <c r="DG680" s="25" t="str">
        <f t="shared" si="25"/>
        <v/>
      </c>
      <c r="DH680" s="25" t="str">
        <f>BasicInput!$D$13&amp;$DH$2&amp;B680&amp;"_"&amp;C680&amp;D680&amp;"_"&amp;BasicInput!$D$7&amp;BasicInput!$D$8&amp;"_"&amp;DG680&amp;".xuf"</f>
        <v>C:\PWWORKING\east01\d2591108\Ramps\__2019EX_PM_.xuf</v>
      </c>
    </row>
    <row r="681" spans="39:112" x14ac:dyDescent="0.2">
      <c r="AM681" s="18"/>
      <c r="AS681" s="18"/>
      <c r="AX681" s="17"/>
      <c r="BI681" s="18"/>
      <c r="BO681" s="18"/>
      <c r="BT681" s="18"/>
      <c r="CA681" s="18"/>
      <c r="CH681" s="18"/>
      <c r="DF681" s="31" t="str">
        <f t="shared" si="24"/>
        <v xml:space="preserve">  </v>
      </c>
      <c r="DG681" s="25" t="str">
        <f t="shared" si="25"/>
        <v/>
      </c>
      <c r="DH681" s="25" t="str">
        <f>BasicInput!$D$13&amp;$DH$2&amp;B681&amp;"_"&amp;C681&amp;D681&amp;"_"&amp;BasicInput!$D$7&amp;BasicInput!$D$8&amp;"_"&amp;DG681&amp;".xuf"</f>
        <v>C:\PWWORKING\east01\d2591108\Ramps\__2019EX_PM_.xuf</v>
      </c>
    </row>
    <row r="682" spans="39:112" x14ac:dyDescent="0.2">
      <c r="AM682" s="18"/>
      <c r="AS682" s="18"/>
      <c r="AX682" s="17"/>
      <c r="BI682" s="18"/>
      <c r="BO682" s="18"/>
      <c r="BT682" s="18"/>
      <c r="CA682" s="18"/>
      <c r="CH682" s="18"/>
      <c r="DF682" s="31" t="str">
        <f t="shared" si="24"/>
        <v xml:space="preserve">  </v>
      </c>
      <c r="DG682" s="25" t="str">
        <f t="shared" si="25"/>
        <v/>
      </c>
      <c r="DH682" s="25" t="str">
        <f>BasicInput!$D$13&amp;$DH$2&amp;B682&amp;"_"&amp;C682&amp;D682&amp;"_"&amp;BasicInput!$D$7&amp;BasicInput!$D$8&amp;"_"&amp;DG682&amp;".xuf"</f>
        <v>C:\PWWORKING\east01\d2591108\Ramps\__2019EX_PM_.xuf</v>
      </c>
    </row>
    <row r="683" spans="39:112" x14ac:dyDescent="0.2">
      <c r="AM683" s="18"/>
      <c r="AS683" s="18"/>
      <c r="AX683" s="17"/>
      <c r="BI683" s="18"/>
      <c r="BO683" s="18"/>
      <c r="BT683" s="18"/>
      <c r="CA683" s="18"/>
      <c r="CH683" s="18"/>
      <c r="DF683" s="31" t="str">
        <f t="shared" si="24"/>
        <v xml:space="preserve">  </v>
      </c>
      <c r="DG683" s="25" t="str">
        <f t="shared" si="25"/>
        <v/>
      </c>
      <c r="DH683" s="25" t="str">
        <f>BasicInput!$D$13&amp;$DH$2&amp;B683&amp;"_"&amp;C683&amp;D683&amp;"_"&amp;BasicInput!$D$7&amp;BasicInput!$D$8&amp;"_"&amp;DG683&amp;".xuf"</f>
        <v>C:\PWWORKING\east01\d2591108\Ramps\__2019EX_PM_.xuf</v>
      </c>
    </row>
    <row r="684" spans="39:112" x14ac:dyDescent="0.2">
      <c r="AM684" s="18"/>
      <c r="AS684" s="18"/>
      <c r="AX684" s="17"/>
      <c r="BI684" s="18"/>
      <c r="BO684" s="18"/>
      <c r="BT684" s="18"/>
      <c r="CA684" s="18"/>
      <c r="CH684" s="18"/>
      <c r="DF684" s="31" t="str">
        <f t="shared" si="24"/>
        <v xml:space="preserve">  </v>
      </c>
      <c r="DG684" s="25" t="str">
        <f t="shared" si="25"/>
        <v/>
      </c>
      <c r="DH684" s="25" t="str">
        <f>BasicInput!$D$13&amp;$DH$2&amp;B684&amp;"_"&amp;C684&amp;D684&amp;"_"&amp;BasicInput!$D$7&amp;BasicInput!$D$8&amp;"_"&amp;DG684&amp;".xuf"</f>
        <v>C:\PWWORKING\east01\d2591108\Ramps\__2019EX_PM_.xuf</v>
      </c>
    </row>
    <row r="685" spans="39:112" x14ac:dyDescent="0.2">
      <c r="AM685" s="18"/>
      <c r="AS685" s="18"/>
      <c r="AX685" s="17"/>
      <c r="BI685" s="18"/>
      <c r="BO685" s="18"/>
      <c r="BT685" s="18"/>
      <c r="CA685" s="18"/>
      <c r="CH685" s="18"/>
      <c r="DF685" s="31" t="str">
        <f t="shared" si="24"/>
        <v xml:space="preserve">  </v>
      </c>
      <c r="DG685" s="25" t="str">
        <f t="shared" si="25"/>
        <v/>
      </c>
      <c r="DH685" s="25" t="str">
        <f>BasicInput!$D$13&amp;$DH$2&amp;B685&amp;"_"&amp;C685&amp;D685&amp;"_"&amp;BasicInput!$D$7&amp;BasicInput!$D$8&amp;"_"&amp;DG685&amp;".xuf"</f>
        <v>C:\PWWORKING\east01\d2591108\Ramps\__2019EX_PM_.xuf</v>
      </c>
    </row>
    <row r="686" spans="39:112" x14ac:dyDescent="0.2">
      <c r="AM686" s="18"/>
      <c r="AS686" s="18"/>
      <c r="AX686" s="17"/>
      <c r="BI686" s="18"/>
      <c r="BO686" s="18"/>
      <c r="BT686" s="18"/>
      <c r="CA686" s="18"/>
      <c r="CH686" s="18"/>
      <c r="DF686" s="31" t="str">
        <f t="shared" si="24"/>
        <v xml:space="preserve">  </v>
      </c>
      <c r="DG686" s="25" t="str">
        <f t="shared" si="25"/>
        <v/>
      </c>
      <c r="DH686" s="25" t="str">
        <f>BasicInput!$D$13&amp;$DH$2&amp;B686&amp;"_"&amp;C686&amp;D686&amp;"_"&amp;BasicInput!$D$7&amp;BasicInput!$D$8&amp;"_"&amp;DG686&amp;".xuf"</f>
        <v>C:\PWWORKING\east01\d2591108\Ramps\__2019EX_PM_.xuf</v>
      </c>
    </row>
    <row r="687" spans="39:112" x14ac:dyDescent="0.2">
      <c r="AM687" s="18"/>
      <c r="AS687" s="18"/>
      <c r="AX687" s="17"/>
      <c r="BI687" s="18"/>
      <c r="BO687" s="18"/>
      <c r="BT687" s="18"/>
      <c r="CA687" s="18"/>
      <c r="CH687" s="18"/>
      <c r="DF687" s="31" t="str">
        <f t="shared" si="24"/>
        <v xml:space="preserve">  </v>
      </c>
      <c r="DG687" s="25" t="str">
        <f t="shared" si="25"/>
        <v/>
      </c>
      <c r="DH687" s="25" t="str">
        <f>BasicInput!$D$13&amp;$DH$2&amp;B687&amp;"_"&amp;C687&amp;D687&amp;"_"&amp;BasicInput!$D$7&amp;BasicInput!$D$8&amp;"_"&amp;DG687&amp;".xuf"</f>
        <v>C:\PWWORKING\east01\d2591108\Ramps\__2019EX_PM_.xuf</v>
      </c>
    </row>
    <row r="688" spans="39:112" x14ac:dyDescent="0.2">
      <c r="AM688" s="18"/>
      <c r="AS688" s="18"/>
      <c r="AX688" s="17"/>
      <c r="BI688" s="18"/>
      <c r="BO688" s="18"/>
      <c r="BT688" s="18"/>
      <c r="CA688" s="18"/>
      <c r="CH688" s="18"/>
      <c r="DF688" s="31" t="str">
        <f t="shared" si="24"/>
        <v xml:space="preserve">  </v>
      </c>
      <c r="DG688" s="25" t="str">
        <f t="shared" si="25"/>
        <v/>
      </c>
      <c r="DH688" s="25" t="str">
        <f>BasicInput!$D$13&amp;$DH$2&amp;B688&amp;"_"&amp;C688&amp;D688&amp;"_"&amp;BasicInput!$D$7&amp;BasicInput!$D$8&amp;"_"&amp;DG688&amp;".xuf"</f>
        <v>C:\PWWORKING\east01\d2591108\Ramps\__2019EX_PM_.xuf</v>
      </c>
    </row>
    <row r="689" spans="39:112" x14ac:dyDescent="0.2">
      <c r="AM689" s="18"/>
      <c r="AS689" s="18"/>
      <c r="AX689" s="17"/>
      <c r="BI689" s="18"/>
      <c r="BO689" s="18"/>
      <c r="BT689" s="18"/>
      <c r="CA689" s="18"/>
      <c r="CH689" s="18"/>
      <c r="DF689" s="31" t="str">
        <f t="shared" si="24"/>
        <v xml:space="preserve">  </v>
      </c>
      <c r="DG689" s="25" t="str">
        <f t="shared" si="25"/>
        <v/>
      </c>
      <c r="DH689" s="25" t="str">
        <f>BasicInput!$D$13&amp;$DH$2&amp;B689&amp;"_"&amp;C689&amp;D689&amp;"_"&amp;BasicInput!$D$7&amp;BasicInput!$D$8&amp;"_"&amp;DG689&amp;".xuf"</f>
        <v>C:\PWWORKING\east01\d2591108\Ramps\__2019EX_PM_.xuf</v>
      </c>
    </row>
    <row r="690" spans="39:112" x14ac:dyDescent="0.2">
      <c r="AM690" s="18"/>
      <c r="AS690" s="18"/>
      <c r="AX690" s="17"/>
      <c r="BI690" s="18"/>
      <c r="BO690" s="18"/>
      <c r="BT690" s="18"/>
      <c r="CA690" s="18"/>
      <c r="CH690" s="18"/>
      <c r="DF690" s="31" t="str">
        <f t="shared" si="24"/>
        <v xml:space="preserve">  </v>
      </c>
      <c r="DG690" s="25" t="str">
        <f t="shared" si="25"/>
        <v/>
      </c>
      <c r="DH690" s="25" t="str">
        <f>BasicInput!$D$13&amp;$DH$2&amp;B690&amp;"_"&amp;C690&amp;D690&amp;"_"&amp;BasicInput!$D$7&amp;BasicInput!$D$8&amp;"_"&amp;DG690&amp;".xuf"</f>
        <v>C:\PWWORKING\east01\d2591108\Ramps\__2019EX_PM_.xuf</v>
      </c>
    </row>
    <row r="691" spans="39:112" x14ac:dyDescent="0.2">
      <c r="AM691" s="18"/>
      <c r="AS691" s="18"/>
      <c r="AX691" s="17"/>
      <c r="BI691" s="18"/>
      <c r="BO691" s="18"/>
      <c r="BT691" s="18"/>
      <c r="CA691" s="18"/>
      <c r="CH691" s="18"/>
      <c r="DF691" s="31" t="str">
        <f t="shared" si="24"/>
        <v xml:space="preserve">  </v>
      </c>
      <c r="DG691" s="25" t="str">
        <f t="shared" si="25"/>
        <v/>
      </c>
      <c r="DH691" s="25" t="str">
        <f>BasicInput!$D$13&amp;$DH$2&amp;B691&amp;"_"&amp;C691&amp;D691&amp;"_"&amp;BasicInput!$D$7&amp;BasicInput!$D$8&amp;"_"&amp;DG691&amp;".xuf"</f>
        <v>C:\PWWORKING\east01\d2591108\Ramps\__2019EX_PM_.xuf</v>
      </c>
    </row>
    <row r="692" spans="39:112" x14ac:dyDescent="0.2">
      <c r="AM692" s="18"/>
      <c r="AS692" s="18"/>
      <c r="AX692" s="17"/>
      <c r="BI692" s="18"/>
      <c r="BO692" s="18"/>
      <c r="BT692" s="18"/>
      <c r="CA692" s="18"/>
      <c r="CH692" s="18"/>
      <c r="DF692" s="31" t="str">
        <f t="shared" si="24"/>
        <v xml:space="preserve">  </v>
      </c>
      <c r="DG692" s="25" t="str">
        <f t="shared" si="25"/>
        <v/>
      </c>
      <c r="DH692" s="25" t="str">
        <f>BasicInput!$D$13&amp;$DH$2&amp;B692&amp;"_"&amp;C692&amp;D692&amp;"_"&amp;BasicInput!$D$7&amp;BasicInput!$D$8&amp;"_"&amp;DG692&amp;".xuf"</f>
        <v>C:\PWWORKING\east01\d2591108\Ramps\__2019EX_PM_.xuf</v>
      </c>
    </row>
    <row r="693" spans="39:112" x14ac:dyDescent="0.2">
      <c r="AM693" s="18"/>
      <c r="AS693" s="18"/>
      <c r="AX693" s="17"/>
      <c r="BI693" s="18"/>
      <c r="BO693" s="18"/>
      <c r="BT693" s="18"/>
      <c r="CA693" s="18"/>
      <c r="CH693" s="18"/>
      <c r="DF693" s="31" t="str">
        <f t="shared" si="24"/>
        <v xml:space="preserve">  </v>
      </c>
      <c r="DG693" s="25" t="str">
        <f t="shared" si="25"/>
        <v/>
      </c>
      <c r="DH693" s="25" t="str">
        <f>BasicInput!$D$13&amp;$DH$2&amp;B693&amp;"_"&amp;C693&amp;D693&amp;"_"&amp;BasicInput!$D$7&amp;BasicInput!$D$8&amp;"_"&amp;DG693&amp;".xuf"</f>
        <v>C:\PWWORKING\east01\d2591108\Ramps\__2019EX_PM_.xuf</v>
      </c>
    </row>
    <row r="694" spans="39:112" x14ac:dyDescent="0.2">
      <c r="AM694" s="18"/>
      <c r="AS694" s="18"/>
      <c r="AX694" s="17"/>
      <c r="BI694" s="18"/>
      <c r="BO694" s="18"/>
      <c r="BT694" s="18"/>
      <c r="CA694" s="18"/>
      <c r="CH694" s="18"/>
      <c r="DF694" s="31" t="str">
        <f t="shared" si="24"/>
        <v xml:space="preserve">  </v>
      </c>
      <c r="DG694" s="25" t="str">
        <f t="shared" si="25"/>
        <v/>
      </c>
      <c r="DH694" s="25" t="str">
        <f>BasicInput!$D$13&amp;$DH$2&amp;B694&amp;"_"&amp;C694&amp;D694&amp;"_"&amp;BasicInput!$D$7&amp;BasicInput!$D$8&amp;"_"&amp;DG694&amp;".xuf"</f>
        <v>C:\PWWORKING\east01\d2591108\Ramps\__2019EX_PM_.xuf</v>
      </c>
    </row>
    <row r="695" spans="39:112" x14ac:dyDescent="0.2">
      <c r="AM695" s="18"/>
      <c r="AS695" s="18"/>
      <c r="AX695" s="17"/>
      <c r="BI695" s="18"/>
      <c r="BO695" s="18"/>
      <c r="BT695" s="18"/>
      <c r="CA695" s="18"/>
      <c r="CH695" s="18"/>
      <c r="DF695" s="31" t="str">
        <f t="shared" si="24"/>
        <v xml:space="preserve">  </v>
      </c>
      <c r="DG695" s="25" t="str">
        <f t="shared" si="25"/>
        <v/>
      </c>
      <c r="DH695" s="25" t="str">
        <f>BasicInput!$D$13&amp;$DH$2&amp;B695&amp;"_"&amp;C695&amp;D695&amp;"_"&amp;BasicInput!$D$7&amp;BasicInput!$D$8&amp;"_"&amp;DG695&amp;".xuf"</f>
        <v>C:\PWWORKING\east01\d2591108\Ramps\__2019EX_PM_.xuf</v>
      </c>
    </row>
    <row r="696" spans="39:112" x14ac:dyDescent="0.2">
      <c r="AM696" s="18"/>
      <c r="AS696" s="18"/>
      <c r="AX696" s="17"/>
      <c r="BI696" s="18"/>
      <c r="BO696" s="18"/>
      <c r="BT696" s="18"/>
      <c r="CA696" s="18"/>
      <c r="CH696" s="18"/>
      <c r="DF696" s="31" t="str">
        <f t="shared" si="24"/>
        <v xml:space="preserve">  </v>
      </c>
      <c r="DG696" s="25" t="str">
        <f t="shared" si="25"/>
        <v/>
      </c>
      <c r="DH696" s="25" t="str">
        <f>BasicInput!$D$13&amp;$DH$2&amp;B696&amp;"_"&amp;C696&amp;D696&amp;"_"&amp;BasicInput!$D$7&amp;BasicInput!$D$8&amp;"_"&amp;DG696&amp;".xuf"</f>
        <v>C:\PWWORKING\east01\d2591108\Ramps\__2019EX_PM_.xuf</v>
      </c>
    </row>
    <row r="697" spans="39:112" x14ac:dyDescent="0.2">
      <c r="AM697" s="18"/>
      <c r="AS697" s="18"/>
      <c r="AX697" s="17"/>
      <c r="BI697" s="18"/>
      <c r="BO697" s="18"/>
      <c r="BT697" s="18"/>
      <c r="CA697" s="18"/>
      <c r="CH697" s="18"/>
      <c r="DF697" s="31" t="str">
        <f t="shared" si="24"/>
        <v xml:space="preserve">  </v>
      </c>
      <c r="DG697" s="25" t="str">
        <f t="shared" si="25"/>
        <v/>
      </c>
      <c r="DH697" s="25" t="str">
        <f>BasicInput!$D$13&amp;$DH$2&amp;B697&amp;"_"&amp;C697&amp;D697&amp;"_"&amp;BasicInput!$D$7&amp;BasicInput!$D$8&amp;"_"&amp;DG697&amp;".xuf"</f>
        <v>C:\PWWORKING\east01\d2591108\Ramps\__2019EX_PM_.xuf</v>
      </c>
    </row>
    <row r="698" spans="39:112" x14ac:dyDescent="0.2">
      <c r="AM698" s="18"/>
      <c r="AS698" s="18"/>
      <c r="AX698" s="17"/>
      <c r="BI698" s="18"/>
      <c r="BO698" s="18"/>
      <c r="BT698" s="18"/>
      <c r="CA698" s="18"/>
      <c r="CH698" s="18"/>
      <c r="DF698" s="31" t="str">
        <f t="shared" si="24"/>
        <v xml:space="preserve">  </v>
      </c>
      <c r="DG698" s="25" t="str">
        <f t="shared" si="25"/>
        <v/>
      </c>
      <c r="DH698" s="25" t="str">
        <f>BasicInput!$D$13&amp;$DH$2&amp;B698&amp;"_"&amp;C698&amp;D698&amp;"_"&amp;BasicInput!$D$7&amp;BasicInput!$D$8&amp;"_"&amp;DG698&amp;".xuf"</f>
        <v>C:\PWWORKING\east01\d2591108\Ramps\__2019EX_PM_.xuf</v>
      </c>
    </row>
    <row r="699" spans="39:112" x14ac:dyDescent="0.2">
      <c r="AM699" s="18"/>
      <c r="AS699" s="18"/>
      <c r="AX699" s="17"/>
      <c r="BI699" s="18"/>
      <c r="BO699" s="18"/>
      <c r="BT699" s="18"/>
      <c r="CA699" s="18"/>
      <c r="CH699" s="18"/>
      <c r="DF699" s="31" t="str">
        <f t="shared" si="24"/>
        <v xml:space="preserve">  </v>
      </c>
      <c r="DG699" s="25" t="str">
        <f t="shared" si="25"/>
        <v/>
      </c>
      <c r="DH699" s="25" t="str">
        <f>BasicInput!$D$13&amp;$DH$2&amp;B699&amp;"_"&amp;C699&amp;D699&amp;"_"&amp;BasicInput!$D$7&amp;BasicInput!$D$8&amp;"_"&amp;DG699&amp;".xuf"</f>
        <v>C:\PWWORKING\east01\d2591108\Ramps\__2019EX_PM_.xuf</v>
      </c>
    </row>
    <row r="700" spans="39:112" x14ac:dyDescent="0.2">
      <c r="AM700" s="18"/>
      <c r="AS700" s="18"/>
      <c r="AX700" s="17"/>
      <c r="BI700" s="18"/>
      <c r="BO700" s="18"/>
      <c r="BT700" s="18"/>
      <c r="CA700" s="18"/>
      <c r="CH700" s="18"/>
      <c r="DF700" s="31" t="str">
        <f t="shared" si="24"/>
        <v xml:space="preserve">  </v>
      </c>
      <c r="DG700" s="25" t="str">
        <f t="shared" si="25"/>
        <v/>
      </c>
      <c r="DH700" s="25" t="str">
        <f>BasicInput!$D$13&amp;$DH$2&amp;B700&amp;"_"&amp;C700&amp;D700&amp;"_"&amp;BasicInput!$D$7&amp;BasicInput!$D$8&amp;"_"&amp;DG700&amp;".xuf"</f>
        <v>C:\PWWORKING\east01\d2591108\Ramps\__2019EX_PM_.xuf</v>
      </c>
    </row>
    <row r="701" spans="39:112" x14ac:dyDescent="0.2">
      <c r="AM701" s="18"/>
      <c r="AS701" s="18"/>
      <c r="AX701" s="17"/>
      <c r="BI701" s="18"/>
      <c r="BO701" s="18"/>
      <c r="BT701" s="18"/>
      <c r="CA701" s="18"/>
      <c r="CH701" s="18"/>
      <c r="DF701" s="31" t="str">
        <f t="shared" si="24"/>
        <v xml:space="preserve">  </v>
      </c>
      <c r="DG701" s="25" t="str">
        <f t="shared" si="25"/>
        <v/>
      </c>
      <c r="DH701" s="25" t="str">
        <f>BasicInput!$D$13&amp;$DH$2&amp;B701&amp;"_"&amp;C701&amp;D701&amp;"_"&amp;BasicInput!$D$7&amp;BasicInput!$D$8&amp;"_"&amp;DG701&amp;".xuf"</f>
        <v>C:\PWWORKING\east01\d2591108\Ramps\__2019EX_PM_.xuf</v>
      </c>
    </row>
    <row r="702" spans="39:112" x14ac:dyDescent="0.2">
      <c r="AM702" s="18"/>
      <c r="AS702" s="18"/>
      <c r="AX702" s="17"/>
      <c r="BI702" s="18"/>
      <c r="BO702" s="18"/>
      <c r="BT702" s="18"/>
      <c r="CA702" s="18"/>
      <c r="CH702" s="18"/>
      <c r="DF702" s="31" t="str">
        <f t="shared" si="24"/>
        <v xml:space="preserve">  </v>
      </c>
      <c r="DG702" s="25" t="str">
        <f t="shared" si="25"/>
        <v/>
      </c>
      <c r="DH702" s="25" t="str">
        <f>BasicInput!$D$13&amp;$DH$2&amp;B702&amp;"_"&amp;C702&amp;D702&amp;"_"&amp;BasicInput!$D$7&amp;BasicInput!$D$8&amp;"_"&amp;DG702&amp;".xuf"</f>
        <v>C:\PWWORKING\east01\d2591108\Ramps\__2019EX_PM_.xuf</v>
      </c>
    </row>
    <row r="703" spans="39:112" x14ac:dyDescent="0.2">
      <c r="AM703" s="18"/>
      <c r="AS703" s="18"/>
      <c r="AX703" s="17"/>
      <c r="BI703" s="18"/>
      <c r="BO703" s="18"/>
      <c r="BT703" s="18"/>
      <c r="CA703" s="18"/>
      <c r="CH703" s="18"/>
      <c r="DF703" s="31" t="str">
        <f t="shared" si="24"/>
        <v xml:space="preserve">  </v>
      </c>
      <c r="DG703" s="25" t="str">
        <f t="shared" si="25"/>
        <v/>
      </c>
      <c r="DH703" s="25" t="str">
        <f>BasicInput!$D$13&amp;$DH$2&amp;B703&amp;"_"&amp;C703&amp;D703&amp;"_"&amp;BasicInput!$D$7&amp;BasicInput!$D$8&amp;"_"&amp;DG703&amp;".xuf"</f>
        <v>C:\PWWORKING\east01\d2591108\Ramps\__2019EX_PM_.xuf</v>
      </c>
    </row>
    <row r="704" spans="39:112" x14ac:dyDescent="0.2">
      <c r="AM704" s="18"/>
      <c r="AS704" s="18"/>
      <c r="AX704" s="17"/>
      <c r="BI704" s="18"/>
      <c r="BO704" s="18"/>
      <c r="BT704" s="18"/>
      <c r="CA704" s="18"/>
      <c r="CH704" s="18"/>
      <c r="DF704" s="31" t="str">
        <f t="shared" si="24"/>
        <v xml:space="preserve">  </v>
      </c>
      <c r="DG704" s="25" t="str">
        <f t="shared" si="25"/>
        <v/>
      </c>
      <c r="DH704" s="25" t="str">
        <f>BasicInput!$D$13&amp;$DH$2&amp;B704&amp;"_"&amp;C704&amp;D704&amp;"_"&amp;BasicInput!$D$7&amp;BasicInput!$D$8&amp;"_"&amp;DG704&amp;".xuf"</f>
        <v>C:\PWWORKING\east01\d2591108\Ramps\__2019EX_PM_.xuf</v>
      </c>
    </row>
    <row r="705" spans="39:112" x14ac:dyDescent="0.2">
      <c r="AM705" s="18"/>
      <c r="AS705" s="18"/>
      <c r="AX705" s="17"/>
      <c r="BI705" s="18"/>
      <c r="BO705" s="18"/>
      <c r="BT705" s="18"/>
      <c r="CA705" s="18"/>
      <c r="CH705" s="18"/>
      <c r="DF705" s="31" t="str">
        <f t="shared" si="24"/>
        <v xml:space="preserve">  </v>
      </c>
      <c r="DG705" s="25" t="str">
        <f t="shared" si="25"/>
        <v/>
      </c>
      <c r="DH705" s="25" t="str">
        <f>BasicInput!$D$13&amp;$DH$2&amp;B705&amp;"_"&amp;C705&amp;D705&amp;"_"&amp;BasicInput!$D$7&amp;BasicInput!$D$8&amp;"_"&amp;DG705&amp;".xuf"</f>
        <v>C:\PWWORKING\east01\d2591108\Ramps\__2019EX_PM_.xuf</v>
      </c>
    </row>
    <row r="706" spans="39:112" x14ac:dyDescent="0.2">
      <c r="AM706" s="18"/>
      <c r="AS706" s="18"/>
      <c r="AX706" s="17"/>
      <c r="BI706" s="18"/>
      <c r="BO706" s="18"/>
      <c r="BT706" s="18"/>
      <c r="CA706" s="18"/>
      <c r="CH706" s="18"/>
      <c r="DF706" s="31" t="str">
        <f t="shared" si="24"/>
        <v xml:space="preserve">  </v>
      </c>
      <c r="DG706" s="25" t="str">
        <f t="shared" si="25"/>
        <v/>
      </c>
      <c r="DH706" s="25" t="str">
        <f>BasicInput!$D$13&amp;$DH$2&amp;B706&amp;"_"&amp;C706&amp;D706&amp;"_"&amp;BasicInput!$D$7&amp;BasicInput!$D$8&amp;"_"&amp;DG706&amp;".xuf"</f>
        <v>C:\PWWORKING\east01\d2591108\Ramps\__2019EX_PM_.xuf</v>
      </c>
    </row>
    <row r="707" spans="39:112" x14ac:dyDescent="0.2">
      <c r="AM707" s="18"/>
      <c r="AS707" s="18"/>
      <c r="AX707" s="17"/>
      <c r="BI707" s="18"/>
      <c r="BO707" s="18"/>
      <c r="BT707" s="18"/>
      <c r="CA707" s="18"/>
      <c r="CH707" s="18"/>
      <c r="DF707" s="31" t="str">
        <f t="shared" si="24"/>
        <v xml:space="preserve">  </v>
      </c>
      <c r="DG707" s="25" t="str">
        <f t="shared" si="25"/>
        <v/>
      </c>
      <c r="DH707" s="25" t="str">
        <f>BasicInput!$D$13&amp;$DH$2&amp;B707&amp;"_"&amp;C707&amp;D707&amp;"_"&amp;BasicInput!$D$7&amp;BasicInput!$D$8&amp;"_"&amp;DG707&amp;".xuf"</f>
        <v>C:\PWWORKING\east01\d2591108\Ramps\__2019EX_PM_.xuf</v>
      </c>
    </row>
    <row r="708" spans="39:112" x14ac:dyDescent="0.2">
      <c r="AM708" s="18"/>
      <c r="AS708" s="18"/>
      <c r="AX708" s="17"/>
      <c r="BI708" s="18"/>
      <c r="BO708" s="18"/>
      <c r="BT708" s="18"/>
      <c r="CA708" s="18"/>
      <c r="CH708" s="18"/>
      <c r="DF708" s="31" t="str">
        <f t="shared" si="24"/>
        <v xml:space="preserve">  </v>
      </c>
      <c r="DG708" s="25" t="str">
        <f t="shared" si="25"/>
        <v/>
      </c>
      <c r="DH708" s="25" t="str">
        <f>BasicInput!$D$13&amp;$DH$2&amp;B708&amp;"_"&amp;C708&amp;D708&amp;"_"&amp;BasicInput!$D$7&amp;BasicInput!$D$8&amp;"_"&amp;DG708&amp;".xuf"</f>
        <v>C:\PWWORKING\east01\d2591108\Ramps\__2019EX_PM_.xuf</v>
      </c>
    </row>
    <row r="709" spans="39:112" x14ac:dyDescent="0.2">
      <c r="AM709" s="18"/>
      <c r="AS709" s="18"/>
      <c r="AX709" s="17"/>
      <c r="BI709" s="18"/>
      <c r="BO709" s="18"/>
      <c r="BT709" s="18"/>
      <c r="CA709" s="18"/>
      <c r="CH709" s="18"/>
      <c r="DF709" s="31" t="str">
        <f t="shared" si="24"/>
        <v xml:space="preserve">  </v>
      </c>
      <c r="DG709" s="25" t="str">
        <f t="shared" si="25"/>
        <v/>
      </c>
      <c r="DH709" s="25" t="str">
        <f>BasicInput!$D$13&amp;$DH$2&amp;B709&amp;"_"&amp;C709&amp;D709&amp;"_"&amp;BasicInput!$D$7&amp;BasicInput!$D$8&amp;"_"&amp;DG709&amp;".xuf"</f>
        <v>C:\PWWORKING\east01\d2591108\Ramps\__2019EX_PM_.xuf</v>
      </c>
    </row>
    <row r="710" spans="39:112" x14ac:dyDescent="0.2">
      <c r="AM710" s="18"/>
      <c r="AS710" s="18"/>
      <c r="AX710" s="17"/>
      <c r="BI710" s="18"/>
      <c r="BO710" s="18"/>
      <c r="BT710" s="18"/>
      <c r="CA710" s="18"/>
      <c r="CH710" s="18"/>
      <c r="DF710" s="31" t="str">
        <f t="shared" si="24"/>
        <v xml:space="preserve">  </v>
      </c>
      <c r="DG710" s="25" t="str">
        <f t="shared" si="25"/>
        <v/>
      </c>
      <c r="DH710" s="25" t="str">
        <f>BasicInput!$D$13&amp;$DH$2&amp;B710&amp;"_"&amp;C710&amp;D710&amp;"_"&amp;BasicInput!$D$7&amp;BasicInput!$D$8&amp;"_"&amp;DG710&amp;".xuf"</f>
        <v>C:\PWWORKING\east01\d2591108\Ramps\__2019EX_PM_.xuf</v>
      </c>
    </row>
    <row r="711" spans="39:112" x14ac:dyDescent="0.2">
      <c r="AM711" s="18"/>
      <c r="AS711" s="18"/>
      <c r="AX711" s="17"/>
      <c r="BI711" s="18"/>
      <c r="BO711" s="18"/>
      <c r="BT711" s="18"/>
      <c r="CA711" s="18"/>
      <c r="CH711" s="18"/>
      <c r="DF711" s="31" t="str">
        <f t="shared" si="24"/>
        <v xml:space="preserve">  </v>
      </c>
      <c r="DG711" s="25" t="str">
        <f t="shared" si="25"/>
        <v/>
      </c>
      <c r="DH711" s="25" t="str">
        <f>BasicInput!$D$13&amp;$DH$2&amp;B711&amp;"_"&amp;C711&amp;D711&amp;"_"&amp;BasicInput!$D$7&amp;BasicInput!$D$8&amp;"_"&amp;DG711&amp;".xuf"</f>
        <v>C:\PWWORKING\east01\d2591108\Ramps\__2019EX_PM_.xuf</v>
      </c>
    </row>
    <row r="712" spans="39:112" x14ac:dyDescent="0.2">
      <c r="AM712" s="18"/>
      <c r="AS712" s="18"/>
      <c r="AX712" s="17"/>
      <c r="BI712" s="18"/>
      <c r="BO712" s="18"/>
      <c r="BT712" s="18"/>
      <c r="CA712" s="18"/>
      <c r="CH712" s="18"/>
      <c r="DF712" s="31" t="str">
        <f t="shared" si="24"/>
        <v xml:space="preserve">  </v>
      </c>
      <c r="DG712" s="25" t="str">
        <f t="shared" si="25"/>
        <v/>
      </c>
      <c r="DH712" s="25" t="str">
        <f>BasicInput!$D$13&amp;$DH$2&amp;B712&amp;"_"&amp;C712&amp;D712&amp;"_"&amp;BasicInput!$D$7&amp;BasicInput!$D$8&amp;"_"&amp;DG712&amp;".xuf"</f>
        <v>C:\PWWORKING\east01\d2591108\Ramps\__2019EX_PM_.xuf</v>
      </c>
    </row>
    <row r="713" spans="39:112" x14ac:dyDescent="0.2">
      <c r="AM713" s="18"/>
      <c r="AS713" s="18"/>
      <c r="AX713" s="17"/>
      <c r="BI713" s="18"/>
      <c r="BO713" s="18"/>
      <c r="BT713" s="18"/>
      <c r="CA713" s="18"/>
      <c r="CH713" s="18"/>
      <c r="DF713" s="31" t="str">
        <f t="shared" si="24"/>
        <v xml:space="preserve">  </v>
      </c>
      <c r="DG713" s="25" t="str">
        <f t="shared" si="25"/>
        <v/>
      </c>
      <c r="DH713" s="25" t="str">
        <f>BasicInput!$D$13&amp;$DH$2&amp;B713&amp;"_"&amp;C713&amp;D713&amp;"_"&amp;BasicInput!$D$7&amp;BasicInput!$D$8&amp;"_"&amp;DG713&amp;".xuf"</f>
        <v>C:\PWWORKING\east01\d2591108\Ramps\__2019EX_PM_.xuf</v>
      </c>
    </row>
    <row r="714" spans="39:112" x14ac:dyDescent="0.2">
      <c r="AM714" s="18"/>
      <c r="AS714" s="18"/>
      <c r="AX714" s="17"/>
      <c r="BI714" s="18"/>
      <c r="BO714" s="18"/>
      <c r="BT714" s="18"/>
      <c r="CA714" s="18"/>
      <c r="CH714" s="18"/>
      <c r="DF714" s="31" t="str">
        <f t="shared" si="24"/>
        <v xml:space="preserve">  </v>
      </c>
      <c r="DG714" s="25" t="str">
        <f t="shared" si="25"/>
        <v/>
      </c>
      <c r="DH714" s="25" t="str">
        <f>BasicInput!$D$13&amp;$DH$2&amp;B714&amp;"_"&amp;C714&amp;D714&amp;"_"&amp;BasicInput!$D$7&amp;BasicInput!$D$8&amp;"_"&amp;DG714&amp;".xuf"</f>
        <v>C:\PWWORKING\east01\d2591108\Ramps\__2019EX_PM_.xuf</v>
      </c>
    </row>
    <row r="715" spans="39:112" x14ac:dyDescent="0.2">
      <c r="AM715" s="18"/>
      <c r="AS715" s="18"/>
      <c r="AX715" s="17"/>
      <c r="BI715" s="18"/>
      <c r="BO715" s="18"/>
      <c r="BT715" s="18"/>
      <c r="CA715" s="18"/>
      <c r="CH715" s="18"/>
      <c r="DF715" s="31" t="str">
        <f t="shared" si="24"/>
        <v xml:space="preserve">  </v>
      </c>
      <c r="DG715" s="25" t="str">
        <f t="shared" si="25"/>
        <v/>
      </c>
      <c r="DH715" s="25" t="str">
        <f>BasicInput!$D$13&amp;$DH$2&amp;B715&amp;"_"&amp;C715&amp;D715&amp;"_"&amp;BasicInput!$D$7&amp;BasicInput!$D$8&amp;"_"&amp;DG715&amp;".xuf"</f>
        <v>C:\PWWORKING\east01\d2591108\Ramps\__2019EX_PM_.xuf</v>
      </c>
    </row>
    <row r="716" spans="39:112" x14ac:dyDescent="0.2">
      <c r="AM716" s="18"/>
      <c r="AS716" s="18"/>
      <c r="AX716" s="17"/>
      <c r="BI716" s="18"/>
      <c r="BO716" s="18"/>
      <c r="BT716" s="18"/>
      <c r="CA716" s="18"/>
      <c r="CH716" s="18"/>
      <c r="DF716" s="31" t="str">
        <f t="shared" si="24"/>
        <v xml:space="preserve">  </v>
      </c>
      <c r="DG716" s="25" t="str">
        <f t="shared" si="25"/>
        <v/>
      </c>
      <c r="DH716" s="25" t="str">
        <f>BasicInput!$D$13&amp;$DH$2&amp;B716&amp;"_"&amp;C716&amp;D716&amp;"_"&amp;BasicInput!$D$7&amp;BasicInput!$D$8&amp;"_"&amp;DG716&amp;".xuf"</f>
        <v>C:\PWWORKING\east01\d2591108\Ramps\__2019EX_PM_.xuf</v>
      </c>
    </row>
    <row r="717" spans="39:112" x14ac:dyDescent="0.2">
      <c r="AM717" s="18"/>
      <c r="AS717" s="18"/>
      <c r="AX717" s="17"/>
      <c r="BI717" s="18"/>
      <c r="BO717" s="18"/>
      <c r="BT717" s="18"/>
      <c r="CA717" s="18"/>
      <c r="CH717" s="18"/>
      <c r="DF717" s="31" t="str">
        <f t="shared" si="24"/>
        <v xml:space="preserve">  </v>
      </c>
      <c r="DG717" s="25" t="str">
        <f t="shared" si="25"/>
        <v/>
      </c>
      <c r="DH717" s="25" t="str">
        <f>BasicInput!$D$13&amp;$DH$2&amp;B717&amp;"_"&amp;C717&amp;D717&amp;"_"&amp;BasicInput!$D$7&amp;BasicInput!$D$8&amp;"_"&amp;DG717&amp;".xuf"</f>
        <v>C:\PWWORKING\east01\d2591108\Ramps\__2019EX_PM_.xuf</v>
      </c>
    </row>
    <row r="718" spans="39:112" x14ac:dyDescent="0.2">
      <c r="AM718" s="18"/>
      <c r="AS718" s="18"/>
      <c r="AX718" s="17"/>
      <c r="BI718" s="18"/>
      <c r="BO718" s="18"/>
      <c r="BT718" s="18"/>
      <c r="CA718" s="18"/>
      <c r="CH718" s="18"/>
      <c r="DF718" s="31" t="str">
        <f t="shared" si="24"/>
        <v xml:space="preserve">  </v>
      </c>
      <c r="DG718" s="25" t="str">
        <f t="shared" si="25"/>
        <v/>
      </c>
      <c r="DH718" s="25" t="str">
        <f>BasicInput!$D$13&amp;$DH$2&amp;B718&amp;"_"&amp;C718&amp;D718&amp;"_"&amp;BasicInput!$D$7&amp;BasicInput!$D$8&amp;"_"&amp;DG718&amp;".xuf"</f>
        <v>C:\PWWORKING\east01\d2591108\Ramps\__2019EX_PM_.xuf</v>
      </c>
    </row>
    <row r="719" spans="39:112" x14ac:dyDescent="0.2">
      <c r="AM719" s="18"/>
      <c r="AS719" s="18"/>
      <c r="AX719" s="17"/>
      <c r="BI719" s="18"/>
      <c r="BO719" s="18"/>
      <c r="BT719" s="18"/>
      <c r="CA719" s="18"/>
      <c r="CH719" s="18"/>
      <c r="DF719" s="31" t="str">
        <f t="shared" si="24"/>
        <v xml:space="preserve">  </v>
      </c>
      <c r="DG719" s="25" t="str">
        <f t="shared" si="25"/>
        <v/>
      </c>
      <c r="DH719" s="25" t="str">
        <f>BasicInput!$D$13&amp;$DH$2&amp;B719&amp;"_"&amp;C719&amp;D719&amp;"_"&amp;BasicInput!$D$7&amp;BasicInput!$D$8&amp;"_"&amp;DG719&amp;".xuf"</f>
        <v>C:\PWWORKING\east01\d2591108\Ramps\__2019EX_PM_.xuf</v>
      </c>
    </row>
    <row r="720" spans="39:112" x14ac:dyDescent="0.2">
      <c r="AM720" s="18"/>
      <c r="AS720" s="18"/>
      <c r="AX720" s="17"/>
      <c r="BI720" s="18"/>
      <c r="BO720" s="18"/>
      <c r="BT720" s="18"/>
      <c r="CA720" s="18"/>
      <c r="CH720" s="18"/>
      <c r="DF720" s="31" t="str">
        <f t="shared" si="24"/>
        <v xml:space="preserve">  </v>
      </c>
      <c r="DG720" s="25" t="str">
        <f t="shared" si="25"/>
        <v/>
      </c>
      <c r="DH720" s="25" t="str">
        <f>BasicInput!$D$13&amp;$DH$2&amp;B720&amp;"_"&amp;C720&amp;D720&amp;"_"&amp;BasicInput!$D$7&amp;BasicInput!$D$8&amp;"_"&amp;DG720&amp;".xuf"</f>
        <v>C:\PWWORKING\east01\d2591108\Ramps\__2019EX_PM_.xuf</v>
      </c>
    </row>
    <row r="721" spans="39:112" x14ac:dyDescent="0.2">
      <c r="AM721" s="18"/>
      <c r="AS721" s="18"/>
      <c r="AX721" s="17"/>
      <c r="BI721" s="18"/>
      <c r="BO721" s="18"/>
      <c r="BT721" s="18"/>
      <c r="CA721" s="18"/>
      <c r="CH721" s="18"/>
      <c r="DF721" s="31" t="str">
        <f t="shared" ref="DF721:DF784" si="26">C721&amp; " "&amp;D721&amp;" " &amp;E721</f>
        <v xml:space="preserve">  </v>
      </c>
      <c r="DG721" s="25" t="str">
        <f t="shared" ref="DG721:DG784" si="27">SUBSTITUTE(E721, "/", "_")</f>
        <v/>
      </c>
      <c r="DH721" s="25" t="str">
        <f>BasicInput!$D$13&amp;$DH$2&amp;B721&amp;"_"&amp;C721&amp;D721&amp;"_"&amp;BasicInput!$D$7&amp;BasicInput!$D$8&amp;"_"&amp;DG721&amp;".xuf"</f>
        <v>C:\PWWORKING\east01\d2591108\Ramps\__2019EX_PM_.xuf</v>
      </c>
    </row>
    <row r="722" spans="39:112" x14ac:dyDescent="0.2">
      <c r="AM722" s="18"/>
      <c r="AS722" s="18"/>
      <c r="AX722" s="17"/>
      <c r="BI722" s="18"/>
      <c r="BO722" s="18"/>
      <c r="BT722" s="18"/>
      <c r="CA722" s="18"/>
      <c r="CH722" s="18"/>
      <c r="DF722" s="31" t="str">
        <f t="shared" si="26"/>
        <v xml:space="preserve">  </v>
      </c>
      <c r="DG722" s="25" t="str">
        <f t="shared" si="27"/>
        <v/>
      </c>
      <c r="DH722" s="25" t="str">
        <f>BasicInput!$D$13&amp;$DH$2&amp;B722&amp;"_"&amp;C722&amp;D722&amp;"_"&amp;BasicInput!$D$7&amp;BasicInput!$D$8&amp;"_"&amp;DG722&amp;".xuf"</f>
        <v>C:\PWWORKING\east01\d2591108\Ramps\__2019EX_PM_.xuf</v>
      </c>
    </row>
    <row r="723" spans="39:112" x14ac:dyDescent="0.2">
      <c r="AM723" s="18"/>
      <c r="AS723" s="18"/>
      <c r="AX723" s="17"/>
      <c r="BI723" s="18"/>
      <c r="BO723" s="18"/>
      <c r="BT723" s="18"/>
      <c r="CA723" s="18"/>
      <c r="CH723" s="18"/>
      <c r="DF723" s="31" t="str">
        <f t="shared" si="26"/>
        <v xml:space="preserve">  </v>
      </c>
      <c r="DG723" s="25" t="str">
        <f t="shared" si="27"/>
        <v/>
      </c>
      <c r="DH723" s="25" t="str">
        <f>BasicInput!$D$13&amp;$DH$2&amp;B723&amp;"_"&amp;C723&amp;D723&amp;"_"&amp;BasicInput!$D$7&amp;BasicInput!$D$8&amp;"_"&amp;DG723&amp;".xuf"</f>
        <v>C:\PWWORKING\east01\d2591108\Ramps\__2019EX_PM_.xuf</v>
      </c>
    </row>
    <row r="724" spans="39:112" x14ac:dyDescent="0.2">
      <c r="AM724" s="18"/>
      <c r="AS724" s="18"/>
      <c r="AX724" s="17"/>
      <c r="BI724" s="18"/>
      <c r="BO724" s="18"/>
      <c r="BT724" s="18"/>
      <c r="CA724" s="18"/>
      <c r="CH724" s="18"/>
      <c r="DF724" s="31" t="str">
        <f t="shared" si="26"/>
        <v xml:space="preserve">  </v>
      </c>
      <c r="DG724" s="25" t="str">
        <f t="shared" si="27"/>
        <v/>
      </c>
      <c r="DH724" s="25" t="str">
        <f>BasicInput!$D$13&amp;$DH$2&amp;B724&amp;"_"&amp;C724&amp;D724&amp;"_"&amp;BasicInput!$D$7&amp;BasicInput!$D$8&amp;"_"&amp;DG724&amp;".xuf"</f>
        <v>C:\PWWORKING\east01\d2591108\Ramps\__2019EX_PM_.xuf</v>
      </c>
    </row>
    <row r="725" spans="39:112" x14ac:dyDescent="0.2">
      <c r="AM725" s="18"/>
      <c r="AS725" s="18"/>
      <c r="AX725" s="17"/>
      <c r="BI725" s="18"/>
      <c r="BO725" s="18"/>
      <c r="BT725" s="18"/>
      <c r="CA725" s="18"/>
      <c r="CH725" s="18"/>
      <c r="DF725" s="31" t="str">
        <f t="shared" si="26"/>
        <v xml:space="preserve">  </v>
      </c>
      <c r="DG725" s="25" t="str">
        <f t="shared" si="27"/>
        <v/>
      </c>
      <c r="DH725" s="25" t="str">
        <f>BasicInput!$D$13&amp;$DH$2&amp;B725&amp;"_"&amp;C725&amp;D725&amp;"_"&amp;BasicInput!$D$7&amp;BasicInput!$D$8&amp;"_"&amp;DG725&amp;".xuf"</f>
        <v>C:\PWWORKING\east01\d2591108\Ramps\__2019EX_PM_.xuf</v>
      </c>
    </row>
    <row r="726" spans="39:112" x14ac:dyDescent="0.2">
      <c r="AM726" s="18"/>
      <c r="AS726" s="18"/>
      <c r="AX726" s="17"/>
      <c r="BI726" s="18"/>
      <c r="BO726" s="18"/>
      <c r="BT726" s="18"/>
      <c r="CA726" s="18"/>
      <c r="CH726" s="18"/>
      <c r="DF726" s="31" t="str">
        <f t="shared" si="26"/>
        <v xml:space="preserve">  </v>
      </c>
      <c r="DG726" s="25" t="str">
        <f t="shared" si="27"/>
        <v/>
      </c>
      <c r="DH726" s="25" t="str">
        <f>BasicInput!$D$13&amp;$DH$2&amp;B726&amp;"_"&amp;C726&amp;D726&amp;"_"&amp;BasicInput!$D$7&amp;BasicInput!$D$8&amp;"_"&amp;DG726&amp;".xuf"</f>
        <v>C:\PWWORKING\east01\d2591108\Ramps\__2019EX_PM_.xuf</v>
      </c>
    </row>
    <row r="727" spans="39:112" x14ac:dyDescent="0.2">
      <c r="AM727" s="18"/>
      <c r="AS727" s="18"/>
      <c r="AX727" s="17"/>
      <c r="BI727" s="18"/>
      <c r="BO727" s="18"/>
      <c r="BT727" s="18"/>
      <c r="CA727" s="18"/>
      <c r="CH727" s="18"/>
      <c r="DF727" s="31" t="str">
        <f t="shared" si="26"/>
        <v xml:space="preserve">  </v>
      </c>
      <c r="DG727" s="25" t="str">
        <f t="shared" si="27"/>
        <v/>
      </c>
      <c r="DH727" s="25" t="str">
        <f>BasicInput!$D$13&amp;$DH$2&amp;B727&amp;"_"&amp;C727&amp;D727&amp;"_"&amp;BasicInput!$D$7&amp;BasicInput!$D$8&amp;"_"&amp;DG727&amp;".xuf"</f>
        <v>C:\PWWORKING\east01\d2591108\Ramps\__2019EX_PM_.xuf</v>
      </c>
    </row>
    <row r="728" spans="39:112" x14ac:dyDescent="0.2">
      <c r="AM728" s="18"/>
      <c r="AS728" s="18"/>
      <c r="AX728" s="17"/>
      <c r="BI728" s="18"/>
      <c r="BO728" s="18"/>
      <c r="BT728" s="18"/>
      <c r="CA728" s="18"/>
      <c r="CH728" s="18"/>
      <c r="DF728" s="31" t="str">
        <f t="shared" si="26"/>
        <v xml:space="preserve">  </v>
      </c>
      <c r="DG728" s="25" t="str">
        <f t="shared" si="27"/>
        <v/>
      </c>
      <c r="DH728" s="25" t="str">
        <f>BasicInput!$D$13&amp;$DH$2&amp;B728&amp;"_"&amp;C728&amp;D728&amp;"_"&amp;BasicInput!$D$7&amp;BasicInput!$D$8&amp;"_"&amp;DG728&amp;".xuf"</f>
        <v>C:\PWWORKING\east01\d2591108\Ramps\__2019EX_PM_.xuf</v>
      </c>
    </row>
    <row r="729" spans="39:112" x14ac:dyDescent="0.2">
      <c r="AM729" s="18"/>
      <c r="AS729" s="18"/>
      <c r="AX729" s="17"/>
      <c r="BI729" s="18"/>
      <c r="BO729" s="18"/>
      <c r="BT729" s="18"/>
      <c r="CA729" s="18"/>
      <c r="CH729" s="18"/>
      <c r="DF729" s="31" t="str">
        <f t="shared" si="26"/>
        <v xml:space="preserve">  </v>
      </c>
      <c r="DG729" s="25" t="str">
        <f t="shared" si="27"/>
        <v/>
      </c>
      <c r="DH729" s="25" t="str">
        <f>BasicInput!$D$13&amp;$DH$2&amp;B729&amp;"_"&amp;C729&amp;D729&amp;"_"&amp;BasicInput!$D$7&amp;BasicInput!$D$8&amp;"_"&amp;DG729&amp;".xuf"</f>
        <v>C:\PWWORKING\east01\d2591108\Ramps\__2019EX_PM_.xuf</v>
      </c>
    </row>
    <row r="730" spans="39:112" x14ac:dyDescent="0.2">
      <c r="AM730" s="18"/>
      <c r="AS730" s="18"/>
      <c r="AX730" s="17"/>
      <c r="BI730" s="18"/>
      <c r="BO730" s="18"/>
      <c r="BT730" s="18"/>
      <c r="CA730" s="18"/>
      <c r="CH730" s="18"/>
      <c r="DF730" s="31" t="str">
        <f t="shared" si="26"/>
        <v xml:space="preserve">  </v>
      </c>
      <c r="DG730" s="25" t="str">
        <f t="shared" si="27"/>
        <v/>
      </c>
      <c r="DH730" s="25" t="str">
        <f>BasicInput!$D$13&amp;$DH$2&amp;B730&amp;"_"&amp;C730&amp;D730&amp;"_"&amp;BasicInput!$D$7&amp;BasicInput!$D$8&amp;"_"&amp;DG730&amp;".xuf"</f>
        <v>C:\PWWORKING\east01\d2591108\Ramps\__2019EX_PM_.xuf</v>
      </c>
    </row>
    <row r="731" spans="39:112" x14ac:dyDescent="0.2">
      <c r="AM731" s="18"/>
      <c r="AS731" s="18"/>
      <c r="AX731" s="17"/>
      <c r="BI731" s="18"/>
      <c r="BO731" s="18"/>
      <c r="BT731" s="18"/>
      <c r="CA731" s="18"/>
      <c r="CH731" s="18"/>
      <c r="DF731" s="31" t="str">
        <f t="shared" si="26"/>
        <v xml:space="preserve">  </v>
      </c>
      <c r="DG731" s="25" t="str">
        <f t="shared" si="27"/>
        <v/>
      </c>
      <c r="DH731" s="25" t="str">
        <f>BasicInput!$D$13&amp;$DH$2&amp;B731&amp;"_"&amp;C731&amp;D731&amp;"_"&amp;BasicInput!$D$7&amp;BasicInput!$D$8&amp;"_"&amp;DG731&amp;".xuf"</f>
        <v>C:\PWWORKING\east01\d2591108\Ramps\__2019EX_PM_.xuf</v>
      </c>
    </row>
    <row r="732" spans="39:112" x14ac:dyDescent="0.2">
      <c r="AM732" s="18"/>
      <c r="AS732" s="18"/>
      <c r="AX732" s="17"/>
      <c r="BI732" s="18"/>
      <c r="BO732" s="18"/>
      <c r="BT732" s="18"/>
      <c r="CA732" s="18"/>
      <c r="CH732" s="18"/>
      <c r="DF732" s="31" t="str">
        <f t="shared" si="26"/>
        <v xml:space="preserve">  </v>
      </c>
      <c r="DG732" s="25" t="str">
        <f t="shared" si="27"/>
        <v/>
      </c>
      <c r="DH732" s="25" t="str">
        <f>BasicInput!$D$13&amp;$DH$2&amp;B732&amp;"_"&amp;C732&amp;D732&amp;"_"&amp;BasicInput!$D$7&amp;BasicInput!$D$8&amp;"_"&amp;DG732&amp;".xuf"</f>
        <v>C:\PWWORKING\east01\d2591108\Ramps\__2019EX_PM_.xuf</v>
      </c>
    </row>
    <row r="733" spans="39:112" x14ac:dyDescent="0.2">
      <c r="AM733" s="18"/>
      <c r="AS733" s="18"/>
      <c r="AX733" s="17"/>
      <c r="BI733" s="18"/>
      <c r="BO733" s="18"/>
      <c r="BT733" s="18"/>
      <c r="CA733" s="18"/>
      <c r="CH733" s="18"/>
      <c r="DF733" s="31" t="str">
        <f t="shared" si="26"/>
        <v xml:space="preserve">  </v>
      </c>
      <c r="DG733" s="25" t="str">
        <f t="shared" si="27"/>
        <v/>
      </c>
      <c r="DH733" s="25" t="str">
        <f>BasicInput!$D$13&amp;$DH$2&amp;B733&amp;"_"&amp;C733&amp;D733&amp;"_"&amp;BasicInput!$D$7&amp;BasicInput!$D$8&amp;"_"&amp;DG733&amp;".xuf"</f>
        <v>C:\PWWORKING\east01\d2591108\Ramps\__2019EX_PM_.xuf</v>
      </c>
    </row>
    <row r="734" spans="39:112" x14ac:dyDescent="0.2">
      <c r="AM734" s="18"/>
      <c r="AS734" s="18"/>
      <c r="AX734" s="17"/>
      <c r="BI734" s="18"/>
      <c r="BO734" s="18"/>
      <c r="BT734" s="18"/>
      <c r="CA734" s="18"/>
      <c r="CH734" s="18"/>
      <c r="DF734" s="31" t="str">
        <f t="shared" si="26"/>
        <v xml:space="preserve">  </v>
      </c>
      <c r="DG734" s="25" t="str">
        <f t="shared" si="27"/>
        <v/>
      </c>
      <c r="DH734" s="25" t="str">
        <f>BasicInput!$D$13&amp;$DH$2&amp;B734&amp;"_"&amp;C734&amp;D734&amp;"_"&amp;BasicInput!$D$7&amp;BasicInput!$D$8&amp;"_"&amp;DG734&amp;".xuf"</f>
        <v>C:\PWWORKING\east01\d2591108\Ramps\__2019EX_PM_.xuf</v>
      </c>
    </row>
    <row r="735" spans="39:112" x14ac:dyDescent="0.2">
      <c r="AM735" s="18"/>
      <c r="AS735" s="18"/>
      <c r="AX735" s="17"/>
      <c r="BI735" s="18"/>
      <c r="BO735" s="18"/>
      <c r="BT735" s="18"/>
      <c r="CA735" s="18"/>
      <c r="CH735" s="18"/>
      <c r="DF735" s="31" t="str">
        <f t="shared" si="26"/>
        <v xml:space="preserve">  </v>
      </c>
      <c r="DG735" s="25" t="str">
        <f t="shared" si="27"/>
        <v/>
      </c>
      <c r="DH735" s="25" t="str">
        <f>BasicInput!$D$13&amp;$DH$2&amp;B735&amp;"_"&amp;C735&amp;D735&amp;"_"&amp;BasicInput!$D$7&amp;BasicInput!$D$8&amp;"_"&amp;DG735&amp;".xuf"</f>
        <v>C:\PWWORKING\east01\d2591108\Ramps\__2019EX_PM_.xuf</v>
      </c>
    </row>
    <row r="736" spans="39:112" x14ac:dyDescent="0.2">
      <c r="AM736" s="18"/>
      <c r="AS736" s="18"/>
      <c r="AX736" s="17"/>
      <c r="BI736" s="18"/>
      <c r="BO736" s="18"/>
      <c r="BT736" s="18"/>
      <c r="CA736" s="18"/>
      <c r="CH736" s="18"/>
      <c r="DF736" s="31" t="str">
        <f t="shared" si="26"/>
        <v xml:space="preserve">  </v>
      </c>
      <c r="DG736" s="25" t="str">
        <f t="shared" si="27"/>
        <v/>
      </c>
      <c r="DH736" s="25" t="str">
        <f>BasicInput!$D$13&amp;$DH$2&amp;B736&amp;"_"&amp;C736&amp;D736&amp;"_"&amp;BasicInput!$D$7&amp;BasicInput!$D$8&amp;"_"&amp;DG736&amp;".xuf"</f>
        <v>C:\PWWORKING\east01\d2591108\Ramps\__2019EX_PM_.xuf</v>
      </c>
    </row>
    <row r="737" spans="39:112" x14ac:dyDescent="0.2">
      <c r="AM737" s="18"/>
      <c r="AS737" s="18"/>
      <c r="AX737" s="17"/>
      <c r="BI737" s="18"/>
      <c r="BO737" s="18"/>
      <c r="BT737" s="18"/>
      <c r="CA737" s="18"/>
      <c r="CH737" s="18"/>
      <c r="DF737" s="31" t="str">
        <f t="shared" si="26"/>
        <v xml:space="preserve">  </v>
      </c>
      <c r="DG737" s="25" t="str">
        <f t="shared" si="27"/>
        <v/>
      </c>
      <c r="DH737" s="25" t="str">
        <f>BasicInput!$D$13&amp;$DH$2&amp;B737&amp;"_"&amp;C737&amp;D737&amp;"_"&amp;BasicInput!$D$7&amp;BasicInput!$D$8&amp;"_"&amp;DG737&amp;".xuf"</f>
        <v>C:\PWWORKING\east01\d2591108\Ramps\__2019EX_PM_.xuf</v>
      </c>
    </row>
    <row r="738" spans="39:112" x14ac:dyDescent="0.2">
      <c r="AM738" s="18"/>
      <c r="AS738" s="18"/>
      <c r="AX738" s="17"/>
      <c r="BI738" s="18"/>
      <c r="BO738" s="18"/>
      <c r="BT738" s="18"/>
      <c r="CA738" s="18"/>
      <c r="CH738" s="18"/>
      <c r="DF738" s="31" t="str">
        <f t="shared" si="26"/>
        <v xml:space="preserve">  </v>
      </c>
      <c r="DG738" s="25" t="str">
        <f t="shared" si="27"/>
        <v/>
      </c>
      <c r="DH738" s="25" t="str">
        <f>BasicInput!$D$13&amp;$DH$2&amp;B738&amp;"_"&amp;C738&amp;D738&amp;"_"&amp;BasicInput!$D$7&amp;BasicInput!$D$8&amp;"_"&amp;DG738&amp;".xuf"</f>
        <v>C:\PWWORKING\east01\d2591108\Ramps\__2019EX_PM_.xuf</v>
      </c>
    </row>
    <row r="739" spans="39:112" x14ac:dyDescent="0.2">
      <c r="AM739" s="18"/>
      <c r="AS739" s="18"/>
      <c r="AX739" s="17"/>
      <c r="BI739" s="18"/>
      <c r="BO739" s="18"/>
      <c r="BT739" s="18"/>
      <c r="CA739" s="18"/>
      <c r="CH739" s="18"/>
      <c r="DF739" s="31" t="str">
        <f t="shared" si="26"/>
        <v xml:space="preserve">  </v>
      </c>
      <c r="DG739" s="25" t="str">
        <f t="shared" si="27"/>
        <v/>
      </c>
      <c r="DH739" s="25" t="str">
        <f>BasicInput!$D$13&amp;$DH$2&amp;B739&amp;"_"&amp;C739&amp;D739&amp;"_"&amp;BasicInput!$D$7&amp;BasicInput!$D$8&amp;"_"&amp;DG739&amp;".xuf"</f>
        <v>C:\PWWORKING\east01\d2591108\Ramps\__2019EX_PM_.xuf</v>
      </c>
    </row>
    <row r="740" spans="39:112" x14ac:dyDescent="0.2">
      <c r="AM740" s="18"/>
      <c r="AS740" s="18"/>
      <c r="AX740" s="17"/>
      <c r="BI740" s="18"/>
      <c r="BO740" s="18"/>
      <c r="BT740" s="18"/>
      <c r="CA740" s="18"/>
      <c r="CH740" s="18"/>
      <c r="DF740" s="31" t="str">
        <f t="shared" si="26"/>
        <v xml:space="preserve">  </v>
      </c>
      <c r="DG740" s="25" t="str">
        <f t="shared" si="27"/>
        <v/>
      </c>
      <c r="DH740" s="25" t="str">
        <f>BasicInput!$D$13&amp;$DH$2&amp;B740&amp;"_"&amp;C740&amp;D740&amp;"_"&amp;BasicInput!$D$7&amp;BasicInput!$D$8&amp;"_"&amp;DG740&amp;".xuf"</f>
        <v>C:\PWWORKING\east01\d2591108\Ramps\__2019EX_PM_.xuf</v>
      </c>
    </row>
    <row r="741" spans="39:112" x14ac:dyDescent="0.2">
      <c r="AM741" s="18"/>
      <c r="AS741" s="18"/>
      <c r="AX741" s="17"/>
      <c r="BI741" s="18"/>
      <c r="BO741" s="18"/>
      <c r="BT741" s="18"/>
      <c r="CA741" s="18"/>
      <c r="CH741" s="18"/>
      <c r="DF741" s="31" t="str">
        <f t="shared" si="26"/>
        <v xml:space="preserve">  </v>
      </c>
      <c r="DG741" s="25" t="str">
        <f t="shared" si="27"/>
        <v/>
      </c>
      <c r="DH741" s="25" t="str">
        <f>BasicInput!$D$13&amp;$DH$2&amp;B741&amp;"_"&amp;C741&amp;D741&amp;"_"&amp;BasicInput!$D$7&amp;BasicInput!$D$8&amp;"_"&amp;DG741&amp;".xuf"</f>
        <v>C:\PWWORKING\east01\d2591108\Ramps\__2019EX_PM_.xuf</v>
      </c>
    </row>
    <row r="742" spans="39:112" x14ac:dyDescent="0.2">
      <c r="AM742" s="18"/>
      <c r="AS742" s="18"/>
      <c r="AX742" s="17"/>
      <c r="BI742" s="18"/>
      <c r="BO742" s="18"/>
      <c r="BT742" s="18"/>
      <c r="CA742" s="18"/>
      <c r="CH742" s="18"/>
      <c r="DF742" s="31" t="str">
        <f t="shared" si="26"/>
        <v xml:space="preserve">  </v>
      </c>
      <c r="DG742" s="25" t="str">
        <f t="shared" si="27"/>
        <v/>
      </c>
      <c r="DH742" s="25" t="str">
        <f>BasicInput!$D$13&amp;$DH$2&amp;B742&amp;"_"&amp;C742&amp;D742&amp;"_"&amp;BasicInput!$D$7&amp;BasicInput!$D$8&amp;"_"&amp;DG742&amp;".xuf"</f>
        <v>C:\PWWORKING\east01\d2591108\Ramps\__2019EX_PM_.xuf</v>
      </c>
    </row>
    <row r="743" spans="39:112" x14ac:dyDescent="0.2">
      <c r="AM743" s="18"/>
      <c r="AS743" s="18"/>
      <c r="AX743" s="17"/>
      <c r="BI743" s="18"/>
      <c r="BO743" s="18"/>
      <c r="BT743" s="18"/>
      <c r="CA743" s="18"/>
      <c r="CH743" s="18"/>
      <c r="DF743" s="31" t="str">
        <f t="shared" si="26"/>
        <v xml:space="preserve">  </v>
      </c>
      <c r="DG743" s="25" t="str">
        <f t="shared" si="27"/>
        <v/>
      </c>
      <c r="DH743" s="25" t="str">
        <f>BasicInput!$D$13&amp;$DH$2&amp;B743&amp;"_"&amp;C743&amp;D743&amp;"_"&amp;BasicInput!$D$7&amp;BasicInput!$D$8&amp;"_"&amp;DG743&amp;".xuf"</f>
        <v>C:\PWWORKING\east01\d2591108\Ramps\__2019EX_PM_.xuf</v>
      </c>
    </row>
    <row r="744" spans="39:112" x14ac:dyDescent="0.2">
      <c r="AM744" s="18"/>
      <c r="AS744" s="18"/>
      <c r="AX744" s="17"/>
      <c r="BI744" s="18"/>
      <c r="BO744" s="18"/>
      <c r="BT744" s="18"/>
      <c r="CA744" s="18"/>
      <c r="CH744" s="18"/>
      <c r="DF744" s="31" t="str">
        <f t="shared" si="26"/>
        <v xml:space="preserve">  </v>
      </c>
      <c r="DG744" s="25" t="str">
        <f t="shared" si="27"/>
        <v/>
      </c>
      <c r="DH744" s="25" t="str">
        <f>BasicInput!$D$13&amp;$DH$2&amp;B744&amp;"_"&amp;C744&amp;D744&amp;"_"&amp;BasicInput!$D$7&amp;BasicInput!$D$8&amp;"_"&amp;DG744&amp;".xuf"</f>
        <v>C:\PWWORKING\east01\d2591108\Ramps\__2019EX_PM_.xuf</v>
      </c>
    </row>
    <row r="745" spans="39:112" x14ac:dyDescent="0.2">
      <c r="AM745" s="18"/>
      <c r="AS745" s="18"/>
      <c r="AX745" s="17"/>
      <c r="BI745" s="18"/>
      <c r="BO745" s="18"/>
      <c r="BT745" s="18"/>
      <c r="CA745" s="18"/>
      <c r="CH745" s="18"/>
      <c r="DF745" s="31" t="str">
        <f t="shared" si="26"/>
        <v xml:space="preserve">  </v>
      </c>
      <c r="DG745" s="25" t="str">
        <f t="shared" si="27"/>
        <v/>
      </c>
      <c r="DH745" s="25" t="str">
        <f>BasicInput!$D$13&amp;$DH$2&amp;B745&amp;"_"&amp;C745&amp;D745&amp;"_"&amp;BasicInput!$D$7&amp;BasicInput!$D$8&amp;"_"&amp;DG745&amp;".xuf"</f>
        <v>C:\PWWORKING\east01\d2591108\Ramps\__2019EX_PM_.xuf</v>
      </c>
    </row>
    <row r="746" spans="39:112" x14ac:dyDescent="0.2">
      <c r="AM746" s="18"/>
      <c r="AS746" s="18"/>
      <c r="AX746" s="17"/>
      <c r="BI746" s="18"/>
      <c r="BO746" s="18"/>
      <c r="BT746" s="18"/>
      <c r="CA746" s="18"/>
      <c r="CH746" s="18"/>
      <c r="DF746" s="31" t="str">
        <f t="shared" si="26"/>
        <v xml:space="preserve">  </v>
      </c>
      <c r="DG746" s="25" t="str">
        <f t="shared" si="27"/>
        <v/>
      </c>
      <c r="DH746" s="25" t="str">
        <f>BasicInput!$D$13&amp;$DH$2&amp;B746&amp;"_"&amp;C746&amp;D746&amp;"_"&amp;BasicInput!$D$7&amp;BasicInput!$D$8&amp;"_"&amp;DG746&amp;".xuf"</f>
        <v>C:\PWWORKING\east01\d2591108\Ramps\__2019EX_PM_.xuf</v>
      </c>
    </row>
    <row r="747" spans="39:112" x14ac:dyDescent="0.2">
      <c r="AM747" s="18"/>
      <c r="AS747" s="18"/>
      <c r="AX747" s="17"/>
      <c r="BI747" s="18"/>
      <c r="BO747" s="18"/>
      <c r="BT747" s="18"/>
      <c r="CA747" s="18"/>
      <c r="CH747" s="18"/>
      <c r="DF747" s="31" t="str">
        <f t="shared" si="26"/>
        <v xml:space="preserve">  </v>
      </c>
      <c r="DG747" s="25" t="str">
        <f t="shared" si="27"/>
        <v/>
      </c>
      <c r="DH747" s="25" t="str">
        <f>BasicInput!$D$13&amp;$DH$2&amp;B747&amp;"_"&amp;C747&amp;D747&amp;"_"&amp;BasicInput!$D$7&amp;BasicInput!$D$8&amp;"_"&amp;DG747&amp;".xuf"</f>
        <v>C:\PWWORKING\east01\d2591108\Ramps\__2019EX_PM_.xuf</v>
      </c>
    </row>
    <row r="748" spans="39:112" x14ac:dyDescent="0.2">
      <c r="AM748" s="18"/>
      <c r="AS748" s="18"/>
      <c r="AX748" s="17"/>
      <c r="BI748" s="18"/>
      <c r="BO748" s="18"/>
      <c r="BT748" s="18"/>
      <c r="CA748" s="18"/>
      <c r="CH748" s="18"/>
      <c r="DF748" s="31" t="str">
        <f t="shared" si="26"/>
        <v xml:space="preserve">  </v>
      </c>
      <c r="DG748" s="25" t="str">
        <f t="shared" si="27"/>
        <v/>
      </c>
      <c r="DH748" s="25" t="str">
        <f>BasicInput!$D$13&amp;$DH$2&amp;B748&amp;"_"&amp;C748&amp;D748&amp;"_"&amp;BasicInput!$D$7&amp;BasicInput!$D$8&amp;"_"&amp;DG748&amp;".xuf"</f>
        <v>C:\PWWORKING\east01\d2591108\Ramps\__2019EX_PM_.xuf</v>
      </c>
    </row>
    <row r="749" spans="39:112" x14ac:dyDescent="0.2">
      <c r="AM749" s="18"/>
      <c r="AS749" s="18"/>
      <c r="AX749" s="17"/>
      <c r="BI749" s="18"/>
      <c r="BO749" s="18"/>
      <c r="BT749" s="18"/>
      <c r="CA749" s="18"/>
      <c r="CH749" s="18"/>
      <c r="DF749" s="31" t="str">
        <f t="shared" si="26"/>
        <v xml:space="preserve">  </v>
      </c>
      <c r="DG749" s="25" t="str">
        <f t="shared" si="27"/>
        <v/>
      </c>
      <c r="DH749" s="25" t="str">
        <f>BasicInput!$D$13&amp;$DH$2&amp;B749&amp;"_"&amp;C749&amp;D749&amp;"_"&amp;BasicInput!$D$7&amp;BasicInput!$D$8&amp;"_"&amp;DG749&amp;".xuf"</f>
        <v>C:\PWWORKING\east01\d2591108\Ramps\__2019EX_PM_.xuf</v>
      </c>
    </row>
    <row r="750" spans="39:112" x14ac:dyDescent="0.2">
      <c r="AM750" s="18"/>
      <c r="AS750" s="18"/>
      <c r="AX750" s="17"/>
      <c r="BI750" s="18"/>
      <c r="BO750" s="18"/>
      <c r="BT750" s="18"/>
      <c r="CA750" s="18"/>
      <c r="CH750" s="18"/>
      <c r="DF750" s="31" t="str">
        <f t="shared" si="26"/>
        <v xml:space="preserve">  </v>
      </c>
      <c r="DG750" s="25" t="str">
        <f t="shared" si="27"/>
        <v/>
      </c>
      <c r="DH750" s="25" t="str">
        <f>BasicInput!$D$13&amp;$DH$2&amp;B750&amp;"_"&amp;C750&amp;D750&amp;"_"&amp;BasicInput!$D$7&amp;BasicInput!$D$8&amp;"_"&amp;DG750&amp;".xuf"</f>
        <v>C:\PWWORKING\east01\d2591108\Ramps\__2019EX_PM_.xuf</v>
      </c>
    </row>
    <row r="751" spans="39:112" x14ac:dyDescent="0.2">
      <c r="AM751" s="18"/>
      <c r="AS751" s="18"/>
      <c r="AX751" s="17"/>
      <c r="BI751" s="18"/>
      <c r="BO751" s="18"/>
      <c r="BT751" s="18"/>
      <c r="CA751" s="18"/>
      <c r="CH751" s="18"/>
      <c r="DF751" s="31" t="str">
        <f t="shared" si="26"/>
        <v xml:space="preserve">  </v>
      </c>
      <c r="DG751" s="25" t="str">
        <f t="shared" si="27"/>
        <v/>
      </c>
      <c r="DH751" s="25" t="str">
        <f>BasicInput!$D$13&amp;$DH$2&amp;B751&amp;"_"&amp;C751&amp;D751&amp;"_"&amp;BasicInput!$D$7&amp;BasicInput!$D$8&amp;"_"&amp;DG751&amp;".xuf"</f>
        <v>C:\PWWORKING\east01\d2591108\Ramps\__2019EX_PM_.xuf</v>
      </c>
    </row>
    <row r="752" spans="39:112" x14ac:dyDescent="0.2">
      <c r="AM752" s="18"/>
      <c r="AS752" s="18"/>
      <c r="AX752" s="17"/>
      <c r="BI752" s="18"/>
      <c r="BO752" s="18"/>
      <c r="BT752" s="18"/>
      <c r="CA752" s="18"/>
      <c r="CH752" s="18"/>
      <c r="DF752" s="31" t="str">
        <f t="shared" si="26"/>
        <v xml:space="preserve">  </v>
      </c>
      <c r="DG752" s="25" t="str">
        <f t="shared" si="27"/>
        <v/>
      </c>
      <c r="DH752" s="25" t="str">
        <f>BasicInput!$D$13&amp;$DH$2&amp;B752&amp;"_"&amp;C752&amp;D752&amp;"_"&amp;BasicInput!$D$7&amp;BasicInput!$D$8&amp;"_"&amp;DG752&amp;".xuf"</f>
        <v>C:\PWWORKING\east01\d2591108\Ramps\__2019EX_PM_.xuf</v>
      </c>
    </row>
    <row r="753" spans="39:112" x14ac:dyDescent="0.2">
      <c r="AM753" s="18"/>
      <c r="AS753" s="18"/>
      <c r="AX753" s="17"/>
      <c r="BI753" s="18"/>
      <c r="BO753" s="18"/>
      <c r="BT753" s="18"/>
      <c r="CA753" s="18"/>
      <c r="CH753" s="18"/>
      <c r="DF753" s="31" t="str">
        <f t="shared" si="26"/>
        <v xml:space="preserve">  </v>
      </c>
      <c r="DG753" s="25" t="str">
        <f t="shared" si="27"/>
        <v/>
      </c>
      <c r="DH753" s="25" t="str">
        <f>BasicInput!$D$13&amp;$DH$2&amp;B753&amp;"_"&amp;C753&amp;D753&amp;"_"&amp;BasicInput!$D$7&amp;BasicInput!$D$8&amp;"_"&amp;DG753&amp;".xuf"</f>
        <v>C:\PWWORKING\east01\d2591108\Ramps\__2019EX_PM_.xuf</v>
      </c>
    </row>
    <row r="754" spans="39:112" x14ac:dyDescent="0.2">
      <c r="AM754" s="18"/>
      <c r="AS754" s="18"/>
      <c r="AX754" s="17"/>
      <c r="BI754" s="18"/>
      <c r="BO754" s="18"/>
      <c r="BT754" s="18"/>
      <c r="CA754" s="18"/>
      <c r="CH754" s="18"/>
      <c r="DF754" s="31" t="str">
        <f t="shared" si="26"/>
        <v xml:space="preserve">  </v>
      </c>
      <c r="DG754" s="25" t="str">
        <f t="shared" si="27"/>
        <v/>
      </c>
      <c r="DH754" s="25" t="str">
        <f>BasicInput!$D$13&amp;$DH$2&amp;B754&amp;"_"&amp;C754&amp;D754&amp;"_"&amp;BasicInput!$D$7&amp;BasicInput!$D$8&amp;"_"&amp;DG754&amp;".xuf"</f>
        <v>C:\PWWORKING\east01\d2591108\Ramps\__2019EX_PM_.xuf</v>
      </c>
    </row>
    <row r="755" spans="39:112" x14ac:dyDescent="0.2">
      <c r="AM755" s="18"/>
      <c r="AS755" s="18"/>
      <c r="AX755" s="17"/>
      <c r="BI755" s="18"/>
      <c r="BO755" s="18"/>
      <c r="BT755" s="18"/>
      <c r="CA755" s="18"/>
      <c r="CH755" s="18"/>
      <c r="DF755" s="31" t="str">
        <f t="shared" si="26"/>
        <v xml:space="preserve">  </v>
      </c>
      <c r="DG755" s="25" t="str">
        <f t="shared" si="27"/>
        <v/>
      </c>
      <c r="DH755" s="25" t="str">
        <f>BasicInput!$D$13&amp;$DH$2&amp;B755&amp;"_"&amp;C755&amp;D755&amp;"_"&amp;BasicInput!$D$7&amp;BasicInput!$D$8&amp;"_"&amp;DG755&amp;".xuf"</f>
        <v>C:\PWWORKING\east01\d2591108\Ramps\__2019EX_PM_.xuf</v>
      </c>
    </row>
    <row r="756" spans="39:112" x14ac:dyDescent="0.2">
      <c r="AM756" s="18"/>
      <c r="AS756" s="18"/>
      <c r="AX756" s="17"/>
      <c r="BI756" s="18"/>
      <c r="BO756" s="18"/>
      <c r="BT756" s="18"/>
      <c r="CA756" s="18"/>
      <c r="CH756" s="18"/>
      <c r="DF756" s="31" t="str">
        <f t="shared" si="26"/>
        <v xml:space="preserve">  </v>
      </c>
      <c r="DG756" s="25" t="str">
        <f t="shared" si="27"/>
        <v/>
      </c>
      <c r="DH756" s="25" t="str">
        <f>BasicInput!$D$13&amp;$DH$2&amp;B756&amp;"_"&amp;C756&amp;D756&amp;"_"&amp;BasicInput!$D$7&amp;BasicInput!$D$8&amp;"_"&amp;DG756&amp;".xuf"</f>
        <v>C:\PWWORKING\east01\d2591108\Ramps\__2019EX_PM_.xuf</v>
      </c>
    </row>
    <row r="757" spans="39:112" x14ac:dyDescent="0.2">
      <c r="AM757" s="18"/>
      <c r="AS757" s="18"/>
      <c r="AX757" s="17"/>
      <c r="BI757" s="18"/>
      <c r="BO757" s="18"/>
      <c r="BT757" s="18"/>
      <c r="CA757" s="18"/>
      <c r="CH757" s="18"/>
      <c r="DF757" s="31" t="str">
        <f t="shared" si="26"/>
        <v xml:space="preserve">  </v>
      </c>
      <c r="DG757" s="25" t="str">
        <f t="shared" si="27"/>
        <v/>
      </c>
      <c r="DH757" s="25" t="str">
        <f>BasicInput!$D$13&amp;$DH$2&amp;B757&amp;"_"&amp;C757&amp;D757&amp;"_"&amp;BasicInput!$D$7&amp;BasicInput!$D$8&amp;"_"&amp;DG757&amp;".xuf"</f>
        <v>C:\PWWORKING\east01\d2591108\Ramps\__2019EX_PM_.xuf</v>
      </c>
    </row>
    <row r="758" spans="39:112" x14ac:dyDescent="0.2">
      <c r="AM758" s="18"/>
      <c r="AS758" s="18"/>
      <c r="AX758" s="17"/>
      <c r="BI758" s="18"/>
      <c r="BO758" s="18"/>
      <c r="BT758" s="18"/>
      <c r="CA758" s="18"/>
      <c r="CH758" s="18"/>
      <c r="DF758" s="31" t="str">
        <f t="shared" si="26"/>
        <v xml:space="preserve">  </v>
      </c>
      <c r="DG758" s="25" t="str">
        <f t="shared" si="27"/>
        <v/>
      </c>
      <c r="DH758" s="25" t="str">
        <f>BasicInput!$D$13&amp;$DH$2&amp;B758&amp;"_"&amp;C758&amp;D758&amp;"_"&amp;BasicInput!$D$7&amp;BasicInput!$D$8&amp;"_"&amp;DG758&amp;".xuf"</f>
        <v>C:\PWWORKING\east01\d2591108\Ramps\__2019EX_PM_.xuf</v>
      </c>
    </row>
    <row r="759" spans="39:112" x14ac:dyDescent="0.2">
      <c r="AM759" s="18"/>
      <c r="AS759" s="18"/>
      <c r="AX759" s="17"/>
      <c r="BI759" s="18"/>
      <c r="BO759" s="18"/>
      <c r="BT759" s="18"/>
      <c r="CA759" s="18"/>
      <c r="CH759" s="18"/>
      <c r="DF759" s="31" t="str">
        <f t="shared" si="26"/>
        <v xml:space="preserve">  </v>
      </c>
      <c r="DG759" s="25" t="str">
        <f t="shared" si="27"/>
        <v/>
      </c>
      <c r="DH759" s="25" t="str">
        <f>BasicInput!$D$13&amp;$DH$2&amp;B759&amp;"_"&amp;C759&amp;D759&amp;"_"&amp;BasicInput!$D$7&amp;BasicInput!$D$8&amp;"_"&amp;DG759&amp;".xuf"</f>
        <v>C:\PWWORKING\east01\d2591108\Ramps\__2019EX_PM_.xuf</v>
      </c>
    </row>
    <row r="760" spans="39:112" x14ac:dyDescent="0.2">
      <c r="AM760" s="18"/>
      <c r="AS760" s="18"/>
      <c r="AX760" s="17"/>
      <c r="BI760" s="18"/>
      <c r="BO760" s="18"/>
      <c r="BT760" s="18"/>
      <c r="CA760" s="18"/>
      <c r="CH760" s="18"/>
      <c r="DF760" s="31" t="str">
        <f t="shared" si="26"/>
        <v xml:space="preserve">  </v>
      </c>
      <c r="DG760" s="25" t="str">
        <f t="shared" si="27"/>
        <v/>
      </c>
      <c r="DH760" s="25" t="str">
        <f>BasicInput!$D$13&amp;$DH$2&amp;B760&amp;"_"&amp;C760&amp;D760&amp;"_"&amp;BasicInput!$D$7&amp;BasicInput!$D$8&amp;"_"&amp;DG760&amp;".xuf"</f>
        <v>C:\PWWORKING\east01\d2591108\Ramps\__2019EX_PM_.xuf</v>
      </c>
    </row>
    <row r="761" spans="39:112" x14ac:dyDescent="0.2">
      <c r="AM761" s="18"/>
      <c r="AS761" s="18"/>
      <c r="AX761" s="17"/>
      <c r="BI761" s="18"/>
      <c r="BO761" s="18"/>
      <c r="BT761" s="18"/>
      <c r="CA761" s="18"/>
      <c r="CH761" s="18"/>
      <c r="DF761" s="31" t="str">
        <f t="shared" si="26"/>
        <v xml:space="preserve">  </v>
      </c>
      <c r="DG761" s="25" t="str">
        <f t="shared" si="27"/>
        <v/>
      </c>
      <c r="DH761" s="25" t="str">
        <f>BasicInput!$D$13&amp;$DH$2&amp;B761&amp;"_"&amp;C761&amp;D761&amp;"_"&amp;BasicInput!$D$7&amp;BasicInput!$D$8&amp;"_"&amp;DG761&amp;".xuf"</f>
        <v>C:\PWWORKING\east01\d2591108\Ramps\__2019EX_PM_.xuf</v>
      </c>
    </row>
    <row r="762" spans="39:112" x14ac:dyDescent="0.2">
      <c r="AM762" s="18"/>
      <c r="AS762" s="18"/>
      <c r="AX762" s="17"/>
      <c r="BI762" s="18"/>
      <c r="BO762" s="18"/>
      <c r="BT762" s="18"/>
      <c r="CA762" s="18"/>
      <c r="CH762" s="18"/>
      <c r="DF762" s="31" t="str">
        <f t="shared" si="26"/>
        <v xml:space="preserve">  </v>
      </c>
      <c r="DG762" s="25" t="str">
        <f t="shared" si="27"/>
        <v/>
      </c>
      <c r="DH762" s="25" t="str">
        <f>BasicInput!$D$13&amp;$DH$2&amp;B762&amp;"_"&amp;C762&amp;D762&amp;"_"&amp;BasicInput!$D$7&amp;BasicInput!$D$8&amp;"_"&amp;DG762&amp;".xuf"</f>
        <v>C:\PWWORKING\east01\d2591108\Ramps\__2019EX_PM_.xuf</v>
      </c>
    </row>
    <row r="763" spans="39:112" x14ac:dyDescent="0.2">
      <c r="AM763" s="18"/>
      <c r="AS763" s="18"/>
      <c r="AX763" s="17"/>
      <c r="BI763" s="18"/>
      <c r="BO763" s="18"/>
      <c r="BT763" s="18"/>
      <c r="CA763" s="18"/>
      <c r="CH763" s="18"/>
      <c r="DF763" s="31" t="str">
        <f t="shared" si="26"/>
        <v xml:space="preserve">  </v>
      </c>
      <c r="DG763" s="25" t="str">
        <f t="shared" si="27"/>
        <v/>
      </c>
      <c r="DH763" s="25" t="str">
        <f>BasicInput!$D$13&amp;$DH$2&amp;B763&amp;"_"&amp;C763&amp;D763&amp;"_"&amp;BasicInput!$D$7&amp;BasicInput!$D$8&amp;"_"&amp;DG763&amp;".xuf"</f>
        <v>C:\PWWORKING\east01\d2591108\Ramps\__2019EX_PM_.xuf</v>
      </c>
    </row>
    <row r="764" spans="39:112" x14ac:dyDescent="0.2">
      <c r="AM764" s="18"/>
      <c r="AS764" s="18"/>
      <c r="AX764" s="17"/>
      <c r="BI764" s="18"/>
      <c r="BO764" s="18"/>
      <c r="BT764" s="18"/>
      <c r="CA764" s="18"/>
      <c r="CH764" s="18"/>
      <c r="DF764" s="31" t="str">
        <f t="shared" si="26"/>
        <v xml:space="preserve">  </v>
      </c>
      <c r="DG764" s="25" t="str">
        <f t="shared" si="27"/>
        <v/>
      </c>
      <c r="DH764" s="25" t="str">
        <f>BasicInput!$D$13&amp;$DH$2&amp;B764&amp;"_"&amp;C764&amp;D764&amp;"_"&amp;BasicInput!$D$7&amp;BasicInput!$D$8&amp;"_"&amp;DG764&amp;".xuf"</f>
        <v>C:\PWWORKING\east01\d2591108\Ramps\__2019EX_PM_.xuf</v>
      </c>
    </row>
    <row r="765" spans="39:112" x14ac:dyDescent="0.2">
      <c r="AM765" s="18"/>
      <c r="AS765" s="18"/>
      <c r="AX765" s="17"/>
      <c r="BI765" s="18"/>
      <c r="BO765" s="18"/>
      <c r="BT765" s="18"/>
      <c r="CA765" s="18"/>
      <c r="CH765" s="18"/>
      <c r="DF765" s="31" t="str">
        <f t="shared" si="26"/>
        <v xml:space="preserve">  </v>
      </c>
      <c r="DG765" s="25" t="str">
        <f t="shared" si="27"/>
        <v/>
      </c>
      <c r="DH765" s="25" t="str">
        <f>BasicInput!$D$13&amp;$DH$2&amp;B765&amp;"_"&amp;C765&amp;D765&amp;"_"&amp;BasicInput!$D$7&amp;BasicInput!$D$8&amp;"_"&amp;DG765&amp;".xuf"</f>
        <v>C:\PWWORKING\east01\d2591108\Ramps\__2019EX_PM_.xuf</v>
      </c>
    </row>
    <row r="766" spans="39:112" x14ac:dyDescent="0.2">
      <c r="AM766" s="18"/>
      <c r="AS766" s="18"/>
      <c r="AX766" s="17"/>
      <c r="BI766" s="18"/>
      <c r="BO766" s="18"/>
      <c r="BT766" s="18"/>
      <c r="CA766" s="18"/>
      <c r="CH766" s="18"/>
      <c r="DF766" s="31" t="str">
        <f t="shared" si="26"/>
        <v xml:space="preserve">  </v>
      </c>
      <c r="DG766" s="25" t="str">
        <f t="shared" si="27"/>
        <v/>
      </c>
      <c r="DH766" s="25" t="str">
        <f>BasicInput!$D$13&amp;$DH$2&amp;B766&amp;"_"&amp;C766&amp;D766&amp;"_"&amp;BasicInput!$D$7&amp;BasicInput!$D$8&amp;"_"&amp;DG766&amp;".xuf"</f>
        <v>C:\PWWORKING\east01\d2591108\Ramps\__2019EX_PM_.xuf</v>
      </c>
    </row>
    <row r="767" spans="39:112" x14ac:dyDescent="0.2">
      <c r="AM767" s="18"/>
      <c r="AS767" s="18"/>
      <c r="AX767" s="17"/>
      <c r="BI767" s="18"/>
      <c r="BO767" s="18"/>
      <c r="BT767" s="18"/>
      <c r="CA767" s="18"/>
      <c r="CH767" s="18"/>
      <c r="DF767" s="31" t="str">
        <f t="shared" si="26"/>
        <v xml:space="preserve">  </v>
      </c>
      <c r="DG767" s="25" t="str">
        <f t="shared" si="27"/>
        <v/>
      </c>
      <c r="DH767" s="25" t="str">
        <f>BasicInput!$D$13&amp;$DH$2&amp;B767&amp;"_"&amp;C767&amp;D767&amp;"_"&amp;BasicInput!$D$7&amp;BasicInput!$D$8&amp;"_"&amp;DG767&amp;".xuf"</f>
        <v>C:\PWWORKING\east01\d2591108\Ramps\__2019EX_PM_.xuf</v>
      </c>
    </row>
    <row r="768" spans="39:112" x14ac:dyDescent="0.2">
      <c r="AM768" s="18"/>
      <c r="AS768" s="18"/>
      <c r="AX768" s="17"/>
      <c r="BI768" s="18"/>
      <c r="BO768" s="18"/>
      <c r="BT768" s="18"/>
      <c r="CA768" s="18"/>
      <c r="CH768" s="18"/>
      <c r="DF768" s="31" t="str">
        <f t="shared" si="26"/>
        <v xml:space="preserve">  </v>
      </c>
      <c r="DG768" s="25" t="str">
        <f t="shared" si="27"/>
        <v/>
      </c>
      <c r="DH768" s="25" t="str">
        <f>BasicInput!$D$13&amp;$DH$2&amp;B768&amp;"_"&amp;C768&amp;D768&amp;"_"&amp;BasicInput!$D$7&amp;BasicInput!$D$8&amp;"_"&amp;DG768&amp;".xuf"</f>
        <v>C:\PWWORKING\east01\d2591108\Ramps\__2019EX_PM_.xuf</v>
      </c>
    </row>
    <row r="769" spans="39:112" x14ac:dyDescent="0.2">
      <c r="AM769" s="18"/>
      <c r="AS769" s="18"/>
      <c r="AX769" s="17"/>
      <c r="BI769" s="18"/>
      <c r="BO769" s="18"/>
      <c r="BT769" s="18"/>
      <c r="CA769" s="18"/>
      <c r="CH769" s="18"/>
      <c r="DF769" s="31" t="str">
        <f t="shared" si="26"/>
        <v xml:space="preserve">  </v>
      </c>
      <c r="DG769" s="25" t="str">
        <f t="shared" si="27"/>
        <v/>
      </c>
      <c r="DH769" s="25" t="str">
        <f>BasicInput!$D$13&amp;$DH$2&amp;B769&amp;"_"&amp;C769&amp;D769&amp;"_"&amp;BasicInput!$D$7&amp;BasicInput!$D$8&amp;"_"&amp;DG769&amp;".xuf"</f>
        <v>C:\PWWORKING\east01\d2591108\Ramps\__2019EX_PM_.xuf</v>
      </c>
    </row>
    <row r="770" spans="39:112" x14ac:dyDescent="0.2">
      <c r="AM770" s="18"/>
      <c r="AS770" s="18"/>
      <c r="AX770" s="17"/>
      <c r="BI770" s="18"/>
      <c r="BO770" s="18"/>
      <c r="BT770" s="18"/>
      <c r="CA770" s="18"/>
      <c r="CH770" s="18"/>
      <c r="DF770" s="31" t="str">
        <f t="shared" si="26"/>
        <v xml:space="preserve">  </v>
      </c>
      <c r="DG770" s="25" t="str">
        <f t="shared" si="27"/>
        <v/>
      </c>
      <c r="DH770" s="25" t="str">
        <f>BasicInput!$D$13&amp;$DH$2&amp;B770&amp;"_"&amp;C770&amp;D770&amp;"_"&amp;BasicInput!$D$7&amp;BasicInput!$D$8&amp;"_"&amp;DG770&amp;".xuf"</f>
        <v>C:\PWWORKING\east01\d2591108\Ramps\__2019EX_PM_.xuf</v>
      </c>
    </row>
    <row r="771" spans="39:112" x14ac:dyDescent="0.2">
      <c r="AM771" s="18"/>
      <c r="AS771" s="18"/>
      <c r="AX771" s="17"/>
      <c r="BI771" s="18"/>
      <c r="BO771" s="18"/>
      <c r="BT771" s="18"/>
      <c r="CA771" s="18"/>
      <c r="CH771" s="18"/>
      <c r="DF771" s="31" t="str">
        <f t="shared" si="26"/>
        <v xml:space="preserve">  </v>
      </c>
      <c r="DG771" s="25" t="str">
        <f t="shared" si="27"/>
        <v/>
      </c>
      <c r="DH771" s="25" t="str">
        <f>BasicInput!$D$13&amp;$DH$2&amp;B771&amp;"_"&amp;C771&amp;D771&amp;"_"&amp;BasicInput!$D$7&amp;BasicInput!$D$8&amp;"_"&amp;DG771&amp;".xuf"</f>
        <v>C:\PWWORKING\east01\d2591108\Ramps\__2019EX_PM_.xuf</v>
      </c>
    </row>
    <row r="772" spans="39:112" x14ac:dyDescent="0.2">
      <c r="AM772" s="18"/>
      <c r="AS772" s="18"/>
      <c r="AX772" s="17"/>
      <c r="BI772" s="18"/>
      <c r="BO772" s="18"/>
      <c r="BT772" s="18"/>
      <c r="CA772" s="18"/>
      <c r="CH772" s="18"/>
      <c r="DF772" s="31" t="str">
        <f t="shared" si="26"/>
        <v xml:space="preserve">  </v>
      </c>
      <c r="DG772" s="25" t="str">
        <f t="shared" si="27"/>
        <v/>
      </c>
      <c r="DH772" s="25" t="str">
        <f>BasicInput!$D$13&amp;$DH$2&amp;B772&amp;"_"&amp;C772&amp;D772&amp;"_"&amp;BasicInput!$D$7&amp;BasicInput!$D$8&amp;"_"&amp;DG772&amp;".xuf"</f>
        <v>C:\PWWORKING\east01\d2591108\Ramps\__2019EX_PM_.xuf</v>
      </c>
    </row>
    <row r="773" spans="39:112" x14ac:dyDescent="0.2">
      <c r="AM773" s="18"/>
      <c r="AS773" s="18"/>
      <c r="AX773" s="17"/>
      <c r="BI773" s="18"/>
      <c r="BO773" s="18"/>
      <c r="BT773" s="18"/>
      <c r="CA773" s="18"/>
      <c r="CH773" s="18"/>
      <c r="DF773" s="31" t="str">
        <f t="shared" si="26"/>
        <v xml:space="preserve">  </v>
      </c>
      <c r="DG773" s="25" t="str">
        <f t="shared" si="27"/>
        <v/>
      </c>
      <c r="DH773" s="25" t="str">
        <f>BasicInput!$D$13&amp;$DH$2&amp;B773&amp;"_"&amp;C773&amp;D773&amp;"_"&amp;BasicInput!$D$7&amp;BasicInput!$D$8&amp;"_"&amp;DG773&amp;".xuf"</f>
        <v>C:\PWWORKING\east01\d2591108\Ramps\__2019EX_PM_.xuf</v>
      </c>
    </row>
    <row r="774" spans="39:112" x14ac:dyDescent="0.2">
      <c r="AM774" s="18"/>
      <c r="AS774" s="18"/>
      <c r="AX774" s="17"/>
      <c r="BI774" s="18"/>
      <c r="BO774" s="18"/>
      <c r="BT774" s="18"/>
      <c r="CA774" s="18"/>
      <c r="CH774" s="18"/>
      <c r="DF774" s="31" t="str">
        <f t="shared" si="26"/>
        <v xml:space="preserve">  </v>
      </c>
      <c r="DG774" s="25" t="str">
        <f t="shared" si="27"/>
        <v/>
      </c>
      <c r="DH774" s="25" t="str">
        <f>BasicInput!$D$13&amp;$DH$2&amp;B774&amp;"_"&amp;C774&amp;D774&amp;"_"&amp;BasicInput!$D$7&amp;BasicInput!$D$8&amp;"_"&amp;DG774&amp;".xuf"</f>
        <v>C:\PWWORKING\east01\d2591108\Ramps\__2019EX_PM_.xuf</v>
      </c>
    </row>
    <row r="775" spans="39:112" x14ac:dyDescent="0.2">
      <c r="AM775" s="18"/>
      <c r="AS775" s="18"/>
      <c r="AX775" s="17"/>
      <c r="BI775" s="18"/>
      <c r="BO775" s="18"/>
      <c r="BT775" s="18"/>
      <c r="CA775" s="18"/>
      <c r="CH775" s="18"/>
      <c r="DF775" s="31" t="str">
        <f t="shared" si="26"/>
        <v xml:space="preserve">  </v>
      </c>
      <c r="DG775" s="25" t="str">
        <f t="shared" si="27"/>
        <v/>
      </c>
      <c r="DH775" s="25" t="str">
        <f>BasicInput!$D$13&amp;$DH$2&amp;B775&amp;"_"&amp;C775&amp;D775&amp;"_"&amp;BasicInput!$D$7&amp;BasicInput!$D$8&amp;"_"&amp;DG775&amp;".xuf"</f>
        <v>C:\PWWORKING\east01\d2591108\Ramps\__2019EX_PM_.xuf</v>
      </c>
    </row>
    <row r="776" spans="39:112" x14ac:dyDescent="0.2">
      <c r="AM776" s="18"/>
      <c r="AS776" s="18"/>
      <c r="AX776" s="17"/>
      <c r="BI776" s="18"/>
      <c r="BO776" s="18"/>
      <c r="BT776" s="18"/>
      <c r="CA776" s="18"/>
      <c r="CH776" s="18"/>
      <c r="DF776" s="31" t="str">
        <f t="shared" si="26"/>
        <v xml:space="preserve">  </v>
      </c>
      <c r="DG776" s="25" t="str">
        <f t="shared" si="27"/>
        <v/>
      </c>
      <c r="DH776" s="25" t="str">
        <f>BasicInput!$D$13&amp;$DH$2&amp;B776&amp;"_"&amp;C776&amp;D776&amp;"_"&amp;BasicInput!$D$7&amp;BasicInput!$D$8&amp;"_"&amp;DG776&amp;".xuf"</f>
        <v>C:\PWWORKING\east01\d2591108\Ramps\__2019EX_PM_.xuf</v>
      </c>
    </row>
    <row r="777" spans="39:112" x14ac:dyDescent="0.2">
      <c r="AM777" s="18"/>
      <c r="AS777" s="18"/>
      <c r="AX777" s="17"/>
      <c r="BI777" s="18"/>
      <c r="BO777" s="18"/>
      <c r="BT777" s="18"/>
      <c r="CA777" s="18"/>
      <c r="CH777" s="18"/>
      <c r="DF777" s="31" t="str">
        <f t="shared" si="26"/>
        <v xml:space="preserve">  </v>
      </c>
      <c r="DG777" s="25" t="str">
        <f t="shared" si="27"/>
        <v/>
      </c>
      <c r="DH777" s="25" t="str">
        <f>BasicInput!$D$13&amp;$DH$2&amp;B777&amp;"_"&amp;C777&amp;D777&amp;"_"&amp;BasicInput!$D$7&amp;BasicInput!$D$8&amp;"_"&amp;DG777&amp;".xuf"</f>
        <v>C:\PWWORKING\east01\d2591108\Ramps\__2019EX_PM_.xuf</v>
      </c>
    </row>
    <row r="778" spans="39:112" x14ac:dyDescent="0.2">
      <c r="AM778" s="18"/>
      <c r="AS778" s="18"/>
      <c r="AX778" s="17"/>
      <c r="BI778" s="18"/>
      <c r="BO778" s="18"/>
      <c r="BT778" s="18"/>
      <c r="CA778" s="18"/>
      <c r="CH778" s="18"/>
      <c r="DF778" s="31" t="str">
        <f t="shared" si="26"/>
        <v xml:space="preserve">  </v>
      </c>
      <c r="DG778" s="25" t="str">
        <f t="shared" si="27"/>
        <v/>
      </c>
      <c r="DH778" s="25" t="str">
        <f>BasicInput!$D$13&amp;$DH$2&amp;B778&amp;"_"&amp;C778&amp;D778&amp;"_"&amp;BasicInput!$D$7&amp;BasicInput!$D$8&amp;"_"&amp;DG778&amp;".xuf"</f>
        <v>C:\PWWORKING\east01\d2591108\Ramps\__2019EX_PM_.xuf</v>
      </c>
    </row>
    <row r="779" spans="39:112" x14ac:dyDescent="0.2">
      <c r="AM779" s="18"/>
      <c r="AS779" s="18"/>
      <c r="AX779" s="17"/>
      <c r="BI779" s="18"/>
      <c r="BO779" s="18"/>
      <c r="BT779" s="18"/>
      <c r="CA779" s="18"/>
      <c r="CH779" s="18"/>
      <c r="DF779" s="31" t="str">
        <f t="shared" si="26"/>
        <v xml:space="preserve">  </v>
      </c>
      <c r="DG779" s="25" t="str">
        <f t="shared" si="27"/>
        <v/>
      </c>
      <c r="DH779" s="25" t="str">
        <f>BasicInput!$D$13&amp;$DH$2&amp;B779&amp;"_"&amp;C779&amp;D779&amp;"_"&amp;BasicInput!$D$7&amp;BasicInput!$D$8&amp;"_"&amp;DG779&amp;".xuf"</f>
        <v>C:\PWWORKING\east01\d2591108\Ramps\__2019EX_PM_.xuf</v>
      </c>
    </row>
    <row r="780" spans="39:112" x14ac:dyDescent="0.2">
      <c r="AM780" s="18"/>
      <c r="AS780" s="18"/>
      <c r="AX780" s="17"/>
      <c r="BI780" s="18"/>
      <c r="BO780" s="18"/>
      <c r="BT780" s="18"/>
      <c r="CA780" s="18"/>
      <c r="CH780" s="18"/>
      <c r="DF780" s="31" t="str">
        <f t="shared" si="26"/>
        <v xml:space="preserve">  </v>
      </c>
      <c r="DG780" s="25" t="str">
        <f t="shared" si="27"/>
        <v/>
      </c>
      <c r="DH780" s="25" t="str">
        <f>BasicInput!$D$13&amp;$DH$2&amp;B780&amp;"_"&amp;C780&amp;D780&amp;"_"&amp;BasicInput!$D$7&amp;BasicInput!$D$8&amp;"_"&amp;DG780&amp;".xuf"</f>
        <v>C:\PWWORKING\east01\d2591108\Ramps\__2019EX_PM_.xuf</v>
      </c>
    </row>
    <row r="781" spans="39:112" x14ac:dyDescent="0.2">
      <c r="AM781" s="18"/>
      <c r="AS781" s="18"/>
      <c r="AX781" s="17"/>
      <c r="BI781" s="18"/>
      <c r="BO781" s="18"/>
      <c r="BT781" s="18"/>
      <c r="CA781" s="18"/>
      <c r="CH781" s="18"/>
      <c r="DF781" s="31" t="str">
        <f t="shared" si="26"/>
        <v xml:space="preserve">  </v>
      </c>
      <c r="DG781" s="25" t="str">
        <f t="shared" si="27"/>
        <v/>
      </c>
      <c r="DH781" s="25" t="str">
        <f>BasicInput!$D$13&amp;$DH$2&amp;B781&amp;"_"&amp;C781&amp;D781&amp;"_"&amp;BasicInput!$D$7&amp;BasicInput!$D$8&amp;"_"&amp;DG781&amp;".xuf"</f>
        <v>C:\PWWORKING\east01\d2591108\Ramps\__2019EX_PM_.xuf</v>
      </c>
    </row>
    <row r="782" spans="39:112" x14ac:dyDescent="0.2">
      <c r="AM782" s="18"/>
      <c r="AS782" s="18"/>
      <c r="AX782" s="17"/>
      <c r="BI782" s="18"/>
      <c r="BO782" s="18"/>
      <c r="BT782" s="18"/>
      <c r="CA782" s="18"/>
      <c r="CH782" s="18"/>
      <c r="DF782" s="31" t="str">
        <f t="shared" si="26"/>
        <v xml:space="preserve">  </v>
      </c>
      <c r="DG782" s="25" t="str">
        <f t="shared" si="27"/>
        <v/>
      </c>
      <c r="DH782" s="25" t="str">
        <f>BasicInput!$D$13&amp;$DH$2&amp;B782&amp;"_"&amp;C782&amp;D782&amp;"_"&amp;BasicInput!$D$7&amp;BasicInput!$D$8&amp;"_"&amp;DG782&amp;".xuf"</f>
        <v>C:\PWWORKING\east01\d2591108\Ramps\__2019EX_PM_.xuf</v>
      </c>
    </row>
    <row r="783" spans="39:112" x14ac:dyDescent="0.2">
      <c r="AM783" s="18"/>
      <c r="AS783" s="18"/>
      <c r="AX783" s="17"/>
      <c r="BI783" s="18"/>
      <c r="BO783" s="18"/>
      <c r="BT783" s="18"/>
      <c r="CA783" s="18"/>
      <c r="CH783" s="18"/>
      <c r="DF783" s="31" t="str">
        <f t="shared" si="26"/>
        <v xml:space="preserve">  </v>
      </c>
      <c r="DG783" s="25" t="str">
        <f t="shared" si="27"/>
        <v/>
      </c>
      <c r="DH783" s="25" t="str">
        <f>BasicInput!$D$13&amp;$DH$2&amp;B783&amp;"_"&amp;C783&amp;D783&amp;"_"&amp;BasicInput!$D$7&amp;BasicInput!$D$8&amp;"_"&amp;DG783&amp;".xuf"</f>
        <v>C:\PWWORKING\east01\d2591108\Ramps\__2019EX_PM_.xuf</v>
      </c>
    </row>
    <row r="784" spans="39:112" x14ac:dyDescent="0.2">
      <c r="AM784" s="18"/>
      <c r="AS784" s="18"/>
      <c r="AX784" s="17"/>
      <c r="BI784" s="18"/>
      <c r="BO784" s="18"/>
      <c r="BT784" s="18"/>
      <c r="CA784" s="18"/>
      <c r="CH784" s="18"/>
      <c r="DF784" s="31" t="str">
        <f t="shared" si="26"/>
        <v xml:space="preserve">  </v>
      </c>
      <c r="DG784" s="25" t="str">
        <f t="shared" si="27"/>
        <v/>
      </c>
      <c r="DH784" s="25" t="str">
        <f>BasicInput!$D$13&amp;$DH$2&amp;B784&amp;"_"&amp;C784&amp;D784&amp;"_"&amp;BasicInput!$D$7&amp;BasicInput!$D$8&amp;"_"&amp;DG784&amp;".xuf"</f>
        <v>C:\PWWORKING\east01\d2591108\Ramps\__2019EX_PM_.xuf</v>
      </c>
    </row>
    <row r="785" spans="39:112" x14ac:dyDescent="0.2">
      <c r="AM785" s="18"/>
      <c r="AS785" s="18"/>
      <c r="AX785" s="17"/>
      <c r="BI785" s="18"/>
      <c r="BO785" s="18"/>
      <c r="BT785" s="18"/>
      <c r="CA785" s="18"/>
      <c r="CH785" s="18"/>
      <c r="DF785" s="31" t="str">
        <f t="shared" ref="DF785:DF848" si="28">C785&amp; " "&amp;D785&amp;" " &amp;E785</f>
        <v xml:space="preserve">  </v>
      </c>
      <c r="DG785" s="25" t="str">
        <f t="shared" ref="DG785:DG848" si="29">SUBSTITUTE(E785, "/", "_")</f>
        <v/>
      </c>
      <c r="DH785" s="25" t="str">
        <f>BasicInput!$D$13&amp;$DH$2&amp;B785&amp;"_"&amp;C785&amp;D785&amp;"_"&amp;BasicInput!$D$7&amp;BasicInput!$D$8&amp;"_"&amp;DG785&amp;".xuf"</f>
        <v>C:\PWWORKING\east01\d2591108\Ramps\__2019EX_PM_.xuf</v>
      </c>
    </row>
    <row r="786" spans="39:112" x14ac:dyDescent="0.2">
      <c r="AM786" s="18"/>
      <c r="AS786" s="18"/>
      <c r="AX786" s="17"/>
      <c r="BI786" s="18"/>
      <c r="BO786" s="18"/>
      <c r="BT786" s="18"/>
      <c r="CA786" s="18"/>
      <c r="CH786" s="18"/>
      <c r="DF786" s="31" t="str">
        <f t="shared" si="28"/>
        <v xml:space="preserve">  </v>
      </c>
      <c r="DG786" s="25" t="str">
        <f t="shared" si="29"/>
        <v/>
      </c>
      <c r="DH786" s="25" t="str">
        <f>BasicInput!$D$13&amp;$DH$2&amp;B786&amp;"_"&amp;C786&amp;D786&amp;"_"&amp;BasicInput!$D$7&amp;BasicInput!$D$8&amp;"_"&amp;DG786&amp;".xuf"</f>
        <v>C:\PWWORKING\east01\d2591108\Ramps\__2019EX_PM_.xuf</v>
      </c>
    </row>
    <row r="787" spans="39:112" x14ac:dyDescent="0.2">
      <c r="AM787" s="18"/>
      <c r="AS787" s="18"/>
      <c r="AX787" s="17"/>
      <c r="BI787" s="18"/>
      <c r="BO787" s="18"/>
      <c r="BT787" s="18"/>
      <c r="CA787" s="18"/>
      <c r="CH787" s="18"/>
      <c r="DF787" s="31" t="str">
        <f t="shared" si="28"/>
        <v xml:space="preserve">  </v>
      </c>
      <c r="DG787" s="25" t="str">
        <f t="shared" si="29"/>
        <v/>
      </c>
      <c r="DH787" s="25" t="str">
        <f>BasicInput!$D$13&amp;$DH$2&amp;B787&amp;"_"&amp;C787&amp;D787&amp;"_"&amp;BasicInput!$D$7&amp;BasicInput!$D$8&amp;"_"&amp;DG787&amp;".xuf"</f>
        <v>C:\PWWORKING\east01\d2591108\Ramps\__2019EX_PM_.xuf</v>
      </c>
    </row>
    <row r="788" spans="39:112" x14ac:dyDescent="0.2">
      <c r="AM788" s="18"/>
      <c r="AS788" s="18"/>
      <c r="AX788" s="17"/>
      <c r="BI788" s="18"/>
      <c r="BO788" s="18"/>
      <c r="BT788" s="18"/>
      <c r="CA788" s="18"/>
      <c r="CH788" s="18"/>
      <c r="DF788" s="31" t="str">
        <f t="shared" si="28"/>
        <v xml:space="preserve">  </v>
      </c>
      <c r="DG788" s="25" t="str">
        <f t="shared" si="29"/>
        <v/>
      </c>
      <c r="DH788" s="25" t="str">
        <f>BasicInput!$D$13&amp;$DH$2&amp;B788&amp;"_"&amp;C788&amp;D788&amp;"_"&amp;BasicInput!$D$7&amp;BasicInput!$D$8&amp;"_"&amp;DG788&amp;".xuf"</f>
        <v>C:\PWWORKING\east01\d2591108\Ramps\__2019EX_PM_.xuf</v>
      </c>
    </row>
    <row r="789" spans="39:112" x14ac:dyDescent="0.2">
      <c r="AM789" s="18"/>
      <c r="AS789" s="18"/>
      <c r="AX789" s="17"/>
      <c r="BI789" s="18"/>
      <c r="BO789" s="18"/>
      <c r="BT789" s="18"/>
      <c r="CA789" s="18"/>
      <c r="CH789" s="18"/>
      <c r="DF789" s="31" t="str">
        <f t="shared" si="28"/>
        <v xml:space="preserve">  </v>
      </c>
      <c r="DG789" s="25" t="str">
        <f t="shared" si="29"/>
        <v/>
      </c>
      <c r="DH789" s="25" t="str">
        <f>BasicInput!$D$13&amp;$DH$2&amp;B789&amp;"_"&amp;C789&amp;D789&amp;"_"&amp;BasicInput!$D$7&amp;BasicInput!$D$8&amp;"_"&amp;DG789&amp;".xuf"</f>
        <v>C:\PWWORKING\east01\d2591108\Ramps\__2019EX_PM_.xuf</v>
      </c>
    </row>
    <row r="790" spans="39:112" x14ac:dyDescent="0.2">
      <c r="AM790" s="18"/>
      <c r="AS790" s="18"/>
      <c r="AX790" s="17"/>
      <c r="BI790" s="18"/>
      <c r="BO790" s="18"/>
      <c r="BT790" s="18"/>
      <c r="CA790" s="18"/>
      <c r="CH790" s="18"/>
      <c r="DF790" s="31" t="str">
        <f t="shared" si="28"/>
        <v xml:space="preserve">  </v>
      </c>
      <c r="DG790" s="25" t="str">
        <f t="shared" si="29"/>
        <v/>
      </c>
      <c r="DH790" s="25" t="str">
        <f>BasicInput!$D$13&amp;$DH$2&amp;B790&amp;"_"&amp;C790&amp;D790&amp;"_"&amp;BasicInput!$D$7&amp;BasicInput!$D$8&amp;"_"&amp;DG790&amp;".xuf"</f>
        <v>C:\PWWORKING\east01\d2591108\Ramps\__2019EX_PM_.xuf</v>
      </c>
    </row>
    <row r="791" spans="39:112" x14ac:dyDescent="0.2">
      <c r="AM791" s="18"/>
      <c r="AS791" s="18"/>
      <c r="AX791" s="17"/>
      <c r="BI791" s="18"/>
      <c r="BO791" s="18"/>
      <c r="BT791" s="18"/>
      <c r="CA791" s="18"/>
      <c r="CH791" s="18"/>
      <c r="DF791" s="31" t="str">
        <f t="shared" si="28"/>
        <v xml:space="preserve">  </v>
      </c>
      <c r="DG791" s="25" t="str">
        <f t="shared" si="29"/>
        <v/>
      </c>
      <c r="DH791" s="25" t="str">
        <f>BasicInput!$D$13&amp;$DH$2&amp;B791&amp;"_"&amp;C791&amp;D791&amp;"_"&amp;BasicInput!$D$7&amp;BasicInput!$D$8&amp;"_"&amp;DG791&amp;".xuf"</f>
        <v>C:\PWWORKING\east01\d2591108\Ramps\__2019EX_PM_.xuf</v>
      </c>
    </row>
    <row r="792" spans="39:112" x14ac:dyDescent="0.2">
      <c r="AM792" s="18"/>
      <c r="AS792" s="18"/>
      <c r="AX792" s="17"/>
      <c r="BI792" s="18"/>
      <c r="BO792" s="18"/>
      <c r="BT792" s="18"/>
      <c r="CA792" s="18"/>
      <c r="CH792" s="18"/>
      <c r="DF792" s="31" t="str">
        <f t="shared" si="28"/>
        <v xml:space="preserve">  </v>
      </c>
      <c r="DG792" s="25" t="str">
        <f t="shared" si="29"/>
        <v/>
      </c>
      <c r="DH792" s="25" t="str">
        <f>BasicInput!$D$13&amp;$DH$2&amp;B792&amp;"_"&amp;C792&amp;D792&amp;"_"&amp;BasicInput!$D$7&amp;BasicInput!$D$8&amp;"_"&amp;DG792&amp;".xuf"</f>
        <v>C:\PWWORKING\east01\d2591108\Ramps\__2019EX_PM_.xuf</v>
      </c>
    </row>
    <row r="793" spans="39:112" x14ac:dyDescent="0.2">
      <c r="AM793" s="18"/>
      <c r="AS793" s="18"/>
      <c r="AX793" s="17"/>
      <c r="BI793" s="18"/>
      <c r="BO793" s="18"/>
      <c r="BT793" s="18"/>
      <c r="CA793" s="18"/>
      <c r="CH793" s="18"/>
      <c r="DF793" s="31" t="str">
        <f t="shared" si="28"/>
        <v xml:space="preserve">  </v>
      </c>
      <c r="DG793" s="25" t="str">
        <f t="shared" si="29"/>
        <v/>
      </c>
      <c r="DH793" s="25" t="str">
        <f>BasicInput!$D$13&amp;$DH$2&amp;B793&amp;"_"&amp;C793&amp;D793&amp;"_"&amp;BasicInput!$D$7&amp;BasicInput!$D$8&amp;"_"&amp;DG793&amp;".xuf"</f>
        <v>C:\PWWORKING\east01\d2591108\Ramps\__2019EX_PM_.xuf</v>
      </c>
    </row>
    <row r="794" spans="39:112" x14ac:dyDescent="0.2">
      <c r="AM794" s="18"/>
      <c r="AS794" s="18"/>
      <c r="AX794" s="17"/>
      <c r="BI794" s="18"/>
      <c r="BO794" s="18"/>
      <c r="BT794" s="18"/>
      <c r="CA794" s="18"/>
      <c r="CH794" s="18"/>
      <c r="DF794" s="31" t="str">
        <f t="shared" si="28"/>
        <v xml:space="preserve">  </v>
      </c>
      <c r="DG794" s="25" t="str">
        <f t="shared" si="29"/>
        <v/>
      </c>
      <c r="DH794" s="25" t="str">
        <f>BasicInput!$D$13&amp;$DH$2&amp;B794&amp;"_"&amp;C794&amp;D794&amp;"_"&amp;BasicInput!$D$7&amp;BasicInput!$D$8&amp;"_"&amp;DG794&amp;".xuf"</f>
        <v>C:\PWWORKING\east01\d2591108\Ramps\__2019EX_PM_.xuf</v>
      </c>
    </row>
    <row r="795" spans="39:112" x14ac:dyDescent="0.2">
      <c r="AM795" s="18"/>
      <c r="AS795" s="18"/>
      <c r="AX795" s="17"/>
      <c r="BI795" s="18"/>
      <c r="BO795" s="18"/>
      <c r="BT795" s="18"/>
      <c r="CA795" s="18"/>
      <c r="CH795" s="18"/>
      <c r="DF795" s="31" t="str">
        <f t="shared" si="28"/>
        <v xml:space="preserve">  </v>
      </c>
      <c r="DG795" s="25" t="str">
        <f t="shared" si="29"/>
        <v/>
      </c>
      <c r="DH795" s="25" t="str">
        <f>BasicInput!$D$13&amp;$DH$2&amp;B795&amp;"_"&amp;C795&amp;D795&amp;"_"&amp;BasicInput!$D$7&amp;BasicInput!$D$8&amp;"_"&amp;DG795&amp;".xuf"</f>
        <v>C:\PWWORKING\east01\d2591108\Ramps\__2019EX_PM_.xuf</v>
      </c>
    </row>
    <row r="796" spans="39:112" x14ac:dyDescent="0.2">
      <c r="AM796" s="18"/>
      <c r="AS796" s="18"/>
      <c r="AX796" s="17"/>
      <c r="BI796" s="18"/>
      <c r="BO796" s="18"/>
      <c r="BT796" s="18"/>
      <c r="CA796" s="18"/>
      <c r="CH796" s="18"/>
      <c r="DF796" s="31" t="str">
        <f t="shared" si="28"/>
        <v xml:space="preserve">  </v>
      </c>
      <c r="DG796" s="25" t="str">
        <f t="shared" si="29"/>
        <v/>
      </c>
      <c r="DH796" s="25" t="str">
        <f>BasicInput!$D$13&amp;$DH$2&amp;B796&amp;"_"&amp;C796&amp;D796&amp;"_"&amp;BasicInput!$D$7&amp;BasicInput!$D$8&amp;"_"&amp;DG796&amp;".xuf"</f>
        <v>C:\PWWORKING\east01\d2591108\Ramps\__2019EX_PM_.xuf</v>
      </c>
    </row>
    <row r="797" spans="39:112" x14ac:dyDescent="0.2">
      <c r="AM797" s="18"/>
      <c r="AS797" s="18"/>
      <c r="AX797" s="17"/>
      <c r="BI797" s="18"/>
      <c r="BO797" s="18"/>
      <c r="BT797" s="18"/>
      <c r="CA797" s="18"/>
      <c r="CH797" s="18"/>
      <c r="DF797" s="31" t="str">
        <f t="shared" si="28"/>
        <v xml:space="preserve">  </v>
      </c>
      <c r="DG797" s="25" t="str">
        <f t="shared" si="29"/>
        <v/>
      </c>
      <c r="DH797" s="25" t="str">
        <f>BasicInput!$D$13&amp;$DH$2&amp;B797&amp;"_"&amp;C797&amp;D797&amp;"_"&amp;BasicInput!$D$7&amp;BasicInput!$D$8&amp;"_"&amp;DG797&amp;".xuf"</f>
        <v>C:\PWWORKING\east01\d2591108\Ramps\__2019EX_PM_.xuf</v>
      </c>
    </row>
    <row r="798" spans="39:112" x14ac:dyDescent="0.2">
      <c r="AM798" s="18"/>
      <c r="AS798" s="18"/>
      <c r="AX798" s="17"/>
      <c r="BI798" s="18"/>
      <c r="BO798" s="18"/>
      <c r="BT798" s="18"/>
      <c r="CA798" s="18"/>
      <c r="CH798" s="18"/>
      <c r="DF798" s="31" t="str">
        <f t="shared" si="28"/>
        <v xml:space="preserve">  </v>
      </c>
      <c r="DG798" s="25" t="str">
        <f t="shared" si="29"/>
        <v/>
      </c>
      <c r="DH798" s="25" t="str">
        <f>BasicInput!$D$13&amp;$DH$2&amp;B798&amp;"_"&amp;C798&amp;D798&amp;"_"&amp;BasicInput!$D$7&amp;BasicInput!$D$8&amp;"_"&amp;DG798&amp;".xuf"</f>
        <v>C:\PWWORKING\east01\d2591108\Ramps\__2019EX_PM_.xuf</v>
      </c>
    </row>
    <row r="799" spans="39:112" x14ac:dyDescent="0.2">
      <c r="AM799" s="18"/>
      <c r="AS799" s="18"/>
      <c r="AX799" s="17"/>
      <c r="BI799" s="18"/>
      <c r="BO799" s="18"/>
      <c r="BT799" s="18"/>
      <c r="CA799" s="18"/>
      <c r="CH799" s="18"/>
      <c r="DF799" s="31" t="str">
        <f t="shared" si="28"/>
        <v xml:space="preserve">  </v>
      </c>
      <c r="DG799" s="25" t="str">
        <f t="shared" si="29"/>
        <v/>
      </c>
      <c r="DH799" s="25" t="str">
        <f>BasicInput!$D$13&amp;$DH$2&amp;B799&amp;"_"&amp;C799&amp;D799&amp;"_"&amp;BasicInput!$D$7&amp;BasicInput!$D$8&amp;"_"&amp;DG799&amp;".xuf"</f>
        <v>C:\PWWORKING\east01\d2591108\Ramps\__2019EX_PM_.xuf</v>
      </c>
    </row>
    <row r="800" spans="39:112" x14ac:dyDescent="0.2">
      <c r="AM800" s="18"/>
      <c r="AS800" s="18"/>
      <c r="AX800" s="17"/>
      <c r="BI800" s="18"/>
      <c r="BO800" s="18"/>
      <c r="BT800" s="18"/>
      <c r="CA800" s="18"/>
      <c r="CH800" s="18"/>
      <c r="DF800" s="31" t="str">
        <f t="shared" si="28"/>
        <v xml:space="preserve">  </v>
      </c>
      <c r="DG800" s="25" t="str">
        <f t="shared" si="29"/>
        <v/>
      </c>
      <c r="DH800" s="25" t="str">
        <f>BasicInput!$D$13&amp;$DH$2&amp;B800&amp;"_"&amp;C800&amp;D800&amp;"_"&amp;BasicInput!$D$7&amp;BasicInput!$D$8&amp;"_"&amp;DG800&amp;".xuf"</f>
        <v>C:\PWWORKING\east01\d2591108\Ramps\__2019EX_PM_.xuf</v>
      </c>
    </row>
    <row r="801" spans="39:112" x14ac:dyDescent="0.2">
      <c r="AM801" s="18"/>
      <c r="AS801" s="18"/>
      <c r="AX801" s="17"/>
      <c r="BI801" s="18"/>
      <c r="BO801" s="18"/>
      <c r="BT801" s="18"/>
      <c r="CA801" s="18"/>
      <c r="CH801" s="18"/>
      <c r="DF801" s="31" t="str">
        <f t="shared" si="28"/>
        <v xml:space="preserve">  </v>
      </c>
      <c r="DG801" s="25" t="str">
        <f t="shared" si="29"/>
        <v/>
      </c>
      <c r="DH801" s="25" t="str">
        <f>BasicInput!$D$13&amp;$DH$2&amp;B801&amp;"_"&amp;C801&amp;D801&amp;"_"&amp;BasicInput!$D$7&amp;BasicInput!$D$8&amp;"_"&amp;DG801&amp;".xuf"</f>
        <v>C:\PWWORKING\east01\d2591108\Ramps\__2019EX_PM_.xuf</v>
      </c>
    </row>
    <row r="802" spans="39:112" x14ac:dyDescent="0.2">
      <c r="AM802" s="18"/>
      <c r="AS802" s="18"/>
      <c r="AX802" s="17"/>
      <c r="BI802" s="18"/>
      <c r="BO802" s="18"/>
      <c r="BT802" s="18"/>
      <c r="CA802" s="18"/>
      <c r="CH802" s="18"/>
      <c r="DF802" s="31" t="str">
        <f t="shared" si="28"/>
        <v xml:space="preserve">  </v>
      </c>
      <c r="DG802" s="25" t="str">
        <f t="shared" si="29"/>
        <v/>
      </c>
      <c r="DH802" s="25" t="str">
        <f>BasicInput!$D$13&amp;$DH$2&amp;B802&amp;"_"&amp;C802&amp;D802&amp;"_"&amp;BasicInput!$D$7&amp;BasicInput!$D$8&amp;"_"&amp;DG802&amp;".xuf"</f>
        <v>C:\PWWORKING\east01\d2591108\Ramps\__2019EX_PM_.xuf</v>
      </c>
    </row>
    <row r="803" spans="39:112" x14ac:dyDescent="0.2">
      <c r="AM803" s="18"/>
      <c r="AS803" s="18"/>
      <c r="AX803" s="17"/>
      <c r="BI803" s="18"/>
      <c r="BO803" s="18"/>
      <c r="BT803" s="18"/>
      <c r="CA803" s="18"/>
      <c r="CH803" s="18"/>
      <c r="DF803" s="31" t="str">
        <f t="shared" si="28"/>
        <v xml:space="preserve">  </v>
      </c>
      <c r="DG803" s="25" t="str">
        <f t="shared" si="29"/>
        <v/>
      </c>
      <c r="DH803" s="25" t="str">
        <f>BasicInput!$D$13&amp;$DH$2&amp;B803&amp;"_"&amp;C803&amp;D803&amp;"_"&amp;BasicInput!$D$7&amp;BasicInput!$D$8&amp;"_"&amp;DG803&amp;".xuf"</f>
        <v>C:\PWWORKING\east01\d2591108\Ramps\__2019EX_PM_.xuf</v>
      </c>
    </row>
    <row r="804" spans="39:112" x14ac:dyDescent="0.2">
      <c r="AM804" s="18"/>
      <c r="AS804" s="18"/>
      <c r="AX804" s="17"/>
      <c r="BI804" s="18"/>
      <c r="BO804" s="18"/>
      <c r="BT804" s="18"/>
      <c r="CA804" s="18"/>
      <c r="CH804" s="18"/>
      <c r="DF804" s="31" t="str">
        <f t="shared" si="28"/>
        <v xml:space="preserve">  </v>
      </c>
      <c r="DG804" s="25" t="str">
        <f t="shared" si="29"/>
        <v/>
      </c>
      <c r="DH804" s="25" t="str">
        <f>BasicInput!$D$13&amp;$DH$2&amp;B804&amp;"_"&amp;C804&amp;D804&amp;"_"&amp;BasicInput!$D$7&amp;BasicInput!$D$8&amp;"_"&amp;DG804&amp;".xuf"</f>
        <v>C:\PWWORKING\east01\d2591108\Ramps\__2019EX_PM_.xuf</v>
      </c>
    </row>
    <row r="805" spans="39:112" x14ac:dyDescent="0.2">
      <c r="AM805" s="18"/>
      <c r="AS805" s="18"/>
      <c r="AX805" s="17"/>
      <c r="BI805" s="18"/>
      <c r="BO805" s="18"/>
      <c r="BT805" s="18"/>
      <c r="CA805" s="18"/>
      <c r="CH805" s="18"/>
      <c r="DF805" s="31" t="str">
        <f t="shared" si="28"/>
        <v xml:space="preserve">  </v>
      </c>
      <c r="DG805" s="25" t="str">
        <f t="shared" si="29"/>
        <v/>
      </c>
      <c r="DH805" s="25" t="str">
        <f>BasicInput!$D$13&amp;$DH$2&amp;B805&amp;"_"&amp;C805&amp;D805&amp;"_"&amp;BasicInput!$D$7&amp;BasicInput!$D$8&amp;"_"&amp;DG805&amp;".xuf"</f>
        <v>C:\PWWORKING\east01\d2591108\Ramps\__2019EX_PM_.xuf</v>
      </c>
    </row>
    <row r="806" spans="39:112" x14ac:dyDescent="0.2">
      <c r="AM806" s="18"/>
      <c r="AS806" s="18"/>
      <c r="AX806" s="17"/>
      <c r="BI806" s="18"/>
      <c r="BO806" s="18"/>
      <c r="BT806" s="18"/>
      <c r="CA806" s="18"/>
      <c r="CH806" s="18"/>
      <c r="DF806" s="31" t="str">
        <f t="shared" si="28"/>
        <v xml:space="preserve">  </v>
      </c>
      <c r="DG806" s="25" t="str">
        <f t="shared" si="29"/>
        <v/>
      </c>
      <c r="DH806" s="25" t="str">
        <f>BasicInput!$D$13&amp;$DH$2&amp;B806&amp;"_"&amp;C806&amp;D806&amp;"_"&amp;BasicInput!$D$7&amp;BasicInput!$D$8&amp;"_"&amp;DG806&amp;".xuf"</f>
        <v>C:\PWWORKING\east01\d2591108\Ramps\__2019EX_PM_.xuf</v>
      </c>
    </row>
    <row r="807" spans="39:112" x14ac:dyDescent="0.2">
      <c r="AM807" s="18"/>
      <c r="AS807" s="18"/>
      <c r="AX807" s="17"/>
      <c r="BI807" s="18"/>
      <c r="BO807" s="18"/>
      <c r="BT807" s="18"/>
      <c r="CA807" s="18"/>
      <c r="CH807" s="18"/>
      <c r="DF807" s="31" t="str">
        <f t="shared" si="28"/>
        <v xml:space="preserve">  </v>
      </c>
      <c r="DG807" s="25" t="str">
        <f t="shared" si="29"/>
        <v/>
      </c>
      <c r="DH807" s="25" t="str">
        <f>BasicInput!$D$13&amp;$DH$2&amp;B807&amp;"_"&amp;C807&amp;D807&amp;"_"&amp;BasicInput!$D$7&amp;BasicInput!$D$8&amp;"_"&amp;DG807&amp;".xuf"</f>
        <v>C:\PWWORKING\east01\d2591108\Ramps\__2019EX_PM_.xuf</v>
      </c>
    </row>
    <row r="808" spans="39:112" x14ac:dyDescent="0.2">
      <c r="AM808" s="18"/>
      <c r="AS808" s="18"/>
      <c r="AX808" s="17"/>
      <c r="BI808" s="18"/>
      <c r="BO808" s="18"/>
      <c r="BT808" s="18"/>
      <c r="CA808" s="18"/>
      <c r="CH808" s="18"/>
      <c r="DF808" s="31" t="str">
        <f t="shared" si="28"/>
        <v xml:space="preserve">  </v>
      </c>
      <c r="DG808" s="25" t="str">
        <f t="shared" si="29"/>
        <v/>
      </c>
      <c r="DH808" s="25" t="str">
        <f>BasicInput!$D$13&amp;$DH$2&amp;B808&amp;"_"&amp;C808&amp;D808&amp;"_"&amp;BasicInput!$D$7&amp;BasicInput!$D$8&amp;"_"&amp;DG808&amp;".xuf"</f>
        <v>C:\PWWORKING\east01\d2591108\Ramps\__2019EX_PM_.xuf</v>
      </c>
    </row>
    <row r="809" spans="39:112" x14ac:dyDescent="0.2">
      <c r="AM809" s="18"/>
      <c r="AS809" s="18"/>
      <c r="AX809" s="17"/>
      <c r="BI809" s="18"/>
      <c r="BO809" s="18"/>
      <c r="BT809" s="18"/>
      <c r="CA809" s="18"/>
      <c r="CH809" s="18"/>
      <c r="DF809" s="31" t="str">
        <f t="shared" si="28"/>
        <v xml:space="preserve">  </v>
      </c>
      <c r="DG809" s="25" t="str">
        <f t="shared" si="29"/>
        <v/>
      </c>
      <c r="DH809" s="25" t="str">
        <f>BasicInput!$D$13&amp;$DH$2&amp;B809&amp;"_"&amp;C809&amp;D809&amp;"_"&amp;BasicInput!$D$7&amp;BasicInput!$D$8&amp;"_"&amp;DG809&amp;".xuf"</f>
        <v>C:\PWWORKING\east01\d2591108\Ramps\__2019EX_PM_.xuf</v>
      </c>
    </row>
    <row r="810" spans="39:112" x14ac:dyDescent="0.2">
      <c r="AM810" s="18"/>
      <c r="AS810" s="18"/>
      <c r="AX810" s="17"/>
      <c r="BI810" s="18"/>
      <c r="BO810" s="18"/>
      <c r="BT810" s="18"/>
      <c r="CA810" s="18"/>
      <c r="CH810" s="18"/>
      <c r="DF810" s="31" t="str">
        <f t="shared" si="28"/>
        <v xml:space="preserve">  </v>
      </c>
      <c r="DG810" s="25" t="str">
        <f t="shared" si="29"/>
        <v/>
      </c>
      <c r="DH810" s="25" t="str">
        <f>BasicInput!$D$13&amp;$DH$2&amp;B810&amp;"_"&amp;C810&amp;D810&amp;"_"&amp;BasicInput!$D$7&amp;BasicInput!$D$8&amp;"_"&amp;DG810&amp;".xuf"</f>
        <v>C:\PWWORKING\east01\d2591108\Ramps\__2019EX_PM_.xuf</v>
      </c>
    </row>
    <row r="811" spans="39:112" x14ac:dyDescent="0.2">
      <c r="AM811" s="18"/>
      <c r="AS811" s="18"/>
      <c r="AX811" s="17"/>
      <c r="BI811" s="18"/>
      <c r="BO811" s="18"/>
      <c r="BT811" s="18"/>
      <c r="CA811" s="18"/>
      <c r="CH811" s="18"/>
      <c r="DF811" s="31" t="str">
        <f t="shared" si="28"/>
        <v xml:space="preserve">  </v>
      </c>
      <c r="DG811" s="25" t="str">
        <f t="shared" si="29"/>
        <v/>
      </c>
      <c r="DH811" s="25" t="str">
        <f>BasicInput!$D$13&amp;$DH$2&amp;B811&amp;"_"&amp;C811&amp;D811&amp;"_"&amp;BasicInput!$D$7&amp;BasicInput!$D$8&amp;"_"&amp;DG811&amp;".xuf"</f>
        <v>C:\PWWORKING\east01\d2591108\Ramps\__2019EX_PM_.xuf</v>
      </c>
    </row>
    <row r="812" spans="39:112" x14ac:dyDescent="0.2">
      <c r="AM812" s="18"/>
      <c r="AS812" s="18"/>
      <c r="AX812" s="17"/>
      <c r="BI812" s="18"/>
      <c r="BO812" s="18"/>
      <c r="BT812" s="18"/>
      <c r="CA812" s="18"/>
      <c r="CH812" s="18"/>
      <c r="DF812" s="31" t="str">
        <f t="shared" si="28"/>
        <v xml:space="preserve">  </v>
      </c>
      <c r="DG812" s="25" t="str">
        <f t="shared" si="29"/>
        <v/>
      </c>
      <c r="DH812" s="25" t="str">
        <f>BasicInput!$D$13&amp;$DH$2&amp;B812&amp;"_"&amp;C812&amp;D812&amp;"_"&amp;BasicInput!$D$7&amp;BasicInput!$D$8&amp;"_"&amp;DG812&amp;".xuf"</f>
        <v>C:\PWWORKING\east01\d2591108\Ramps\__2019EX_PM_.xuf</v>
      </c>
    </row>
    <row r="813" spans="39:112" x14ac:dyDescent="0.2">
      <c r="AM813" s="18"/>
      <c r="AS813" s="18"/>
      <c r="AX813" s="17"/>
      <c r="BI813" s="18"/>
      <c r="BO813" s="18"/>
      <c r="BT813" s="18"/>
      <c r="CA813" s="18"/>
      <c r="CH813" s="18"/>
      <c r="DF813" s="31" t="str">
        <f t="shared" si="28"/>
        <v xml:space="preserve">  </v>
      </c>
      <c r="DG813" s="25" t="str">
        <f t="shared" si="29"/>
        <v/>
      </c>
      <c r="DH813" s="25" t="str">
        <f>BasicInput!$D$13&amp;$DH$2&amp;B813&amp;"_"&amp;C813&amp;D813&amp;"_"&amp;BasicInput!$D$7&amp;BasicInput!$D$8&amp;"_"&amp;DG813&amp;".xuf"</f>
        <v>C:\PWWORKING\east01\d2591108\Ramps\__2019EX_PM_.xuf</v>
      </c>
    </row>
    <row r="814" spans="39:112" x14ac:dyDescent="0.2">
      <c r="AM814" s="18"/>
      <c r="AS814" s="18"/>
      <c r="AX814" s="17"/>
      <c r="BI814" s="18"/>
      <c r="BO814" s="18"/>
      <c r="BT814" s="18"/>
      <c r="CA814" s="18"/>
      <c r="CH814" s="18"/>
      <c r="DF814" s="31" t="str">
        <f t="shared" si="28"/>
        <v xml:space="preserve">  </v>
      </c>
      <c r="DG814" s="25" t="str">
        <f t="shared" si="29"/>
        <v/>
      </c>
      <c r="DH814" s="25" t="str">
        <f>BasicInput!$D$13&amp;$DH$2&amp;B814&amp;"_"&amp;C814&amp;D814&amp;"_"&amp;BasicInput!$D$7&amp;BasicInput!$D$8&amp;"_"&amp;DG814&amp;".xuf"</f>
        <v>C:\PWWORKING\east01\d2591108\Ramps\__2019EX_PM_.xuf</v>
      </c>
    </row>
    <row r="815" spans="39:112" x14ac:dyDescent="0.2">
      <c r="AM815" s="18"/>
      <c r="AS815" s="18"/>
      <c r="AX815" s="17"/>
      <c r="BI815" s="18"/>
      <c r="BO815" s="18"/>
      <c r="BT815" s="18"/>
      <c r="CA815" s="18"/>
      <c r="CH815" s="18"/>
      <c r="DF815" s="31" t="str">
        <f t="shared" si="28"/>
        <v xml:space="preserve">  </v>
      </c>
      <c r="DG815" s="25" t="str">
        <f t="shared" si="29"/>
        <v/>
      </c>
      <c r="DH815" s="25" t="str">
        <f>BasicInput!$D$13&amp;$DH$2&amp;B815&amp;"_"&amp;C815&amp;D815&amp;"_"&amp;BasicInput!$D$7&amp;BasicInput!$D$8&amp;"_"&amp;DG815&amp;".xuf"</f>
        <v>C:\PWWORKING\east01\d2591108\Ramps\__2019EX_PM_.xuf</v>
      </c>
    </row>
    <row r="816" spans="39:112" x14ac:dyDescent="0.2">
      <c r="AM816" s="18"/>
      <c r="AS816" s="18"/>
      <c r="AX816" s="17"/>
      <c r="BI816" s="18"/>
      <c r="BO816" s="18"/>
      <c r="BT816" s="18"/>
      <c r="CA816" s="18"/>
      <c r="CH816" s="18"/>
      <c r="DF816" s="31" t="str">
        <f t="shared" si="28"/>
        <v xml:space="preserve">  </v>
      </c>
      <c r="DG816" s="25" t="str">
        <f t="shared" si="29"/>
        <v/>
      </c>
      <c r="DH816" s="25" t="str">
        <f>BasicInput!$D$13&amp;$DH$2&amp;B816&amp;"_"&amp;C816&amp;D816&amp;"_"&amp;BasicInput!$D$7&amp;BasicInput!$D$8&amp;"_"&amp;DG816&amp;".xuf"</f>
        <v>C:\PWWORKING\east01\d2591108\Ramps\__2019EX_PM_.xuf</v>
      </c>
    </row>
    <row r="817" spans="39:112" x14ac:dyDescent="0.2">
      <c r="AM817" s="18"/>
      <c r="AS817" s="18"/>
      <c r="AX817" s="17"/>
      <c r="BI817" s="18"/>
      <c r="BO817" s="18"/>
      <c r="BT817" s="18"/>
      <c r="CA817" s="18"/>
      <c r="CH817" s="18"/>
      <c r="DF817" s="31" t="str">
        <f t="shared" si="28"/>
        <v xml:space="preserve">  </v>
      </c>
      <c r="DG817" s="25" t="str">
        <f t="shared" si="29"/>
        <v/>
      </c>
      <c r="DH817" s="25" t="str">
        <f>BasicInput!$D$13&amp;$DH$2&amp;B817&amp;"_"&amp;C817&amp;D817&amp;"_"&amp;BasicInput!$D$7&amp;BasicInput!$D$8&amp;"_"&amp;DG817&amp;".xuf"</f>
        <v>C:\PWWORKING\east01\d2591108\Ramps\__2019EX_PM_.xuf</v>
      </c>
    </row>
    <row r="818" spans="39:112" x14ac:dyDescent="0.2">
      <c r="AM818" s="18"/>
      <c r="AS818" s="18"/>
      <c r="AX818" s="17"/>
      <c r="BI818" s="18"/>
      <c r="BO818" s="18"/>
      <c r="BT818" s="18"/>
      <c r="CA818" s="18"/>
      <c r="CH818" s="18"/>
      <c r="DF818" s="31" t="str">
        <f t="shared" si="28"/>
        <v xml:space="preserve">  </v>
      </c>
      <c r="DG818" s="25" t="str">
        <f t="shared" si="29"/>
        <v/>
      </c>
      <c r="DH818" s="25" t="str">
        <f>BasicInput!$D$13&amp;$DH$2&amp;B818&amp;"_"&amp;C818&amp;D818&amp;"_"&amp;BasicInput!$D$7&amp;BasicInput!$D$8&amp;"_"&amp;DG818&amp;".xuf"</f>
        <v>C:\PWWORKING\east01\d2591108\Ramps\__2019EX_PM_.xuf</v>
      </c>
    </row>
    <row r="819" spans="39:112" x14ac:dyDescent="0.2">
      <c r="AM819" s="18"/>
      <c r="AS819" s="18"/>
      <c r="AX819" s="17"/>
      <c r="BI819" s="18"/>
      <c r="BO819" s="18"/>
      <c r="BT819" s="18"/>
      <c r="CA819" s="18"/>
      <c r="CH819" s="18"/>
      <c r="DF819" s="31" t="str">
        <f t="shared" si="28"/>
        <v xml:space="preserve">  </v>
      </c>
      <c r="DG819" s="25" t="str">
        <f t="shared" si="29"/>
        <v/>
      </c>
      <c r="DH819" s="25" t="str">
        <f>BasicInput!$D$13&amp;$DH$2&amp;B819&amp;"_"&amp;C819&amp;D819&amp;"_"&amp;BasicInput!$D$7&amp;BasicInput!$D$8&amp;"_"&amp;DG819&amp;".xuf"</f>
        <v>C:\PWWORKING\east01\d2591108\Ramps\__2019EX_PM_.xuf</v>
      </c>
    </row>
    <row r="820" spans="39:112" x14ac:dyDescent="0.2">
      <c r="AM820" s="18"/>
      <c r="AS820" s="18"/>
      <c r="AX820" s="17"/>
      <c r="BI820" s="18"/>
      <c r="BO820" s="18"/>
      <c r="BT820" s="18"/>
      <c r="CA820" s="18"/>
      <c r="CH820" s="18"/>
      <c r="DF820" s="31" t="str">
        <f t="shared" si="28"/>
        <v xml:space="preserve">  </v>
      </c>
      <c r="DG820" s="25" t="str">
        <f t="shared" si="29"/>
        <v/>
      </c>
      <c r="DH820" s="25" t="str">
        <f>BasicInput!$D$13&amp;$DH$2&amp;B820&amp;"_"&amp;C820&amp;D820&amp;"_"&amp;BasicInput!$D$7&amp;BasicInput!$D$8&amp;"_"&amp;DG820&amp;".xuf"</f>
        <v>C:\PWWORKING\east01\d2591108\Ramps\__2019EX_PM_.xuf</v>
      </c>
    </row>
    <row r="821" spans="39:112" x14ac:dyDescent="0.2">
      <c r="AM821" s="18"/>
      <c r="AS821" s="18"/>
      <c r="AX821" s="17"/>
      <c r="BI821" s="18"/>
      <c r="BO821" s="18"/>
      <c r="BT821" s="18"/>
      <c r="CA821" s="18"/>
      <c r="CH821" s="18"/>
      <c r="DF821" s="31" t="str">
        <f t="shared" si="28"/>
        <v xml:space="preserve">  </v>
      </c>
      <c r="DG821" s="25" t="str">
        <f t="shared" si="29"/>
        <v/>
      </c>
      <c r="DH821" s="25" t="str">
        <f>BasicInput!$D$13&amp;$DH$2&amp;B821&amp;"_"&amp;C821&amp;D821&amp;"_"&amp;BasicInput!$D$7&amp;BasicInput!$D$8&amp;"_"&amp;DG821&amp;".xuf"</f>
        <v>C:\PWWORKING\east01\d2591108\Ramps\__2019EX_PM_.xuf</v>
      </c>
    </row>
    <row r="822" spans="39:112" x14ac:dyDescent="0.2">
      <c r="AM822" s="18"/>
      <c r="AS822" s="18"/>
      <c r="AX822" s="17"/>
      <c r="BI822" s="18"/>
      <c r="BO822" s="18"/>
      <c r="BT822" s="18"/>
      <c r="CA822" s="18"/>
      <c r="CH822" s="18"/>
      <c r="DF822" s="31" t="str">
        <f t="shared" si="28"/>
        <v xml:space="preserve">  </v>
      </c>
      <c r="DG822" s="25" t="str">
        <f t="shared" si="29"/>
        <v/>
      </c>
      <c r="DH822" s="25" t="str">
        <f>BasicInput!$D$13&amp;$DH$2&amp;B822&amp;"_"&amp;C822&amp;D822&amp;"_"&amp;BasicInput!$D$7&amp;BasicInput!$D$8&amp;"_"&amp;DG822&amp;".xuf"</f>
        <v>C:\PWWORKING\east01\d2591108\Ramps\__2019EX_PM_.xuf</v>
      </c>
    </row>
    <row r="823" spans="39:112" x14ac:dyDescent="0.2">
      <c r="AM823" s="18"/>
      <c r="AS823" s="18"/>
      <c r="AX823" s="17"/>
      <c r="BI823" s="18"/>
      <c r="BO823" s="18"/>
      <c r="BT823" s="18"/>
      <c r="CA823" s="18"/>
      <c r="CH823" s="18"/>
      <c r="DF823" s="31" t="str">
        <f t="shared" si="28"/>
        <v xml:space="preserve">  </v>
      </c>
      <c r="DG823" s="25" t="str">
        <f t="shared" si="29"/>
        <v/>
      </c>
      <c r="DH823" s="25" t="str">
        <f>BasicInput!$D$13&amp;$DH$2&amp;B823&amp;"_"&amp;C823&amp;D823&amp;"_"&amp;BasicInput!$D$7&amp;BasicInput!$D$8&amp;"_"&amp;DG823&amp;".xuf"</f>
        <v>C:\PWWORKING\east01\d2591108\Ramps\__2019EX_PM_.xuf</v>
      </c>
    </row>
    <row r="824" spans="39:112" x14ac:dyDescent="0.2">
      <c r="AM824" s="18"/>
      <c r="AS824" s="18"/>
      <c r="AX824" s="17"/>
      <c r="BI824" s="18"/>
      <c r="BO824" s="18"/>
      <c r="BT824" s="18"/>
      <c r="CA824" s="18"/>
      <c r="CH824" s="18"/>
      <c r="DF824" s="31" t="str">
        <f t="shared" si="28"/>
        <v xml:space="preserve">  </v>
      </c>
      <c r="DG824" s="25" t="str">
        <f t="shared" si="29"/>
        <v/>
      </c>
      <c r="DH824" s="25" t="str">
        <f>BasicInput!$D$13&amp;$DH$2&amp;B824&amp;"_"&amp;C824&amp;D824&amp;"_"&amp;BasicInput!$D$7&amp;BasicInput!$D$8&amp;"_"&amp;DG824&amp;".xuf"</f>
        <v>C:\PWWORKING\east01\d2591108\Ramps\__2019EX_PM_.xuf</v>
      </c>
    </row>
    <row r="825" spans="39:112" x14ac:dyDescent="0.2">
      <c r="AM825" s="18"/>
      <c r="AS825" s="18"/>
      <c r="AX825" s="17"/>
      <c r="BI825" s="18"/>
      <c r="BO825" s="18"/>
      <c r="BT825" s="18"/>
      <c r="CA825" s="18"/>
      <c r="CH825" s="18"/>
      <c r="DF825" s="31" t="str">
        <f t="shared" si="28"/>
        <v xml:space="preserve">  </v>
      </c>
      <c r="DG825" s="25" t="str">
        <f t="shared" si="29"/>
        <v/>
      </c>
      <c r="DH825" s="25" t="str">
        <f>BasicInput!$D$13&amp;$DH$2&amp;B825&amp;"_"&amp;C825&amp;D825&amp;"_"&amp;BasicInput!$D$7&amp;BasicInput!$D$8&amp;"_"&amp;DG825&amp;".xuf"</f>
        <v>C:\PWWORKING\east01\d2591108\Ramps\__2019EX_PM_.xuf</v>
      </c>
    </row>
    <row r="826" spans="39:112" x14ac:dyDescent="0.2">
      <c r="AM826" s="18"/>
      <c r="AS826" s="18"/>
      <c r="AX826" s="17"/>
      <c r="BI826" s="18"/>
      <c r="BO826" s="18"/>
      <c r="BT826" s="18"/>
      <c r="CA826" s="18"/>
      <c r="CH826" s="18"/>
      <c r="DF826" s="31" t="str">
        <f t="shared" si="28"/>
        <v xml:space="preserve">  </v>
      </c>
      <c r="DG826" s="25" t="str">
        <f t="shared" si="29"/>
        <v/>
      </c>
      <c r="DH826" s="25" t="str">
        <f>BasicInput!$D$13&amp;$DH$2&amp;B826&amp;"_"&amp;C826&amp;D826&amp;"_"&amp;BasicInput!$D$7&amp;BasicInput!$D$8&amp;"_"&amp;DG826&amp;".xuf"</f>
        <v>C:\PWWORKING\east01\d2591108\Ramps\__2019EX_PM_.xuf</v>
      </c>
    </row>
    <row r="827" spans="39:112" x14ac:dyDescent="0.2">
      <c r="AM827" s="18"/>
      <c r="AS827" s="18"/>
      <c r="AX827" s="17"/>
      <c r="BI827" s="18"/>
      <c r="BO827" s="18"/>
      <c r="BT827" s="18"/>
      <c r="CA827" s="18"/>
      <c r="CH827" s="18"/>
      <c r="DF827" s="31" t="str">
        <f t="shared" si="28"/>
        <v xml:space="preserve">  </v>
      </c>
      <c r="DG827" s="25" t="str">
        <f t="shared" si="29"/>
        <v/>
      </c>
      <c r="DH827" s="25" t="str">
        <f>BasicInput!$D$13&amp;$DH$2&amp;B827&amp;"_"&amp;C827&amp;D827&amp;"_"&amp;BasicInput!$D$7&amp;BasicInput!$D$8&amp;"_"&amp;DG827&amp;".xuf"</f>
        <v>C:\PWWORKING\east01\d2591108\Ramps\__2019EX_PM_.xuf</v>
      </c>
    </row>
    <row r="828" spans="39:112" x14ac:dyDescent="0.2">
      <c r="AM828" s="18"/>
      <c r="AS828" s="18"/>
      <c r="AX828" s="17"/>
      <c r="BI828" s="18"/>
      <c r="BO828" s="18"/>
      <c r="BT828" s="18"/>
      <c r="CA828" s="18"/>
      <c r="CH828" s="18"/>
      <c r="DF828" s="31" t="str">
        <f t="shared" si="28"/>
        <v xml:space="preserve">  </v>
      </c>
      <c r="DG828" s="25" t="str">
        <f t="shared" si="29"/>
        <v/>
      </c>
      <c r="DH828" s="25" t="str">
        <f>BasicInput!$D$13&amp;$DH$2&amp;B828&amp;"_"&amp;C828&amp;D828&amp;"_"&amp;BasicInput!$D$7&amp;BasicInput!$D$8&amp;"_"&amp;DG828&amp;".xuf"</f>
        <v>C:\PWWORKING\east01\d2591108\Ramps\__2019EX_PM_.xuf</v>
      </c>
    </row>
    <row r="829" spans="39:112" x14ac:dyDescent="0.2">
      <c r="AM829" s="18"/>
      <c r="AS829" s="18"/>
      <c r="AX829" s="17"/>
      <c r="BI829" s="18"/>
      <c r="BO829" s="18"/>
      <c r="BT829" s="18"/>
      <c r="CA829" s="18"/>
      <c r="CH829" s="18"/>
      <c r="DF829" s="31" t="str">
        <f t="shared" si="28"/>
        <v xml:space="preserve">  </v>
      </c>
      <c r="DG829" s="25" t="str">
        <f t="shared" si="29"/>
        <v/>
      </c>
      <c r="DH829" s="25" t="str">
        <f>BasicInput!$D$13&amp;$DH$2&amp;B829&amp;"_"&amp;C829&amp;D829&amp;"_"&amp;BasicInput!$D$7&amp;BasicInput!$D$8&amp;"_"&amp;DG829&amp;".xuf"</f>
        <v>C:\PWWORKING\east01\d2591108\Ramps\__2019EX_PM_.xuf</v>
      </c>
    </row>
    <row r="830" spans="39:112" x14ac:dyDescent="0.2">
      <c r="AM830" s="18"/>
      <c r="AS830" s="18"/>
      <c r="AX830" s="17"/>
      <c r="BI830" s="18"/>
      <c r="BO830" s="18"/>
      <c r="BT830" s="18"/>
      <c r="CA830" s="18"/>
      <c r="CH830" s="18"/>
      <c r="DF830" s="31" t="str">
        <f t="shared" si="28"/>
        <v xml:space="preserve">  </v>
      </c>
      <c r="DG830" s="25" t="str">
        <f t="shared" si="29"/>
        <v/>
      </c>
      <c r="DH830" s="25" t="str">
        <f>BasicInput!$D$13&amp;$DH$2&amp;B830&amp;"_"&amp;C830&amp;D830&amp;"_"&amp;BasicInput!$D$7&amp;BasicInput!$D$8&amp;"_"&amp;DG830&amp;".xuf"</f>
        <v>C:\PWWORKING\east01\d2591108\Ramps\__2019EX_PM_.xuf</v>
      </c>
    </row>
    <row r="831" spans="39:112" x14ac:dyDescent="0.2">
      <c r="AM831" s="18"/>
      <c r="AS831" s="18"/>
      <c r="AX831" s="17"/>
      <c r="BI831" s="18"/>
      <c r="BO831" s="18"/>
      <c r="BT831" s="18"/>
      <c r="CA831" s="18"/>
      <c r="CH831" s="18"/>
      <c r="DF831" s="31" t="str">
        <f t="shared" si="28"/>
        <v xml:space="preserve">  </v>
      </c>
      <c r="DG831" s="25" t="str">
        <f t="shared" si="29"/>
        <v/>
      </c>
      <c r="DH831" s="25" t="str">
        <f>BasicInput!$D$13&amp;$DH$2&amp;B831&amp;"_"&amp;C831&amp;D831&amp;"_"&amp;BasicInput!$D$7&amp;BasicInput!$D$8&amp;"_"&amp;DG831&amp;".xuf"</f>
        <v>C:\PWWORKING\east01\d2591108\Ramps\__2019EX_PM_.xuf</v>
      </c>
    </row>
    <row r="832" spans="39:112" x14ac:dyDescent="0.2">
      <c r="AM832" s="18"/>
      <c r="AS832" s="18"/>
      <c r="AX832" s="17"/>
      <c r="BI832" s="18"/>
      <c r="BO832" s="18"/>
      <c r="BT832" s="18"/>
      <c r="CA832" s="18"/>
      <c r="CH832" s="18"/>
      <c r="DF832" s="31" t="str">
        <f t="shared" si="28"/>
        <v xml:space="preserve">  </v>
      </c>
      <c r="DG832" s="25" t="str">
        <f t="shared" si="29"/>
        <v/>
      </c>
      <c r="DH832" s="25" t="str">
        <f>BasicInput!$D$13&amp;$DH$2&amp;B832&amp;"_"&amp;C832&amp;D832&amp;"_"&amp;BasicInput!$D$7&amp;BasicInput!$D$8&amp;"_"&amp;DG832&amp;".xuf"</f>
        <v>C:\PWWORKING\east01\d2591108\Ramps\__2019EX_PM_.xuf</v>
      </c>
    </row>
    <row r="833" spans="39:112" x14ac:dyDescent="0.2">
      <c r="AM833" s="18"/>
      <c r="AS833" s="18"/>
      <c r="AX833" s="17"/>
      <c r="BI833" s="18"/>
      <c r="BO833" s="18"/>
      <c r="BT833" s="18"/>
      <c r="CA833" s="18"/>
      <c r="CH833" s="18"/>
      <c r="DF833" s="31" t="str">
        <f t="shared" si="28"/>
        <v xml:space="preserve">  </v>
      </c>
      <c r="DG833" s="25" t="str">
        <f t="shared" si="29"/>
        <v/>
      </c>
      <c r="DH833" s="25" t="str">
        <f>BasicInput!$D$13&amp;$DH$2&amp;B833&amp;"_"&amp;C833&amp;D833&amp;"_"&amp;BasicInput!$D$7&amp;BasicInput!$D$8&amp;"_"&amp;DG833&amp;".xuf"</f>
        <v>C:\PWWORKING\east01\d2591108\Ramps\__2019EX_PM_.xuf</v>
      </c>
    </row>
    <row r="834" spans="39:112" x14ac:dyDescent="0.2">
      <c r="AM834" s="18"/>
      <c r="AS834" s="18"/>
      <c r="AX834" s="17"/>
      <c r="BI834" s="18"/>
      <c r="BO834" s="18"/>
      <c r="BT834" s="18"/>
      <c r="CA834" s="18"/>
      <c r="CH834" s="18"/>
      <c r="DF834" s="31" t="str">
        <f t="shared" si="28"/>
        <v xml:space="preserve">  </v>
      </c>
      <c r="DG834" s="25" t="str">
        <f t="shared" si="29"/>
        <v/>
      </c>
      <c r="DH834" s="25" t="str">
        <f>BasicInput!$D$13&amp;$DH$2&amp;B834&amp;"_"&amp;C834&amp;D834&amp;"_"&amp;BasicInput!$D$7&amp;BasicInput!$D$8&amp;"_"&amp;DG834&amp;".xuf"</f>
        <v>C:\PWWORKING\east01\d2591108\Ramps\__2019EX_PM_.xuf</v>
      </c>
    </row>
    <row r="835" spans="39:112" x14ac:dyDescent="0.2">
      <c r="AM835" s="18"/>
      <c r="AS835" s="18"/>
      <c r="AX835" s="17"/>
      <c r="BI835" s="18"/>
      <c r="BO835" s="18"/>
      <c r="BT835" s="18"/>
      <c r="CA835" s="18"/>
      <c r="CH835" s="18"/>
      <c r="DF835" s="31" t="str">
        <f t="shared" si="28"/>
        <v xml:space="preserve">  </v>
      </c>
      <c r="DG835" s="25" t="str">
        <f t="shared" si="29"/>
        <v/>
      </c>
      <c r="DH835" s="25" t="str">
        <f>BasicInput!$D$13&amp;$DH$2&amp;B835&amp;"_"&amp;C835&amp;D835&amp;"_"&amp;BasicInput!$D$7&amp;BasicInput!$D$8&amp;"_"&amp;DG835&amp;".xuf"</f>
        <v>C:\PWWORKING\east01\d2591108\Ramps\__2019EX_PM_.xuf</v>
      </c>
    </row>
    <row r="836" spans="39:112" x14ac:dyDescent="0.2">
      <c r="AM836" s="18"/>
      <c r="AS836" s="18"/>
      <c r="AX836" s="17"/>
      <c r="BI836" s="18"/>
      <c r="BO836" s="18"/>
      <c r="BT836" s="18"/>
      <c r="CA836" s="18"/>
      <c r="CH836" s="18"/>
      <c r="DF836" s="31" t="str">
        <f t="shared" si="28"/>
        <v xml:space="preserve">  </v>
      </c>
      <c r="DG836" s="25" t="str">
        <f t="shared" si="29"/>
        <v/>
      </c>
      <c r="DH836" s="25" t="str">
        <f>BasicInput!$D$13&amp;$DH$2&amp;B836&amp;"_"&amp;C836&amp;D836&amp;"_"&amp;BasicInput!$D$7&amp;BasicInput!$D$8&amp;"_"&amp;DG836&amp;".xuf"</f>
        <v>C:\PWWORKING\east01\d2591108\Ramps\__2019EX_PM_.xuf</v>
      </c>
    </row>
    <row r="837" spans="39:112" x14ac:dyDescent="0.2">
      <c r="AM837" s="18"/>
      <c r="AS837" s="18"/>
      <c r="AX837" s="17"/>
      <c r="BI837" s="18"/>
      <c r="BO837" s="18"/>
      <c r="BT837" s="18"/>
      <c r="CA837" s="18"/>
      <c r="CH837" s="18"/>
      <c r="DF837" s="31" t="str">
        <f t="shared" si="28"/>
        <v xml:space="preserve">  </v>
      </c>
      <c r="DG837" s="25" t="str">
        <f t="shared" si="29"/>
        <v/>
      </c>
      <c r="DH837" s="25" t="str">
        <f>BasicInput!$D$13&amp;$DH$2&amp;B837&amp;"_"&amp;C837&amp;D837&amp;"_"&amp;BasicInput!$D$7&amp;BasicInput!$D$8&amp;"_"&amp;DG837&amp;".xuf"</f>
        <v>C:\PWWORKING\east01\d2591108\Ramps\__2019EX_PM_.xuf</v>
      </c>
    </row>
    <row r="838" spans="39:112" x14ac:dyDescent="0.2">
      <c r="AM838" s="18"/>
      <c r="AS838" s="18"/>
      <c r="AX838" s="17"/>
      <c r="BI838" s="18"/>
      <c r="BO838" s="18"/>
      <c r="BT838" s="18"/>
      <c r="CA838" s="18"/>
      <c r="CH838" s="18"/>
      <c r="DF838" s="31" t="str">
        <f t="shared" si="28"/>
        <v xml:space="preserve">  </v>
      </c>
      <c r="DG838" s="25" t="str">
        <f t="shared" si="29"/>
        <v/>
      </c>
      <c r="DH838" s="25" t="str">
        <f>BasicInput!$D$13&amp;$DH$2&amp;B838&amp;"_"&amp;C838&amp;D838&amp;"_"&amp;BasicInput!$D$7&amp;BasicInput!$D$8&amp;"_"&amp;DG838&amp;".xuf"</f>
        <v>C:\PWWORKING\east01\d2591108\Ramps\__2019EX_PM_.xuf</v>
      </c>
    </row>
    <row r="839" spans="39:112" x14ac:dyDescent="0.2">
      <c r="AM839" s="18"/>
      <c r="AS839" s="18"/>
      <c r="AX839" s="17"/>
      <c r="BI839" s="18"/>
      <c r="BO839" s="18"/>
      <c r="BT839" s="18"/>
      <c r="CA839" s="18"/>
      <c r="CH839" s="18"/>
      <c r="DF839" s="31" t="str">
        <f t="shared" si="28"/>
        <v xml:space="preserve">  </v>
      </c>
      <c r="DG839" s="25" t="str">
        <f t="shared" si="29"/>
        <v/>
      </c>
      <c r="DH839" s="25" t="str">
        <f>BasicInput!$D$13&amp;$DH$2&amp;B839&amp;"_"&amp;C839&amp;D839&amp;"_"&amp;BasicInput!$D$7&amp;BasicInput!$D$8&amp;"_"&amp;DG839&amp;".xuf"</f>
        <v>C:\PWWORKING\east01\d2591108\Ramps\__2019EX_PM_.xuf</v>
      </c>
    </row>
    <row r="840" spans="39:112" x14ac:dyDescent="0.2">
      <c r="AM840" s="18"/>
      <c r="AS840" s="18"/>
      <c r="AX840" s="17"/>
      <c r="BI840" s="18"/>
      <c r="BO840" s="18"/>
      <c r="BT840" s="18"/>
      <c r="CA840" s="18"/>
      <c r="CH840" s="18"/>
      <c r="DF840" s="31" t="str">
        <f t="shared" si="28"/>
        <v xml:space="preserve">  </v>
      </c>
      <c r="DG840" s="25" t="str">
        <f t="shared" si="29"/>
        <v/>
      </c>
      <c r="DH840" s="25" t="str">
        <f>BasicInput!$D$13&amp;$DH$2&amp;B840&amp;"_"&amp;C840&amp;D840&amp;"_"&amp;BasicInput!$D$7&amp;BasicInput!$D$8&amp;"_"&amp;DG840&amp;".xuf"</f>
        <v>C:\PWWORKING\east01\d2591108\Ramps\__2019EX_PM_.xuf</v>
      </c>
    </row>
    <row r="841" spans="39:112" x14ac:dyDescent="0.2">
      <c r="AM841" s="18"/>
      <c r="AS841" s="18"/>
      <c r="AX841" s="17"/>
      <c r="BI841" s="18"/>
      <c r="BO841" s="18"/>
      <c r="BT841" s="18"/>
      <c r="CA841" s="18"/>
      <c r="CH841" s="18"/>
      <c r="DF841" s="31" t="str">
        <f t="shared" si="28"/>
        <v xml:space="preserve">  </v>
      </c>
      <c r="DG841" s="25" t="str">
        <f t="shared" si="29"/>
        <v/>
      </c>
      <c r="DH841" s="25" t="str">
        <f>BasicInput!$D$13&amp;$DH$2&amp;B841&amp;"_"&amp;C841&amp;D841&amp;"_"&amp;BasicInput!$D$7&amp;BasicInput!$D$8&amp;"_"&amp;DG841&amp;".xuf"</f>
        <v>C:\PWWORKING\east01\d2591108\Ramps\__2019EX_PM_.xuf</v>
      </c>
    </row>
    <row r="842" spans="39:112" x14ac:dyDescent="0.2">
      <c r="AM842" s="18"/>
      <c r="AS842" s="18"/>
      <c r="AX842" s="17"/>
      <c r="BI842" s="18"/>
      <c r="BO842" s="18"/>
      <c r="BT842" s="18"/>
      <c r="CA842" s="18"/>
      <c r="CH842" s="18"/>
      <c r="DF842" s="31" t="str">
        <f t="shared" si="28"/>
        <v xml:space="preserve">  </v>
      </c>
      <c r="DG842" s="25" t="str">
        <f t="shared" si="29"/>
        <v/>
      </c>
      <c r="DH842" s="25" t="str">
        <f>BasicInput!$D$13&amp;$DH$2&amp;B842&amp;"_"&amp;C842&amp;D842&amp;"_"&amp;BasicInput!$D$7&amp;BasicInput!$D$8&amp;"_"&amp;DG842&amp;".xuf"</f>
        <v>C:\PWWORKING\east01\d2591108\Ramps\__2019EX_PM_.xuf</v>
      </c>
    </row>
    <row r="843" spans="39:112" x14ac:dyDescent="0.2">
      <c r="AM843" s="18"/>
      <c r="AS843" s="18"/>
      <c r="AX843" s="17"/>
      <c r="BI843" s="18"/>
      <c r="BO843" s="18"/>
      <c r="BT843" s="18"/>
      <c r="CA843" s="18"/>
      <c r="CH843" s="18"/>
      <c r="DF843" s="31" t="str">
        <f t="shared" si="28"/>
        <v xml:space="preserve">  </v>
      </c>
      <c r="DG843" s="25" t="str">
        <f t="shared" si="29"/>
        <v/>
      </c>
      <c r="DH843" s="25" t="str">
        <f>BasicInput!$D$13&amp;$DH$2&amp;B843&amp;"_"&amp;C843&amp;D843&amp;"_"&amp;BasicInput!$D$7&amp;BasicInput!$D$8&amp;"_"&amp;DG843&amp;".xuf"</f>
        <v>C:\PWWORKING\east01\d2591108\Ramps\__2019EX_PM_.xuf</v>
      </c>
    </row>
    <row r="844" spans="39:112" x14ac:dyDescent="0.2">
      <c r="AM844" s="18"/>
      <c r="AS844" s="18"/>
      <c r="AX844" s="17"/>
      <c r="BI844" s="18"/>
      <c r="BO844" s="18"/>
      <c r="BT844" s="18"/>
      <c r="CA844" s="18"/>
      <c r="CH844" s="18"/>
      <c r="DF844" s="31" t="str">
        <f t="shared" si="28"/>
        <v xml:space="preserve">  </v>
      </c>
      <c r="DG844" s="25" t="str">
        <f t="shared" si="29"/>
        <v/>
      </c>
      <c r="DH844" s="25" t="str">
        <f>BasicInput!$D$13&amp;$DH$2&amp;B844&amp;"_"&amp;C844&amp;D844&amp;"_"&amp;BasicInput!$D$7&amp;BasicInput!$D$8&amp;"_"&amp;DG844&amp;".xuf"</f>
        <v>C:\PWWORKING\east01\d2591108\Ramps\__2019EX_PM_.xuf</v>
      </c>
    </row>
    <row r="845" spans="39:112" x14ac:dyDescent="0.2">
      <c r="AM845" s="18"/>
      <c r="AS845" s="18"/>
      <c r="AX845" s="17"/>
      <c r="BI845" s="18"/>
      <c r="BO845" s="18"/>
      <c r="BT845" s="18"/>
      <c r="CA845" s="18"/>
      <c r="CH845" s="18"/>
      <c r="DF845" s="31" t="str">
        <f t="shared" si="28"/>
        <v xml:space="preserve">  </v>
      </c>
      <c r="DG845" s="25" t="str">
        <f t="shared" si="29"/>
        <v/>
      </c>
      <c r="DH845" s="25" t="str">
        <f>BasicInput!$D$13&amp;$DH$2&amp;B845&amp;"_"&amp;C845&amp;D845&amp;"_"&amp;BasicInput!$D$7&amp;BasicInput!$D$8&amp;"_"&amp;DG845&amp;".xuf"</f>
        <v>C:\PWWORKING\east01\d2591108\Ramps\__2019EX_PM_.xuf</v>
      </c>
    </row>
    <row r="846" spans="39:112" x14ac:dyDescent="0.2">
      <c r="AM846" s="18"/>
      <c r="AS846" s="18"/>
      <c r="AX846" s="17"/>
      <c r="BI846" s="18"/>
      <c r="BO846" s="18"/>
      <c r="BT846" s="18"/>
      <c r="CA846" s="18"/>
      <c r="CH846" s="18"/>
      <c r="DF846" s="31" t="str">
        <f t="shared" si="28"/>
        <v xml:space="preserve">  </v>
      </c>
      <c r="DG846" s="25" t="str">
        <f t="shared" si="29"/>
        <v/>
      </c>
      <c r="DH846" s="25" t="str">
        <f>BasicInput!$D$13&amp;$DH$2&amp;B846&amp;"_"&amp;C846&amp;D846&amp;"_"&amp;BasicInput!$D$7&amp;BasicInput!$D$8&amp;"_"&amp;DG846&amp;".xuf"</f>
        <v>C:\PWWORKING\east01\d2591108\Ramps\__2019EX_PM_.xuf</v>
      </c>
    </row>
    <row r="847" spans="39:112" x14ac:dyDescent="0.2">
      <c r="AM847" s="18"/>
      <c r="AS847" s="18"/>
      <c r="AX847" s="17"/>
      <c r="BI847" s="18"/>
      <c r="BO847" s="18"/>
      <c r="BT847" s="18"/>
      <c r="CA847" s="18"/>
      <c r="CH847" s="18"/>
      <c r="DF847" s="31" t="str">
        <f t="shared" si="28"/>
        <v xml:space="preserve">  </v>
      </c>
      <c r="DG847" s="25" t="str">
        <f t="shared" si="29"/>
        <v/>
      </c>
      <c r="DH847" s="25" t="str">
        <f>BasicInput!$D$13&amp;$DH$2&amp;B847&amp;"_"&amp;C847&amp;D847&amp;"_"&amp;BasicInput!$D$7&amp;BasicInput!$D$8&amp;"_"&amp;DG847&amp;".xuf"</f>
        <v>C:\PWWORKING\east01\d2591108\Ramps\__2019EX_PM_.xuf</v>
      </c>
    </row>
    <row r="848" spans="39:112" x14ac:dyDescent="0.2">
      <c r="AM848" s="18"/>
      <c r="AS848" s="18"/>
      <c r="AX848" s="17"/>
      <c r="BI848" s="18"/>
      <c r="BO848" s="18"/>
      <c r="BT848" s="18"/>
      <c r="CA848" s="18"/>
      <c r="CH848" s="18"/>
      <c r="DF848" s="31" t="str">
        <f t="shared" si="28"/>
        <v xml:space="preserve">  </v>
      </c>
      <c r="DG848" s="25" t="str">
        <f t="shared" si="29"/>
        <v/>
      </c>
      <c r="DH848" s="25" t="str">
        <f>BasicInput!$D$13&amp;$DH$2&amp;B848&amp;"_"&amp;C848&amp;D848&amp;"_"&amp;BasicInput!$D$7&amp;BasicInput!$D$8&amp;"_"&amp;DG848&amp;".xuf"</f>
        <v>C:\PWWORKING\east01\d2591108\Ramps\__2019EX_PM_.xuf</v>
      </c>
    </row>
    <row r="849" spans="39:112" x14ac:dyDescent="0.2">
      <c r="AM849" s="18"/>
      <c r="AS849" s="18"/>
      <c r="AX849" s="17"/>
      <c r="BI849" s="18"/>
      <c r="BO849" s="18"/>
      <c r="BT849" s="18"/>
      <c r="CA849" s="18"/>
      <c r="CH849" s="18"/>
      <c r="DF849" s="31" t="str">
        <f t="shared" ref="DF849:DF912" si="30">C849&amp; " "&amp;D849&amp;" " &amp;E849</f>
        <v xml:space="preserve">  </v>
      </c>
      <c r="DG849" s="25" t="str">
        <f t="shared" ref="DG849:DG912" si="31">SUBSTITUTE(E849, "/", "_")</f>
        <v/>
      </c>
      <c r="DH849" s="25" t="str">
        <f>BasicInput!$D$13&amp;$DH$2&amp;B849&amp;"_"&amp;C849&amp;D849&amp;"_"&amp;BasicInput!$D$7&amp;BasicInput!$D$8&amp;"_"&amp;DG849&amp;".xuf"</f>
        <v>C:\PWWORKING\east01\d2591108\Ramps\__2019EX_PM_.xuf</v>
      </c>
    </row>
    <row r="850" spans="39:112" x14ac:dyDescent="0.2">
      <c r="AM850" s="18"/>
      <c r="AS850" s="18"/>
      <c r="AX850" s="17"/>
      <c r="BI850" s="18"/>
      <c r="BO850" s="18"/>
      <c r="BT850" s="18"/>
      <c r="CA850" s="18"/>
      <c r="CH850" s="18"/>
      <c r="DF850" s="31" t="str">
        <f t="shared" si="30"/>
        <v xml:space="preserve">  </v>
      </c>
      <c r="DG850" s="25" t="str">
        <f t="shared" si="31"/>
        <v/>
      </c>
      <c r="DH850" s="25" t="str">
        <f>BasicInput!$D$13&amp;$DH$2&amp;B850&amp;"_"&amp;C850&amp;D850&amp;"_"&amp;BasicInput!$D$7&amp;BasicInput!$D$8&amp;"_"&amp;DG850&amp;".xuf"</f>
        <v>C:\PWWORKING\east01\d2591108\Ramps\__2019EX_PM_.xuf</v>
      </c>
    </row>
    <row r="851" spans="39:112" x14ac:dyDescent="0.2">
      <c r="AM851" s="18"/>
      <c r="AS851" s="18"/>
      <c r="AX851" s="17"/>
      <c r="BI851" s="18"/>
      <c r="BO851" s="18"/>
      <c r="BT851" s="18"/>
      <c r="CA851" s="18"/>
      <c r="CH851" s="18"/>
      <c r="DF851" s="31" t="str">
        <f t="shared" si="30"/>
        <v xml:space="preserve">  </v>
      </c>
      <c r="DG851" s="25" t="str">
        <f t="shared" si="31"/>
        <v/>
      </c>
      <c r="DH851" s="25" t="str">
        <f>BasicInput!$D$13&amp;$DH$2&amp;B851&amp;"_"&amp;C851&amp;D851&amp;"_"&amp;BasicInput!$D$7&amp;BasicInput!$D$8&amp;"_"&amp;DG851&amp;".xuf"</f>
        <v>C:\PWWORKING\east01\d2591108\Ramps\__2019EX_PM_.xuf</v>
      </c>
    </row>
    <row r="852" spans="39:112" x14ac:dyDescent="0.2">
      <c r="AM852" s="18"/>
      <c r="AS852" s="18"/>
      <c r="AX852" s="17"/>
      <c r="BI852" s="18"/>
      <c r="BO852" s="18"/>
      <c r="BT852" s="18"/>
      <c r="CA852" s="18"/>
      <c r="CH852" s="18"/>
      <c r="DF852" s="31" t="str">
        <f t="shared" si="30"/>
        <v xml:space="preserve">  </v>
      </c>
      <c r="DG852" s="25" t="str">
        <f t="shared" si="31"/>
        <v/>
      </c>
      <c r="DH852" s="25" t="str">
        <f>BasicInput!$D$13&amp;$DH$2&amp;B852&amp;"_"&amp;C852&amp;D852&amp;"_"&amp;BasicInput!$D$7&amp;BasicInput!$D$8&amp;"_"&amp;DG852&amp;".xuf"</f>
        <v>C:\PWWORKING\east01\d2591108\Ramps\__2019EX_PM_.xuf</v>
      </c>
    </row>
    <row r="853" spans="39:112" x14ac:dyDescent="0.2">
      <c r="AM853" s="18"/>
      <c r="AS853" s="18"/>
      <c r="AX853" s="17"/>
      <c r="BI853" s="18"/>
      <c r="BO853" s="18"/>
      <c r="BT853" s="18"/>
      <c r="CA853" s="18"/>
      <c r="CH853" s="18"/>
      <c r="DF853" s="31" t="str">
        <f t="shared" si="30"/>
        <v xml:space="preserve">  </v>
      </c>
      <c r="DG853" s="25" t="str">
        <f t="shared" si="31"/>
        <v/>
      </c>
      <c r="DH853" s="25" t="str">
        <f>BasicInput!$D$13&amp;$DH$2&amp;B853&amp;"_"&amp;C853&amp;D853&amp;"_"&amp;BasicInput!$D$7&amp;BasicInput!$D$8&amp;"_"&amp;DG853&amp;".xuf"</f>
        <v>C:\PWWORKING\east01\d2591108\Ramps\__2019EX_PM_.xuf</v>
      </c>
    </row>
    <row r="854" spans="39:112" x14ac:dyDescent="0.2">
      <c r="AM854" s="18"/>
      <c r="AS854" s="18"/>
      <c r="AX854" s="17"/>
      <c r="BI854" s="18"/>
      <c r="BO854" s="18"/>
      <c r="BT854" s="18"/>
      <c r="CA854" s="18"/>
      <c r="CH854" s="18"/>
      <c r="DF854" s="31" t="str">
        <f t="shared" si="30"/>
        <v xml:space="preserve">  </v>
      </c>
      <c r="DG854" s="25" t="str">
        <f t="shared" si="31"/>
        <v/>
      </c>
      <c r="DH854" s="25" t="str">
        <f>BasicInput!$D$13&amp;$DH$2&amp;B854&amp;"_"&amp;C854&amp;D854&amp;"_"&amp;BasicInput!$D$7&amp;BasicInput!$D$8&amp;"_"&amp;DG854&amp;".xuf"</f>
        <v>C:\PWWORKING\east01\d2591108\Ramps\__2019EX_PM_.xuf</v>
      </c>
    </row>
    <row r="855" spans="39:112" x14ac:dyDescent="0.2">
      <c r="AM855" s="18"/>
      <c r="AS855" s="18"/>
      <c r="AX855" s="17"/>
      <c r="BI855" s="18"/>
      <c r="BO855" s="18"/>
      <c r="BT855" s="18"/>
      <c r="CA855" s="18"/>
      <c r="CH855" s="18"/>
      <c r="DF855" s="31" t="str">
        <f t="shared" si="30"/>
        <v xml:space="preserve">  </v>
      </c>
      <c r="DG855" s="25" t="str">
        <f t="shared" si="31"/>
        <v/>
      </c>
      <c r="DH855" s="25" t="str">
        <f>BasicInput!$D$13&amp;$DH$2&amp;B855&amp;"_"&amp;C855&amp;D855&amp;"_"&amp;BasicInput!$D$7&amp;BasicInput!$D$8&amp;"_"&amp;DG855&amp;".xuf"</f>
        <v>C:\PWWORKING\east01\d2591108\Ramps\__2019EX_PM_.xuf</v>
      </c>
    </row>
    <row r="856" spans="39:112" x14ac:dyDescent="0.2">
      <c r="AM856" s="18"/>
      <c r="AS856" s="18"/>
      <c r="AX856" s="17"/>
      <c r="BI856" s="18"/>
      <c r="BO856" s="18"/>
      <c r="BT856" s="18"/>
      <c r="CA856" s="18"/>
      <c r="CH856" s="18"/>
      <c r="DF856" s="31" t="str">
        <f t="shared" si="30"/>
        <v xml:space="preserve">  </v>
      </c>
      <c r="DG856" s="25" t="str">
        <f t="shared" si="31"/>
        <v/>
      </c>
      <c r="DH856" s="25" t="str">
        <f>BasicInput!$D$13&amp;$DH$2&amp;B856&amp;"_"&amp;C856&amp;D856&amp;"_"&amp;BasicInput!$D$7&amp;BasicInput!$D$8&amp;"_"&amp;DG856&amp;".xuf"</f>
        <v>C:\PWWORKING\east01\d2591108\Ramps\__2019EX_PM_.xuf</v>
      </c>
    </row>
    <row r="857" spans="39:112" x14ac:dyDescent="0.2">
      <c r="AM857" s="18"/>
      <c r="AS857" s="18"/>
      <c r="AX857" s="17"/>
      <c r="BI857" s="18"/>
      <c r="BO857" s="18"/>
      <c r="BT857" s="18"/>
      <c r="CA857" s="18"/>
      <c r="CH857" s="18"/>
      <c r="DF857" s="31" t="str">
        <f t="shared" si="30"/>
        <v xml:space="preserve">  </v>
      </c>
      <c r="DG857" s="25" t="str">
        <f t="shared" si="31"/>
        <v/>
      </c>
      <c r="DH857" s="25" t="str">
        <f>BasicInput!$D$13&amp;$DH$2&amp;B857&amp;"_"&amp;C857&amp;D857&amp;"_"&amp;BasicInput!$D$7&amp;BasicInput!$D$8&amp;"_"&amp;DG857&amp;".xuf"</f>
        <v>C:\PWWORKING\east01\d2591108\Ramps\__2019EX_PM_.xuf</v>
      </c>
    </row>
    <row r="858" spans="39:112" x14ac:dyDescent="0.2">
      <c r="AM858" s="18"/>
      <c r="AS858" s="18"/>
      <c r="AX858" s="17"/>
      <c r="BI858" s="18"/>
      <c r="BO858" s="18"/>
      <c r="BT858" s="18"/>
      <c r="CA858" s="18"/>
      <c r="CH858" s="18"/>
      <c r="DF858" s="31" t="str">
        <f t="shared" si="30"/>
        <v xml:space="preserve">  </v>
      </c>
      <c r="DG858" s="25" t="str">
        <f t="shared" si="31"/>
        <v/>
      </c>
      <c r="DH858" s="25" t="str">
        <f>BasicInput!$D$13&amp;$DH$2&amp;B858&amp;"_"&amp;C858&amp;D858&amp;"_"&amp;BasicInput!$D$7&amp;BasicInput!$D$8&amp;"_"&amp;DG858&amp;".xuf"</f>
        <v>C:\PWWORKING\east01\d2591108\Ramps\__2019EX_PM_.xuf</v>
      </c>
    </row>
    <row r="859" spans="39:112" x14ac:dyDescent="0.2">
      <c r="AM859" s="18"/>
      <c r="AS859" s="18"/>
      <c r="AX859" s="17"/>
      <c r="BI859" s="18"/>
      <c r="BO859" s="18"/>
      <c r="BT859" s="18"/>
      <c r="CA859" s="18"/>
      <c r="CH859" s="18"/>
      <c r="DF859" s="31" t="str">
        <f t="shared" si="30"/>
        <v xml:space="preserve">  </v>
      </c>
      <c r="DG859" s="25" t="str">
        <f t="shared" si="31"/>
        <v/>
      </c>
      <c r="DH859" s="25" t="str">
        <f>BasicInput!$D$13&amp;$DH$2&amp;B859&amp;"_"&amp;C859&amp;D859&amp;"_"&amp;BasicInput!$D$7&amp;BasicInput!$D$8&amp;"_"&amp;DG859&amp;".xuf"</f>
        <v>C:\PWWORKING\east01\d2591108\Ramps\__2019EX_PM_.xuf</v>
      </c>
    </row>
    <row r="860" spans="39:112" x14ac:dyDescent="0.2">
      <c r="AM860" s="18"/>
      <c r="AS860" s="18"/>
      <c r="AX860" s="17"/>
      <c r="BI860" s="18"/>
      <c r="BO860" s="18"/>
      <c r="BT860" s="18"/>
      <c r="CA860" s="18"/>
      <c r="CH860" s="18"/>
      <c r="DF860" s="31" t="str">
        <f t="shared" si="30"/>
        <v xml:space="preserve">  </v>
      </c>
      <c r="DG860" s="25" t="str">
        <f t="shared" si="31"/>
        <v/>
      </c>
      <c r="DH860" s="25" t="str">
        <f>BasicInput!$D$13&amp;$DH$2&amp;B860&amp;"_"&amp;C860&amp;D860&amp;"_"&amp;BasicInput!$D$7&amp;BasicInput!$D$8&amp;"_"&amp;DG860&amp;".xuf"</f>
        <v>C:\PWWORKING\east01\d2591108\Ramps\__2019EX_PM_.xuf</v>
      </c>
    </row>
    <row r="861" spans="39:112" x14ac:dyDescent="0.2">
      <c r="AM861" s="18"/>
      <c r="AS861" s="18"/>
      <c r="AX861" s="17"/>
      <c r="BI861" s="18"/>
      <c r="BO861" s="18"/>
      <c r="BT861" s="18"/>
      <c r="CA861" s="18"/>
      <c r="CH861" s="18"/>
      <c r="DF861" s="31" t="str">
        <f t="shared" si="30"/>
        <v xml:space="preserve">  </v>
      </c>
      <c r="DG861" s="25" t="str">
        <f t="shared" si="31"/>
        <v/>
      </c>
      <c r="DH861" s="25" t="str">
        <f>BasicInput!$D$13&amp;$DH$2&amp;B861&amp;"_"&amp;C861&amp;D861&amp;"_"&amp;BasicInput!$D$7&amp;BasicInput!$D$8&amp;"_"&amp;DG861&amp;".xuf"</f>
        <v>C:\PWWORKING\east01\d2591108\Ramps\__2019EX_PM_.xuf</v>
      </c>
    </row>
    <row r="862" spans="39:112" x14ac:dyDescent="0.2">
      <c r="AM862" s="18"/>
      <c r="AS862" s="18"/>
      <c r="AX862" s="17"/>
      <c r="BI862" s="18"/>
      <c r="BO862" s="18"/>
      <c r="BT862" s="18"/>
      <c r="CA862" s="18"/>
      <c r="CH862" s="18"/>
      <c r="DF862" s="31" t="str">
        <f t="shared" si="30"/>
        <v xml:space="preserve">  </v>
      </c>
      <c r="DG862" s="25" t="str">
        <f t="shared" si="31"/>
        <v/>
      </c>
      <c r="DH862" s="25" t="str">
        <f>BasicInput!$D$13&amp;$DH$2&amp;B862&amp;"_"&amp;C862&amp;D862&amp;"_"&amp;BasicInput!$D$7&amp;BasicInput!$D$8&amp;"_"&amp;DG862&amp;".xuf"</f>
        <v>C:\PWWORKING\east01\d2591108\Ramps\__2019EX_PM_.xuf</v>
      </c>
    </row>
    <row r="863" spans="39:112" x14ac:dyDescent="0.2">
      <c r="AM863" s="18"/>
      <c r="AS863" s="18"/>
      <c r="AX863" s="17"/>
      <c r="BI863" s="18"/>
      <c r="BO863" s="18"/>
      <c r="BT863" s="18"/>
      <c r="CA863" s="18"/>
      <c r="CH863" s="18"/>
      <c r="DF863" s="31" t="str">
        <f t="shared" si="30"/>
        <v xml:space="preserve">  </v>
      </c>
      <c r="DG863" s="25" t="str">
        <f t="shared" si="31"/>
        <v/>
      </c>
      <c r="DH863" s="25" t="str">
        <f>BasicInput!$D$13&amp;$DH$2&amp;B863&amp;"_"&amp;C863&amp;D863&amp;"_"&amp;BasicInput!$D$7&amp;BasicInput!$D$8&amp;"_"&amp;DG863&amp;".xuf"</f>
        <v>C:\PWWORKING\east01\d2591108\Ramps\__2019EX_PM_.xuf</v>
      </c>
    </row>
    <row r="864" spans="39:112" x14ac:dyDescent="0.2">
      <c r="AM864" s="18"/>
      <c r="AS864" s="18"/>
      <c r="AX864" s="17"/>
      <c r="BI864" s="18"/>
      <c r="BO864" s="18"/>
      <c r="BT864" s="18"/>
      <c r="CA864" s="18"/>
      <c r="CH864" s="18"/>
      <c r="DF864" s="31" t="str">
        <f t="shared" si="30"/>
        <v xml:space="preserve">  </v>
      </c>
      <c r="DG864" s="25" t="str">
        <f t="shared" si="31"/>
        <v/>
      </c>
      <c r="DH864" s="25" t="str">
        <f>BasicInput!$D$13&amp;$DH$2&amp;B864&amp;"_"&amp;C864&amp;D864&amp;"_"&amp;BasicInput!$D$7&amp;BasicInput!$D$8&amp;"_"&amp;DG864&amp;".xuf"</f>
        <v>C:\PWWORKING\east01\d2591108\Ramps\__2019EX_PM_.xuf</v>
      </c>
    </row>
    <row r="865" spans="39:112" x14ac:dyDescent="0.2">
      <c r="AM865" s="18"/>
      <c r="AS865" s="18"/>
      <c r="AX865" s="17"/>
      <c r="BI865" s="18"/>
      <c r="BO865" s="18"/>
      <c r="BT865" s="18"/>
      <c r="CA865" s="18"/>
      <c r="CH865" s="18"/>
      <c r="DF865" s="31" t="str">
        <f t="shared" si="30"/>
        <v xml:space="preserve">  </v>
      </c>
      <c r="DG865" s="25" t="str">
        <f t="shared" si="31"/>
        <v/>
      </c>
      <c r="DH865" s="25" t="str">
        <f>BasicInput!$D$13&amp;$DH$2&amp;B865&amp;"_"&amp;C865&amp;D865&amp;"_"&amp;BasicInput!$D$7&amp;BasicInput!$D$8&amp;"_"&amp;DG865&amp;".xuf"</f>
        <v>C:\PWWORKING\east01\d2591108\Ramps\__2019EX_PM_.xuf</v>
      </c>
    </row>
    <row r="866" spans="39:112" x14ac:dyDescent="0.2">
      <c r="AM866" s="18"/>
      <c r="AS866" s="18"/>
      <c r="AX866" s="17"/>
      <c r="BI866" s="18"/>
      <c r="BO866" s="18"/>
      <c r="BT866" s="18"/>
      <c r="CA866" s="18"/>
      <c r="CH866" s="18"/>
      <c r="DF866" s="31" t="str">
        <f t="shared" si="30"/>
        <v xml:space="preserve">  </v>
      </c>
      <c r="DG866" s="25" t="str">
        <f t="shared" si="31"/>
        <v/>
      </c>
      <c r="DH866" s="25" t="str">
        <f>BasicInput!$D$13&amp;$DH$2&amp;B866&amp;"_"&amp;C866&amp;D866&amp;"_"&amp;BasicInput!$D$7&amp;BasicInput!$D$8&amp;"_"&amp;DG866&amp;".xuf"</f>
        <v>C:\PWWORKING\east01\d2591108\Ramps\__2019EX_PM_.xuf</v>
      </c>
    </row>
    <row r="867" spans="39:112" x14ac:dyDescent="0.2">
      <c r="AM867" s="18"/>
      <c r="AS867" s="18"/>
      <c r="AX867" s="17"/>
      <c r="BI867" s="18"/>
      <c r="BO867" s="18"/>
      <c r="BT867" s="18"/>
      <c r="CA867" s="18"/>
      <c r="CH867" s="18"/>
      <c r="DF867" s="31" t="str">
        <f t="shared" si="30"/>
        <v xml:space="preserve">  </v>
      </c>
      <c r="DG867" s="25" t="str">
        <f t="shared" si="31"/>
        <v/>
      </c>
      <c r="DH867" s="25" t="str">
        <f>BasicInput!$D$13&amp;$DH$2&amp;B867&amp;"_"&amp;C867&amp;D867&amp;"_"&amp;BasicInput!$D$7&amp;BasicInput!$D$8&amp;"_"&amp;DG867&amp;".xuf"</f>
        <v>C:\PWWORKING\east01\d2591108\Ramps\__2019EX_PM_.xuf</v>
      </c>
    </row>
    <row r="868" spans="39:112" x14ac:dyDescent="0.2">
      <c r="AM868" s="18"/>
      <c r="AS868" s="18"/>
      <c r="AX868" s="17"/>
      <c r="BI868" s="18"/>
      <c r="BO868" s="18"/>
      <c r="BT868" s="18"/>
      <c r="CA868" s="18"/>
      <c r="CH868" s="18"/>
      <c r="DF868" s="31" t="str">
        <f t="shared" si="30"/>
        <v xml:space="preserve">  </v>
      </c>
      <c r="DG868" s="25" t="str">
        <f t="shared" si="31"/>
        <v/>
      </c>
      <c r="DH868" s="25" t="str">
        <f>BasicInput!$D$13&amp;$DH$2&amp;B868&amp;"_"&amp;C868&amp;D868&amp;"_"&amp;BasicInput!$D$7&amp;BasicInput!$D$8&amp;"_"&amp;DG868&amp;".xuf"</f>
        <v>C:\PWWORKING\east01\d2591108\Ramps\__2019EX_PM_.xuf</v>
      </c>
    </row>
    <row r="869" spans="39:112" x14ac:dyDescent="0.2">
      <c r="AM869" s="18"/>
      <c r="AS869" s="18"/>
      <c r="AX869" s="17"/>
      <c r="BI869" s="18"/>
      <c r="BO869" s="18"/>
      <c r="BT869" s="18"/>
      <c r="CA869" s="18"/>
      <c r="CH869" s="18"/>
      <c r="DF869" s="31" t="str">
        <f t="shared" si="30"/>
        <v xml:space="preserve">  </v>
      </c>
      <c r="DG869" s="25" t="str">
        <f t="shared" si="31"/>
        <v/>
      </c>
      <c r="DH869" s="25" t="str">
        <f>BasicInput!$D$13&amp;$DH$2&amp;B869&amp;"_"&amp;C869&amp;D869&amp;"_"&amp;BasicInput!$D$7&amp;BasicInput!$D$8&amp;"_"&amp;DG869&amp;".xuf"</f>
        <v>C:\PWWORKING\east01\d2591108\Ramps\__2019EX_PM_.xuf</v>
      </c>
    </row>
    <row r="870" spans="39:112" x14ac:dyDescent="0.2">
      <c r="AM870" s="18"/>
      <c r="AS870" s="18"/>
      <c r="AX870" s="17"/>
      <c r="BI870" s="18"/>
      <c r="BO870" s="18"/>
      <c r="BT870" s="18"/>
      <c r="CA870" s="18"/>
      <c r="CH870" s="18"/>
      <c r="DF870" s="31" t="str">
        <f t="shared" si="30"/>
        <v xml:space="preserve">  </v>
      </c>
      <c r="DG870" s="25" t="str">
        <f t="shared" si="31"/>
        <v/>
      </c>
      <c r="DH870" s="25" t="str">
        <f>BasicInput!$D$13&amp;$DH$2&amp;B870&amp;"_"&amp;C870&amp;D870&amp;"_"&amp;BasicInput!$D$7&amp;BasicInput!$D$8&amp;"_"&amp;DG870&amp;".xuf"</f>
        <v>C:\PWWORKING\east01\d2591108\Ramps\__2019EX_PM_.xuf</v>
      </c>
    </row>
    <row r="871" spans="39:112" x14ac:dyDescent="0.2">
      <c r="AM871" s="18"/>
      <c r="AS871" s="18"/>
      <c r="AX871" s="17"/>
      <c r="BI871" s="18"/>
      <c r="BO871" s="18"/>
      <c r="BT871" s="18"/>
      <c r="CA871" s="18"/>
      <c r="CH871" s="18"/>
      <c r="DF871" s="31" t="str">
        <f t="shared" si="30"/>
        <v xml:space="preserve">  </v>
      </c>
      <c r="DG871" s="25" t="str">
        <f t="shared" si="31"/>
        <v/>
      </c>
      <c r="DH871" s="25" t="str">
        <f>BasicInput!$D$13&amp;$DH$2&amp;B871&amp;"_"&amp;C871&amp;D871&amp;"_"&amp;BasicInput!$D$7&amp;BasicInput!$D$8&amp;"_"&amp;DG871&amp;".xuf"</f>
        <v>C:\PWWORKING\east01\d2591108\Ramps\__2019EX_PM_.xuf</v>
      </c>
    </row>
    <row r="872" spans="39:112" x14ac:dyDescent="0.2">
      <c r="AM872" s="18"/>
      <c r="AS872" s="18"/>
      <c r="AX872" s="17"/>
      <c r="BI872" s="18"/>
      <c r="BO872" s="18"/>
      <c r="BT872" s="18"/>
      <c r="CA872" s="18"/>
      <c r="CH872" s="18"/>
      <c r="DF872" s="31" t="str">
        <f t="shared" si="30"/>
        <v xml:space="preserve">  </v>
      </c>
      <c r="DG872" s="25" t="str">
        <f t="shared" si="31"/>
        <v/>
      </c>
      <c r="DH872" s="25" t="str">
        <f>BasicInput!$D$13&amp;$DH$2&amp;B872&amp;"_"&amp;C872&amp;D872&amp;"_"&amp;BasicInput!$D$7&amp;BasicInput!$D$8&amp;"_"&amp;DG872&amp;".xuf"</f>
        <v>C:\PWWORKING\east01\d2591108\Ramps\__2019EX_PM_.xuf</v>
      </c>
    </row>
    <row r="873" spans="39:112" x14ac:dyDescent="0.2">
      <c r="AM873" s="18"/>
      <c r="AS873" s="18"/>
      <c r="AX873" s="17"/>
      <c r="BI873" s="18"/>
      <c r="BO873" s="18"/>
      <c r="BT873" s="18"/>
      <c r="CA873" s="18"/>
      <c r="CH873" s="18"/>
      <c r="DF873" s="31" t="str">
        <f t="shared" si="30"/>
        <v xml:space="preserve">  </v>
      </c>
      <c r="DG873" s="25" t="str">
        <f t="shared" si="31"/>
        <v/>
      </c>
      <c r="DH873" s="25" t="str">
        <f>BasicInput!$D$13&amp;$DH$2&amp;B873&amp;"_"&amp;C873&amp;D873&amp;"_"&amp;BasicInput!$D$7&amp;BasicInput!$D$8&amp;"_"&amp;DG873&amp;".xuf"</f>
        <v>C:\PWWORKING\east01\d2591108\Ramps\__2019EX_PM_.xuf</v>
      </c>
    </row>
    <row r="874" spans="39:112" x14ac:dyDescent="0.2">
      <c r="AM874" s="18"/>
      <c r="AS874" s="18"/>
      <c r="AX874" s="17"/>
      <c r="BI874" s="18"/>
      <c r="BO874" s="18"/>
      <c r="BT874" s="18"/>
      <c r="CA874" s="18"/>
      <c r="CH874" s="18"/>
      <c r="DF874" s="31" t="str">
        <f t="shared" si="30"/>
        <v xml:space="preserve">  </v>
      </c>
      <c r="DG874" s="25" t="str">
        <f t="shared" si="31"/>
        <v/>
      </c>
      <c r="DH874" s="25" t="str">
        <f>BasicInput!$D$13&amp;$DH$2&amp;B874&amp;"_"&amp;C874&amp;D874&amp;"_"&amp;BasicInput!$D$7&amp;BasicInput!$D$8&amp;"_"&amp;DG874&amp;".xuf"</f>
        <v>C:\PWWORKING\east01\d2591108\Ramps\__2019EX_PM_.xuf</v>
      </c>
    </row>
    <row r="875" spans="39:112" x14ac:dyDescent="0.2">
      <c r="AM875" s="18"/>
      <c r="AS875" s="18"/>
      <c r="AX875" s="17"/>
      <c r="BI875" s="18"/>
      <c r="BO875" s="18"/>
      <c r="BT875" s="18"/>
      <c r="CA875" s="18"/>
      <c r="CH875" s="18"/>
      <c r="DF875" s="31" t="str">
        <f t="shared" si="30"/>
        <v xml:space="preserve">  </v>
      </c>
      <c r="DG875" s="25" t="str">
        <f t="shared" si="31"/>
        <v/>
      </c>
      <c r="DH875" s="25" t="str">
        <f>BasicInput!$D$13&amp;$DH$2&amp;B875&amp;"_"&amp;C875&amp;D875&amp;"_"&amp;BasicInput!$D$7&amp;BasicInput!$D$8&amp;"_"&amp;DG875&amp;".xuf"</f>
        <v>C:\PWWORKING\east01\d2591108\Ramps\__2019EX_PM_.xuf</v>
      </c>
    </row>
    <row r="876" spans="39:112" x14ac:dyDescent="0.2">
      <c r="AM876" s="18"/>
      <c r="AS876" s="18"/>
      <c r="AX876" s="17"/>
      <c r="BI876" s="18"/>
      <c r="BO876" s="18"/>
      <c r="BT876" s="18"/>
      <c r="CA876" s="18"/>
      <c r="CH876" s="18"/>
      <c r="DF876" s="31" t="str">
        <f t="shared" si="30"/>
        <v xml:space="preserve">  </v>
      </c>
      <c r="DG876" s="25" t="str">
        <f t="shared" si="31"/>
        <v/>
      </c>
      <c r="DH876" s="25" t="str">
        <f>BasicInput!$D$13&amp;$DH$2&amp;B876&amp;"_"&amp;C876&amp;D876&amp;"_"&amp;BasicInput!$D$7&amp;BasicInput!$D$8&amp;"_"&amp;DG876&amp;".xuf"</f>
        <v>C:\PWWORKING\east01\d2591108\Ramps\__2019EX_PM_.xuf</v>
      </c>
    </row>
    <row r="877" spans="39:112" x14ac:dyDescent="0.2">
      <c r="AM877" s="18"/>
      <c r="AS877" s="18"/>
      <c r="AX877" s="17"/>
      <c r="BI877" s="18"/>
      <c r="BO877" s="18"/>
      <c r="BT877" s="18"/>
      <c r="CA877" s="18"/>
      <c r="CH877" s="18"/>
      <c r="DF877" s="31" t="str">
        <f t="shared" si="30"/>
        <v xml:space="preserve">  </v>
      </c>
      <c r="DG877" s="25" t="str">
        <f t="shared" si="31"/>
        <v/>
      </c>
      <c r="DH877" s="25" t="str">
        <f>BasicInput!$D$13&amp;$DH$2&amp;B877&amp;"_"&amp;C877&amp;D877&amp;"_"&amp;BasicInput!$D$7&amp;BasicInput!$D$8&amp;"_"&amp;DG877&amp;".xuf"</f>
        <v>C:\PWWORKING\east01\d2591108\Ramps\__2019EX_PM_.xuf</v>
      </c>
    </row>
    <row r="878" spans="39:112" x14ac:dyDescent="0.2">
      <c r="AM878" s="18"/>
      <c r="AS878" s="18"/>
      <c r="AX878" s="17"/>
      <c r="BI878" s="18"/>
      <c r="BO878" s="18"/>
      <c r="BT878" s="18"/>
      <c r="CA878" s="18"/>
      <c r="CH878" s="18"/>
      <c r="DF878" s="31" t="str">
        <f t="shared" si="30"/>
        <v xml:space="preserve">  </v>
      </c>
      <c r="DG878" s="25" t="str">
        <f t="shared" si="31"/>
        <v/>
      </c>
      <c r="DH878" s="25" t="str">
        <f>BasicInput!$D$13&amp;$DH$2&amp;B878&amp;"_"&amp;C878&amp;D878&amp;"_"&amp;BasicInput!$D$7&amp;BasicInput!$D$8&amp;"_"&amp;DG878&amp;".xuf"</f>
        <v>C:\PWWORKING\east01\d2591108\Ramps\__2019EX_PM_.xuf</v>
      </c>
    </row>
    <row r="879" spans="39:112" x14ac:dyDescent="0.2">
      <c r="AM879" s="18"/>
      <c r="AS879" s="18"/>
      <c r="AX879" s="17"/>
      <c r="BI879" s="18"/>
      <c r="BO879" s="18"/>
      <c r="BT879" s="18"/>
      <c r="CA879" s="18"/>
      <c r="CH879" s="18"/>
      <c r="DF879" s="31" t="str">
        <f t="shared" si="30"/>
        <v xml:space="preserve">  </v>
      </c>
      <c r="DG879" s="25" t="str">
        <f t="shared" si="31"/>
        <v/>
      </c>
      <c r="DH879" s="25" t="str">
        <f>BasicInput!$D$13&amp;$DH$2&amp;B879&amp;"_"&amp;C879&amp;D879&amp;"_"&amp;BasicInput!$D$7&amp;BasicInput!$D$8&amp;"_"&amp;DG879&amp;".xuf"</f>
        <v>C:\PWWORKING\east01\d2591108\Ramps\__2019EX_PM_.xuf</v>
      </c>
    </row>
    <row r="880" spans="39:112" x14ac:dyDescent="0.2">
      <c r="AM880" s="18"/>
      <c r="AS880" s="18"/>
      <c r="AX880" s="17"/>
      <c r="BI880" s="18"/>
      <c r="BO880" s="18"/>
      <c r="BT880" s="18"/>
      <c r="CA880" s="18"/>
      <c r="CH880" s="18"/>
      <c r="DF880" s="31" t="str">
        <f t="shared" si="30"/>
        <v xml:space="preserve">  </v>
      </c>
      <c r="DG880" s="25" t="str">
        <f t="shared" si="31"/>
        <v/>
      </c>
      <c r="DH880" s="25" t="str">
        <f>BasicInput!$D$13&amp;$DH$2&amp;B880&amp;"_"&amp;C880&amp;D880&amp;"_"&amp;BasicInput!$D$7&amp;BasicInput!$D$8&amp;"_"&amp;DG880&amp;".xuf"</f>
        <v>C:\PWWORKING\east01\d2591108\Ramps\__2019EX_PM_.xuf</v>
      </c>
    </row>
    <row r="881" spans="39:112" x14ac:dyDescent="0.2">
      <c r="AM881" s="18"/>
      <c r="AS881" s="18"/>
      <c r="AX881" s="17"/>
      <c r="BI881" s="18"/>
      <c r="BO881" s="18"/>
      <c r="BT881" s="18"/>
      <c r="CA881" s="18"/>
      <c r="CH881" s="18"/>
      <c r="DF881" s="31" t="str">
        <f t="shared" si="30"/>
        <v xml:space="preserve">  </v>
      </c>
      <c r="DG881" s="25" t="str">
        <f t="shared" si="31"/>
        <v/>
      </c>
      <c r="DH881" s="25" t="str">
        <f>BasicInput!$D$13&amp;$DH$2&amp;B881&amp;"_"&amp;C881&amp;D881&amp;"_"&amp;BasicInput!$D$7&amp;BasicInput!$D$8&amp;"_"&amp;DG881&amp;".xuf"</f>
        <v>C:\PWWORKING\east01\d2591108\Ramps\__2019EX_PM_.xuf</v>
      </c>
    </row>
    <row r="882" spans="39:112" x14ac:dyDescent="0.2">
      <c r="AM882" s="18"/>
      <c r="AS882" s="18"/>
      <c r="AX882" s="17"/>
      <c r="BI882" s="18"/>
      <c r="BO882" s="18"/>
      <c r="BT882" s="18"/>
      <c r="CA882" s="18"/>
      <c r="CH882" s="18"/>
      <c r="DF882" s="31" t="str">
        <f t="shared" si="30"/>
        <v xml:space="preserve">  </v>
      </c>
      <c r="DG882" s="25" t="str">
        <f t="shared" si="31"/>
        <v/>
      </c>
      <c r="DH882" s="25" t="str">
        <f>BasicInput!$D$13&amp;$DH$2&amp;B882&amp;"_"&amp;C882&amp;D882&amp;"_"&amp;BasicInput!$D$7&amp;BasicInput!$D$8&amp;"_"&amp;DG882&amp;".xuf"</f>
        <v>C:\PWWORKING\east01\d2591108\Ramps\__2019EX_PM_.xuf</v>
      </c>
    </row>
    <row r="883" spans="39:112" x14ac:dyDescent="0.2">
      <c r="AM883" s="18"/>
      <c r="AS883" s="18"/>
      <c r="AX883" s="17"/>
      <c r="BI883" s="18"/>
      <c r="BO883" s="18"/>
      <c r="BT883" s="18"/>
      <c r="CA883" s="18"/>
      <c r="CH883" s="18"/>
      <c r="DF883" s="31" t="str">
        <f t="shared" si="30"/>
        <v xml:space="preserve">  </v>
      </c>
      <c r="DG883" s="25" t="str">
        <f t="shared" si="31"/>
        <v/>
      </c>
      <c r="DH883" s="25" t="str">
        <f>BasicInput!$D$13&amp;$DH$2&amp;B883&amp;"_"&amp;C883&amp;D883&amp;"_"&amp;BasicInput!$D$7&amp;BasicInput!$D$8&amp;"_"&amp;DG883&amp;".xuf"</f>
        <v>C:\PWWORKING\east01\d2591108\Ramps\__2019EX_PM_.xuf</v>
      </c>
    </row>
    <row r="884" spans="39:112" x14ac:dyDescent="0.2">
      <c r="AM884" s="18"/>
      <c r="AS884" s="18"/>
      <c r="AX884" s="17"/>
      <c r="BI884" s="18"/>
      <c r="BO884" s="18"/>
      <c r="BT884" s="18"/>
      <c r="CA884" s="18"/>
      <c r="CH884" s="18"/>
      <c r="DF884" s="31" t="str">
        <f t="shared" si="30"/>
        <v xml:space="preserve">  </v>
      </c>
      <c r="DG884" s="25" t="str">
        <f t="shared" si="31"/>
        <v/>
      </c>
      <c r="DH884" s="25" t="str">
        <f>BasicInput!$D$13&amp;$DH$2&amp;B884&amp;"_"&amp;C884&amp;D884&amp;"_"&amp;BasicInput!$D$7&amp;BasicInput!$D$8&amp;"_"&amp;DG884&amp;".xuf"</f>
        <v>C:\PWWORKING\east01\d2591108\Ramps\__2019EX_PM_.xuf</v>
      </c>
    </row>
    <row r="885" spans="39:112" x14ac:dyDescent="0.2">
      <c r="AM885" s="18"/>
      <c r="AS885" s="18"/>
      <c r="AX885" s="17"/>
      <c r="BI885" s="18"/>
      <c r="BO885" s="18"/>
      <c r="BT885" s="18"/>
      <c r="CA885" s="18"/>
      <c r="CH885" s="18"/>
      <c r="DF885" s="31" t="str">
        <f t="shared" si="30"/>
        <v xml:space="preserve">  </v>
      </c>
      <c r="DG885" s="25" t="str">
        <f t="shared" si="31"/>
        <v/>
      </c>
      <c r="DH885" s="25" t="str">
        <f>BasicInput!$D$13&amp;$DH$2&amp;B885&amp;"_"&amp;C885&amp;D885&amp;"_"&amp;BasicInput!$D$7&amp;BasicInput!$D$8&amp;"_"&amp;DG885&amp;".xuf"</f>
        <v>C:\PWWORKING\east01\d2591108\Ramps\__2019EX_PM_.xuf</v>
      </c>
    </row>
    <row r="886" spans="39:112" x14ac:dyDescent="0.2">
      <c r="AM886" s="18"/>
      <c r="AS886" s="18"/>
      <c r="AX886" s="17"/>
      <c r="BI886" s="18"/>
      <c r="BO886" s="18"/>
      <c r="BT886" s="18"/>
      <c r="CA886" s="18"/>
      <c r="CH886" s="18"/>
      <c r="DF886" s="31" t="str">
        <f t="shared" si="30"/>
        <v xml:space="preserve">  </v>
      </c>
      <c r="DG886" s="25" t="str">
        <f t="shared" si="31"/>
        <v/>
      </c>
      <c r="DH886" s="25" t="str">
        <f>BasicInput!$D$13&amp;$DH$2&amp;B886&amp;"_"&amp;C886&amp;D886&amp;"_"&amp;BasicInput!$D$7&amp;BasicInput!$D$8&amp;"_"&amp;DG886&amp;".xuf"</f>
        <v>C:\PWWORKING\east01\d2591108\Ramps\__2019EX_PM_.xuf</v>
      </c>
    </row>
    <row r="887" spans="39:112" x14ac:dyDescent="0.2">
      <c r="AM887" s="18"/>
      <c r="AS887" s="18"/>
      <c r="AX887" s="17"/>
      <c r="BI887" s="18"/>
      <c r="BO887" s="18"/>
      <c r="BT887" s="18"/>
      <c r="CA887" s="18"/>
      <c r="CH887" s="18"/>
      <c r="DF887" s="31" t="str">
        <f t="shared" si="30"/>
        <v xml:space="preserve">  </v>
      </c>
      <c r="DG887" s="25" t="str">
        <f t="shared" si="31"/>
        <v/>
      </c>
      <c r="DH887" s="25" t="str">
        <f>BasicInput!$D$13&amp;$DH$2&amp;B887&amp;"_"&amp;C887&amp;D887&amp;"_"&amp;BasicInput!$D$7&amp;BasicInput!$D$8&amp;"_"&amp;DG887&amp;".xuf"</f>
        <v>C:\PWWORKING\east01\d2591108\Ramps\__2019EX_PM_.xuf</v>
      </c>
    </row>
    <row r="888" spans="39:112" x14ac:dyDescent="0.2">
      <c r="AM888" s="18"/>
      <c r="AS888" s="18"/>
      <c r="AX888" s="17"/>
      <c r="BI888" s="18"/>
      <c r="BO888" s="18"/>
      <c r="BT888" s="18"/>
      <c r="CA888" s="18"/>
      <c r="CH888" s="18"/>
      <c r="DF888" s="31" t="str">
        <f t="shared" si="30"/>
        <v xml:space="preserve">  </v>
      </c>
      <c r="DG888" s="25" t="str">
        <f t="shared" si="31"/>
        <v/>
      </c>
      <c r="DH888" s="25" t="str">
        <f>BasicInput!$D$13&amp;$DH$2&amp;B888&amp;"_"&amp;C888&amp;D888&amp;"_"&amp;BasicInput!$D$7&amp;BasicInput!$D$8&amp;"_"&amp;DG888&amp;".xuf"</f>
        <v>C:\PWWORKING\east01\d2591108\Ramps\__2019EX_PM_.xuf</v>
      </c>
    </row>
    <row r="889" spans="39:112" x14ac:dyDescent="0.2">
      <c r="AM889" s="18"/>
      <c r="AS889" s="18"/>
      <c r="AX889" s="17"/>
      <c r="BI889" s="18"/>
      <c r="BO889" s="18"/>
      <c r="BT889" s="18"/>
      <c r="CA889" s="18"/>
      <c r="CH889" s="18"/>
      <c r="DF889" s="31" t="str">
        <f t="shared" si="30"/>
        <v xml:space="preserve">  </v>
      </c>
      <c r="DG889" s="25" t="str">
        <f t="shared" si="31"/>
        <v/>
      </c>
      <c r="DH889" s="25" t="str">
        <f>BasicInput!$D$13&amp;$DH$2&amp;B889&amp;"_"&amp;C889&amp;D889&amp;"_"&amp;BasicInput!$D$7&amp;BasicInput!$D$8&amp;"_"&amp;DG889&amp;".xuf"</f>
        <v>C:\PWWORKING\east01\d2591108\Ramps\__2019EX_PM_.xuf</v>
      </c>
    </row>
    <row r="890" spans="39:112" x14ac:dyDescent="0.2">
      <c r="AM890" s="18"/>
      <c r="AS890" s="18"/>
      <c r="AX890" s="17"/>
      <c r="BI890" s="18"/>
      <c r="BO890" s="18"/>
      <c r="BT890" s="18"/>
      <c r="CA890" s="18"/>
      <c r="CH890" s="18"/>
      <c r="DF890" s="31" t="str">
        <f t="shared" si="30"/>
        <v xml:space="preserve">  </v>
      </c>
      <c r="DG890" s="25" t="str">
        <f t="shared" si="31"/>
        <v/>
      </c>
      <c r="DH890" s="25" t="str">
        <f>BasicInput!$D$13&amp;$DH$2&amp;B890&amp;"_"&amp;C890&amp;D890&amp;"_"&amp;BasicInput!$D$7&amp;BasicInput!$D$8&amp;"_"&amp;DG890&amp;".xuf"</f>
        <v>C:\PWWORKING\east01\d2591108\Ramps\__2019EX_PM_.xuf</v>
      </c>
    </row>
    <row r="891" spans="39:112" x14ac:dyDescent="0.2">
      <c r="AM891" s="18"/>
      <c r="AS891" s="18"/>
      <c r="AX891" s="17"/>
      <c r="BI891" s="18"/>
      <c r="BO891" s="18"/>
      <c r="BT891" s="18"/>
      <c r="CA891" s="18"/>
      <c r="CH891" s="18"/>
      <c r="DF891" s="31" t="str">
        <f t="shared" si="30"/>
        <v xml:space="preserve">  </v>
      </c>
      <c r="DG891" s="25" t="str">
        <f t="shared" si="31"/>
        <v/>
      </c>
      <c r="DH891" s="25" t="str">
        <f>BasicInput!$D$13&amp;$DH$2&amp;B891&amp;"_"&amp;C891&amp;D891&amp;"_"&amp;BasicInput!$D$7&amp;BasicInput!$D$8&amp;"_"&amp;DG891&amp;".xuf"</f>
        <v>C:\PWWORKING\east01\d2591108\Ramps\__2019EX_PM_.xuf</v>
      </c>
    </row>
    <row r="892" spans="39:112" x14ac:dyDescent="0.2">
      <c r="AM892" s="18"/>
      <c r="AS892" s="18"/>
      <c r="AX892" s="17"/>
      <c r="BI892" s="18"/>
      <c r="BO892" s="18"/>
      <c r="BT892" s="18"/>
      <c r="CA892" s="18"/>
      <c r="CH892" s="18"/>
      <c r="DF892" s="31" t="str">
        <f t="shared" si="30"/>
        <v xml:space="preserve">  </v>
      </c>
      <c r="DG892" s="25" t="str">
        <f t="shared" si="31"/>
        <v/>
      </c>
      <c r="DH892" s="25" t="str">
        <f>BasicInput!$D$13&amp;$DH$2&amp;B892&amp;"_"&amp;C892&amp;D892&amp;"_"&amp;BasicInput!$D$7&amp;BasicInput!$D$8&amp;"_"&amp;DG892&amp;".xuf"</f>
        <v>C:\PWWORKING\east01\d2591108\Ramps\__2019EX_PM_.xuf</v>
      </c>
    </row>
    <row r="893" spans="39:112" x14ac:dyDescent="0.2">
      <c r="AM893" s="18"/>
      <c r="AS893" s="18"/>
      <c r="AX893" s="17"/>
      <c r="BI893" s="18"/>
      <c r="BO893" s="18"/>
      <c r="BT893" s="18"/>
      <c r="CA893" s="18"/>
      <c r="CH893" s="18"/>
      <c r="DF893" s="31" t="str">
        <f t="shared" si="30"/>
        <v xml:space="preserve">  </v>
      </c>
      <c r="DG893" s="25" t="str">
        <f t="shared" si="31"/>
        <v/>
      </c>
      <c r="DH893" s="25" t="str">
        <f>BasicInput!$D$13&amp;$DH$2&amp;B893&amp;"_"&amp;C893&amp;D893&amp;"_"&amp;BasicInput!$D$7&amp;BasicInput!$D$8&amp;"_"&amp;DG893&amp;".xuf"</f>
        <v>C:\PWWORKING\east01\d2591108\Ramps\__2019EX_PM_.xuf</v>
      </c>
    </row>
    <row r="894" spans="39:112" x14ac:dyDescent="0.2">
      <c r="AM894" s="18"/>
      <c r="AS894" s="18"/>
      <c r="AX894" s="17"/>
      <c r="BI894" s="18"/>
      <c r="BO894" s="18"/>
      <c r="BT894" s="18"/>
      <c r="CA894" s="18"/>
      <c r="CH894" s="18"/>
      <c r="DF894" s="31" t="str">
        <f t="shared" si="30"/>
        <v xml:space="preserve">  </v>
      </c>
      <c r="DG894" s="25" t="str">
        <f t="shared" si="31"/>
        <v/>
      </c>
      <c r="DH894" s="25" t="str">
        <f>BasicInput!$D$13&amp;$DH$2&amp;B894&amp;"_"&amp;C894&amp;D894&amp;"_"&amp;BasicInput!$D$7&amp;BasicInput!$D$8&amp;"_"&amp;DG894&amp;".xuf"</f>
        <v>C:\PWWORKING\east01\d2591108\Ramps\__2019EX_PM_.xuf</v>
      </c>
    </row>
    <row r="895" spans="39:112" x14ac:dyDescent="0.2">
      <c r="AM895" s="18"/>
      <c r="AS895" s="18"/>
      <c r="AX895" s="17"/>
      <c r="BI895" s="18"/>
      <c r="BO895" s="18"/>
      <c r="BT895" s="18"/>
      <c r="CA895" s="18"/>
      <c r="CH895" s="18"/>
      <c r="DF895" s="31" t="str">
        <f t="shared" si="30"/>
        <v xml:space="preserve">  </v>
      </c>
      <c r="DG895" s="25" t="str">
        <f t="shared" si="31"/>
        <v/>
      </c>
      <c r="DH895" s="25" t="str">
        <f>BasicInput!$D$13&amp;$DH$2&amp;B895&amp;"_"&amp;C895&amp;D895&amp;"_"&amp;BasicInput!$D$7&amp;BasicInput!$D$8&amp;"_"&amp;DG895&amp;".xuf"</f>
        <v>C:\PWWORKING\east01\d2591108\Ramps\__2019EX_PM_.xuf</v>
      </c>
    </row>
    <row r="896" spans="39:112" x14ac:dyDescent="0.2">
      <c r="AM896" s="18"/>
      <c r="AS896" s="18"/>
      <c r="AX896" s="17"/>
      <c r="BI896" s="18"/>
      <c r="BO896" s="18"/>
      <c r="BT896" s="18"/>
      <c r="CA896" s="18"/>
      <c r="CH896" s="18"/>
      <c r="DF896" s="31" t="str">
        <f t="shared" si="30"/>
        <v xml:space="preserve">  </v>
      </c>
      <c r="DG896" s="25" t="str">
        <f t="shared" si="31"/>
        <v/>
      </c>
      <c r="DH896" s="25" t="str">
        <f>BasicInput!$D$13&amp;$DH$2&amp;B896&amp;"_"&amp;C896&amp;D896&amp;"_"&amp;BasicInput!$D$7&amp;BasicInput!$D$8&amp;"_"&amp;DG896&amp;".xuf"</f>
        <v>C:\PWWORKING\east01\d2591108\Ramps\__2019EX_PM_.xuf</v>
      </c>
    </row>
    <row r="897" spans="39:112" x14ac:dyDescent="0.2">
      <c r="AM897" s="18"/>
      <c r="AS897" s="18"/>
      <c r="AX897" s="17"/>
      <c r="BI897" s="18"/>
      <c r="BO897" s="18"/>
      <c r="BT897" s="18"/>
      <c r="CA897" s="18"/>
      <c r="CH897" s="18"/>
      <c r="DF897" s="31" t="str">
        <f t="shared" si="30"/>
        <v xml:space="preserve">  </v>
      </c>
      <c r="DG897" s="25" t="str">
        <f t="shared" si="31"/>
        <v/>
      </c>
      <c r="DH897" s="25" t="str">
        <f>BasicInput!$D$13&amp;$DH$2&amp;B897&amp;"_"&amp;C897&amp;D897&amp;"_"&amp;BasicInput!$D$7&amp;BasicInput!$D$8&amp;"_"&amp;DG897&amp;".xuf"</f>
        <v>C:\PWWORKING\east01\d2591108\Ramps\__2019EX_PM_.xuf</v>
      </c>
    </row>
    <row r="898" spans="39:112" x14ac:dyDescent="0.2">
      <c r="AM898" s="18"/>
      <c r="AS898" s="18"/>
      <c r="AX898" s="17"/>
      <c r="BI898" s="18"/>
      <c r="BO898" s="18"/>
      <c r="BT898" s="18"/>
      <c r="CA898" s="18"/>
      <c r="CH898" s="18"/>
      <c r="DF898" s="31" t="str">
        <f t="shared" si="30"/>
        <v xml:space="preserve">  </v>
      </c>
      <c r="DG898" s="25" t="str">
        <f t="shared" si="31"/>
        <v/>
      </c>
      <c r="DH898" s="25" t="str">
        <f>BasicInput!$D$13&amp;$DH$2&amp;B898&amp;"_"&amp;C898&amp;D898&amp;"_"&amp;BasicInput!$D$7&amp;BasicInput!$D$8&amp;"_"&amp;DG898&amp;".xuf"</f>
        <v>C:\PWWORKING\east01\d2591108\Ramps\__2019EX_PM_.xuf</v>
      </c>
    </row>
    <row r="899" spans="39:112" x14ac:dyDescent="0.2">
      <c r="AM899" s="18"/>
      <c r="AS899" s="18"/>
      <c r="AX899" s="17"/>
      <c r="BI899" s="18"/>
      <c r="BO899" s="18"/>
      <c r="BT899" s="18"/>
      <c r="CA899" s="18"/>
      <c r="CH899" s="18"/>
      <c r="DF899" s="31" t="str">
        <f t="shared" si="30"/>
        <v xml:space="preserve">  </v>
      </c>
      <c r="DG899" s="25" t="str">
        <f t="shared" si="31"/>
        <v/>
      </c>
      <c r="DH899" s="25" t="str">
        <f>BasicInput!$D$13&amp;$DH$2&amp;B899&amp;"_"&amp;C899&amp;D899&amp;"_"&amp;BasicInput!$D$7&amp;BasicInput!$D$8&amp;"_"&amp;DG899&amp;".xuf"</f>
        <v>C:\PWWORKING\east01\d2591108\Ramps\__2019EX_PM_.xuf</v>
      </c>
    </row>
    <row r="900" spans="39:112" x14ac:dyDescent="0.2">
      <c r="AM900" s="18"/>
      <c r="AS900" s="18"/>
      <c r="AX900" s="17"/>
      <c r="BI900" s="18"/>
      <c r="BO900" s="18"/>
      <c r="BT900" s="18"/>
      <c r="CA900" s="18"/>
      <c r="CH900" s="18"/>
      <c r="DF900" s="31" t="str">
        <f t="shared" si="30"/>
        <v xml:space="preserve">  </v>
      </c>
      <c r="DG900" s="25" t="str">
        <f t="shared" si="31"/>
        <v/>
      </c>
      <c r="DH900" s="25" t="str">
        <f>BasicInput!$D$13&amp;$DH$2&amp;B900&amp;"_"&amp;C900&amp;D900&amp;"_"&amp;BasicInput!$D$7&amp;BasicInput!$D$8&amp;"_"&amp;DG900&amp;".xuf"</f>
        <v>C:\PWWORKING\east01\d2591108\Ramps\__2019EX_PM_.xuf</v>
      </c>
    </row>
    <row r="901" spans="39:112" x14ac:dyDescent="0.2">
      <c r="AM901" s="18"/>
      <c r="AS901" s="18"/>
      <c r="AX901" s="17"/>
      <c r="BI901" s="18"/>
      <c r="BO901" s="18"/>
      <c r="BT901" s="18"/>
      <c r="CA901" s="18"/>
      <c r="CH901" s="18"/>
      <c r="DF901" s="31" t="str">
        <f t="shared" si="30"/>
        <v xml:space="preserve">  </v>
      </c>
      <c r="DG901" s="25" t="str">
        <f t="shared" si="31"/>
        <v/>
      </c>
      <c r="DH901" s="25" t="str">
        <f>BasicInput!$D$13&amp;$DH$2&amp;B901&amp;"_"&amp;C901&amp;D901&amp;"_"&amp;BasicInput!$D$7&amp;BasicInput!$D$8&amp;"_"&amp;DG901&amp;".xuf"</f>
        <v>C:\PWWORKING\east01\d2591108\Ramps\__2019EX_PM_.xuf</v>
      </c>
    </row>
    <row r="902" spans="39:112" x14ac:dyDescent="0.2">
      <c r="AM902" s="18"/>
      <c r="AS902" s="18"/>
      <c r="AX902" s="17"/>
      <c r="BI902" s="18"/>
      <c r="BO902" s="18"/>
      <c r="BT902" s="18"/>
      <c r="CA902" s="18"/>
      <c r="CH902" s="18"/>
      <c r="DF902" s="31" t="str">
        <f t="shared" si="30"/>
        <v xml:space="preserve">  </v>
      </c>
      <c r="DG902" s="25" t="str">
        <f t="shared" si="31"/>
        <v/>
      </c>
      <c r="DH902" s="25" t="str">
        <f>BasicInput!$D$13&amp;$DH$2&amp;B902&amp;"_"&amp;C902&amp;D902&amp;"_"&amp;BasicInput!$D$7&amp;BasicInput!$D$8&amp;"_"&amp;DG902&amp;".xuf"</f>
        <v>C:\PWWORKING\east01\d2591108\Ramps\__2019EX_PM_.xuf</v>
      </c>
    </row>
    <row r="903" spans="39:112" x14ac:dyDescent="0.2">
      <c r="AM903" s="18"/>
      <c r="AS903" s="18"/>
      <c r="AX903" s="17"/>
      <c r="BI903" s="18"/>
      <c r="BO903" s="18"/>
      <c r="BT903" s="18"/>
      <c r="CA903" s="18"/>
      <c r="CH903" s="18"/>
      <c r="DF903" s="31" t="str">
        <f t="shared" si="30"/>
        <v xml:space="preserve">  </v>
      </c>
      <c r="DG903" s="25" t="str">
        <f t="shared" si="31"/>
        <v/>
      </c>
      <c r="DH903" s="25" t="str">
        <f>BasicInput!$D$13&amp;$DH$2&amp;B903&amp;"_"&amp;C903&amp;D903&amp;"_"&amp;BasicInput!$D$7&amp;BasicInput!$D$8&amp;"_"&amp;DG903&amp;".xuf"</f>
        <v>C:\PWWORKING\east01\d2591108\Ramps\__2019EX_PM_.xuf</v>
      </c>
    </row>
    <row r="904" spans="39:112" x14ac:dyDescent="0.2">
      <c r="AM904" s="18"/>
      <c r="AS904" s="18"/>
      <c r="AX904" s="17"/>
      <c r="BI904" s="18"/>
      <c r="BO904" s="18"/>
      <c r="BT904" s="18"/>
      <c r="CA904" s="18"/>
      <c r="CH904" s="18"/>
      <c r="DF904" s="31" t="str">
        <f t="shared" si="30"/>
        <v xml:space="preserve">  </v>
      </c>
      <c r="DG904" s="25" t="str">
        <f t="shared" si="31"/>
        <v/>
      </c>
      <c r="DH904" s="25" t="str">
        <f>BasicInput!$D$13&amp;$DH$2&amp;B904&amp;"_"&amp;C904&amp;D904&amp;"_"&amp;BasicInput!$D$7&amp;BasicInput!$D$8&amp;"_"&amp;DG904&amp;".xuf"</f>
        <v>C:\PWWORKING\east01\d2591108\Ramps\__2019EX_PM_.xuf</v>
      </c>
    </row>
    <row r="905" spans="39:112" x14ac:dyDescent="0.2">
      <c r="AM905" s="18"/>
      <c r="AS905" s="18"/>
      <c r="AX905" s="17"/>
      <c r="BI905" s="18"/>
      <c r="BO905" s="18"/>
      <c r="BT905" s="18"/>
      <c r="CA905" s="18"/>
      <c r="CH905" s="18"/>
      <c r="DF905" s="31" t="str">
        <f t="shared" si="30"/>
        <v xml:space="preserve">  </v>
      </c>
      <c r="DG905" s="25" t="str">
        <f t="shared" si="31"/>
        <v/>
      </c>
      <c r="DH905" s="25" t="str">
        <f>BasicInput!$D$13&amp;$DH$2&amp;B905&amp;"_"&amp;C905&amp;D905&amp;"_"&amp;BasicInput!$D$7&amp;BasicInput!$D$8&amp;"_"&amp;DG905&amp;".xuf"</f>
        <v>C:\PWWORKING\east01\d2591108\Ramps\__2019EX_PM_.xuf</v>
      </c>
    </row>
    <row r="906" spans="39:112" x14ac:dyDescent="0.2">
      <c r="AM906" s="18"/>
      <c r="AS906" s="18"/>
      <c r="AX906" s="17"/>
      <c r="BI906" s="18"/>
      <c r="BO906" s="18"/>
      <c r="BT906" s="18"/>
      <c r="CA906" s="18"/>
      <c r="CH906" s="18"/>
      <c r="DF906" s="31" t="str">
        <f t="shared" si="30"/>
        <v xml:space="preserve">  </v>
      </c>
      <c r="DG906" s="25" t="str">
        <f t="shared" si="31"/>
        <v/>
      </c>
      <c r="DH906" s="25" t="str">
        <f>BasicInput!$D$13&amp;$DH$2&amp;B906&amp;"_"&amp;C906&amp;D906&amp;"_"&amp;BasicInput!$D$7&amp;BasicInput!$D$8&amp;"_"&amp;DG906&amp;".xuf"</f>
        <v>C:\PWWORKING\east01\d2591108\Ramps\__2019EX_PM_.xuf</v>
      </c>
    </row>
    <row r="907" spans="39:112" x14ac:dyDescent="0.2">
      <c r="AM907" s="18"/>
      <c r="AS907" s="18"/>
      <c r="AX907" s="17"/>
      <c r="BI907" s="18"/>
      <c r="BO907" s="18"/>
      <c r="BT907" s="18"/>
      <c r="CA907" s="18"/>
      <c r="CH907" s="18"/>
      <c r="DF907" s="31" t="str">
        <f t="shared" si="30"/>
        <v xml:space="preserve">  </v>
      </c>
      <c r="DG907" s="25" t="str">
        <f t="shared" si="31"/>
        <v/>
      </c>
      <c r="DH907" s="25" t="str">
        <f>BasicInput!$D$13&amp;$DH$2&amp;B907&amp;"_"&amp;C907&amp;D907&amp;"_"&amp;BasicInput!$D$7&amp;BasicInput!$D$8&amp;"_"&amp;DG907&amp;".xuf"</f>
        <v>C:\PWWORKING\east01\d2591108\Ramps\__2019EX_PM_.xuf</v>
      </c>
    </row>
    <row r="908" spans="39:112" x14ac:dyDescent="0.2">
      <c r="AM908" s="18"/>
      <c r="AS908" s="18"/>
      <c r="AX908" s="17"/>
      <c r="BI908" s="18"/>
      <c r="BO908" s="18"/>
      <c r="BT908" s="18"/>
      <c r="CA908" s="18"/>
      <c r="CH908" s="18"/>
      <c r="DF908" s="31" t="str">
        <f t="shared" si="30"/>
        <v xml:space="preserve">  </v>
      </c>
      <c r="DG908" s="25" t="str">
        <f t="shared" si="31"/>
        <v/>
      </c>
      <c r="DH908" s="25" t="str">
        <f>BasicInput!$D$13&amp;$DH$2&amp;B908&amp;"_"&amp;C908&amp;D908&amp;"_"&amp;BasicInput!$D$7&amp;BasicInput!$D$8&amp;"_"&amp;DG908&amp;".xuf"</f>
        <v>C:\PWWORKING\east01\d2591108\Ramps\__2019EX_PM_.xuf</v>
      </c>
    </row>
    <row r="909" spans="39:112" x14ac:dyDescent="0.2">
      <c r="AM909" s="18"/>
      <c r="AS909" s="18"/>
      <c r="AX909" s="17"/>
      <c r="BI909" s="18"/>
      <c r="BO909" s="18"/>
      <c r="BT909" s="18"/>
      <c r="CA909" s="18"/>
      <c r="CH909" s="18"/>
      <c r="DF909" s="31" t="str">
        <f t="shared" si="30"/>
        <v xml:space="preserve">  </v>
      </c>
      <c r="DG909" s="25" t="str">
        <f t="shared" si="31"/>
        <v/>
      </c>
      <c r="DH909" s="25" t="str">
        <f>BasicInput!$D$13&amp;$DH$2&amp;B909&amp;"_"&amp;C909&amp;D909&amp;"_"&amp;BasicInput!$D$7&amp;BasicInput!$D$8&amp;"_"&amp;DG909&amp;".xuf"</f>
        <v>C:\PWWORKING\east01\d2591108\Ramps\__2019EX_PM_.xuf</v>
      </c>
    </row>
    <row r="910" spans="39:112" x14ac:dyDescent="0.2">
      <c r="AM910" s="18"/>
      <c r="AS910" s="18"/>
      <c r="AX910" s="17"/>
      <c r="BI910" s="18"/>
      <c r="BO910" s="18"/>
      <c r="BT910" s="18"/>
      <c r="CA910" s="18"/>
      <c r="CH910" s="18"/>
      <c r="DF910" s="31" t="str">
        <f t="shared" si="30"/>
        <v xml:space="preserve">  </v>
      </c>
      <c r="DG910" s="25" t="str">
        <f t="shared" si="31"/>
        <v/>
      </c>
      <c r="DH910" s="25" t="str">
        <f>BasicInput!$D$13&amp;$DH$2&amp;B910&amp;"_"&amp;C910&amp;D910&amp;"_"&amp;BasicInput!$D$7&amp;BasicInput!$D$8&amp;"_"&amp;DG910&amp;".xuf"</f>
        <v>C:\PWWORKING\east01\d2591108\Ramps\__2019EX_PM_.xuf</v>
      </c>
    </row>
    <row r="911" spans="39:112" x14ac:dyDescent="0.2">
      <c r="AM911" s="18"/>
      <c r="AS911" s="18"/>
      <c r="AX911" s="17"/>
      <c r="BI911" s="18"/>
      <c r="BO911" s="18"/>
      <c r="BT911" s="18"/>
      <c r="CA911" s="18"/>
      <c r="CH911" s="18"/>
      <c r="DF911" s="31" t="str">
        <f t="shared" si="30"/>
        <v xml:space="preserve">  </v>
      </c>
      <c r="DG911" s="25" t="str">
        <f t="shared" si="31"/>
        <v/>
      </c>
      <c r="DH911" s="25" t="str">
        <f>BasicInput!$D$13&amp;$DH$2&amp;B911&amp;"_"&amp;C911&amp;D911&amp;"_"&amp;BasicInput!$D$7&amp;BasicInput!$D$8&amp;"_"&amp;DG911&amp;".xuf"</f>
        <v>C:\PWWORKING\east01\d2591108\Ramps\__2019EX_PM_.xuf</v>
      </c>
    </row>
    <row r="912" spans="39:112" x14ac:dyDescent="0.2">
      <c r="AM912" s="18"/>
      <c r="AS912" s="18"/>
      <c r="AX912" s="17"/>
      <c r="BI912" s="18"/>
      <c r="BO912" s="18"/>
      <c r="BT912" s="18"/>
      <c r="CA912" s="18"/>
      <c r="CH912" s="18"/>
      <c r="DF912" s="31" t="str">
        <f t="shared" si="30"/>
        <v xml:space="preserve">  </v>
      </c>
      <c r="DG912" s="25" t="str">
        <f t="shared" si="31"/>
        <v/>
      </c>
      <c r="DH912" s="25" t="str">
        <f>BasicInput!$D$13&amp;$DH$2&amp;B912&amp;"_"&amp;C912&amp;D912&amp;"_"&amp;BasicInput!$D$7&amp;BasicInput!$D$8&amp;"_"&amp;DG912&amp;".xuf"</f>
        <v>C:\PWWORKING\east01\d2591108\Ramps\__2019EX_PM_.xuf</v>
      </c>
    </row>
    <row r="913" spans="39:112" x14ac:dyDescent="0.2">
      <c r="AM913" s="18"/>
      <c r="AS913" s="18"/>
      <c r="AX913" s="17"/>
      <c r="BI913" s="18"/>
      <c r="BO913" s="18"/>
      <c r="BT913" s="18"/>
      <c r="CA913" s="18"/>
      <c r="CH913" s="18"/>
      <c r="DF913" s="31" t="str">
        <f t="shared" ref="DF913:DF945" si="32">C913&amp; " "&amp;D913&amp;" " &amp;E913</f>
        <v xml:space="preserve">  </v>
      </c>
      <c r="DG913" s="25" t="str">
        <f t="shared" ref="DG913:DG945" si="33">SUBSTITUTE(E913, "/", "_")</f>
        <v/>
      </c>
      <c r="DH913" s="25" t="str">
        <f>BasicInput!$D$13&amp;$DH$2&amp;B913&amp;"_"&amp;C913&amp;D913&amp;"_"&amp;BasicInput!$D$7&amp;BasicInput!$D$8&amp;"_"&amp;DG913&amp;".xuf"</f>
        <v>C:\PWWORKING\east01\d2591108\Ramps\__2019EX_PM_.xuf</v>
      </c>
    </row>
    <row r="914" spans="39:112" x14ac:dyDescent="0.2">
      <c r="AM914" s="18"/>
      <c r="AS914" s="18"/>
      <c r="AX914" s="17"/>
      <c r="BI914" s="18"/>
      <c r="BO914" s="18"/>
      <c r="BT914" s="18"/>
      <c r="CA914" s="18"/>
      <c r="CH914" s="18"/>
      <c r="DF914" s="31" t="str">
        <f t="shared" si="32"/>
        <v xml:space="preserve">  </v>
      </c>
      <c r="DG914" s="25" t="str">
        <f t="shared" si="33"/>
        <v/>
      </c>
      <c r="DH914" s="25" t="str">
        <f>BasicInput!$D$13&amp;$DH$2&amp;B914&amp;"_"&amp;C914&amp;D914&amp;"_"&amp;BasicInput!$D$7&amp;BasicInput!$D$8&amp;"_"&amp;DG914&amp;".xuf"</f>
        <v>C:\PWWORKING\east01\d2591108\Ramps\__2019EX_PM_.xuf</v>
      </c>
    </row>
    <row r="915" spans="39:112" x14ac:dyDescent="0.2">
      <c r="AM915" s="18"/>
      <c r="AS915" s="18"/>
      <c r="AX915" s="17"/>
      <c r="BI915" s="18"/>
      <c r="BO915" s="18"/>
      <c r="BT915" s="18"/>
      <c r="CA915" s="18"/>
      <c r="CH915" s="18"/>
      <c r="DF915" s="31" t="str">
        <f t="shared" si="32"/>
        <v xml:space="preserve">  </v>
      </c>
      <c r="DG915" s="25" t="str">
        <f t="shared" si="33"/>
        <v/>
      </c>
      <c r="DH915" s="25" t="str">
        <f>BasicInput!$D$13&amp;$DH$2&amp;B915&amp;"_"&amp;C915&amp;D915&amp;"_"&amp;BasicInput!$D$7&amp;BasicInput!$D$8&amp;"_"&amp;DG915&amp;".xuf"</f>
        <v>C:\PWWORKING\east01\d2591108\Ramps\__2019EX_PM_.xuf</v>
      </c>
    </row>
    <row r="916" spans="39:112" x14ac:dyDescent="0.2">
      <c r="AM916" s="18"/>
      <c r="AS916" s="18"/>
      <c r="AX916" s="17"/>
      <c r="BI916" s="18"/>
      <c r="BO916" s="18"/>
      <c r="BT916" s="18"/>
      <c r="CA916" s="18"/>
      <c r="CH916" s="18"/>
      <c r="DF916" s="31" t="str">
        <f t="shared" si="32"/>
        <v xml:space="preserve">  </v>
      </c>
      <c r="DG916" s="25" t="str">
        <f t="shared" si="33"/>
        <v/>
      </c>
      <c r="DH916" s="25" t="str">
        <f>BasicInput!$D$13&amp;$DH$2&amp;B916&amp;"_"&amp;C916&amp;D916&amp;"_"&amp;BasicInput!$D$7&amp;BasicInput!$D$8&amp;"_"&amp;DG916&amp;".xuf"</f>
        <v>C:\PWWORKING\east01\d2591108\Ramps\__2019EX_PM_.xuf</v>
      </c>
    </row>
    <row r="917" spans="39:112" x14ac:dyDescent="0.2">
      <c r="AM917" s="18"/>
      <c r="AS917" s="18"/>
      <c r="AX917" s="17"/>
      <c r="BI917" s="18"/>
      <c r="BO917" s="18"/>
      <c r="BT917" s="18"/>
      <c r="CA917" s="18"/>
      <c r="CH917" s="18"/>
      <c r="DF917" s="31" t="str">
        <f t="shared" si="32"/>
        <v xml:space="preserve">  </v>
      </c>
      <c r="DG917" s="25" t="str">
        <f t="shared" si="33"/>
        <v/>
      </c>
      <c r="DH917" s="25" t="str">
        <f>BasicInput!$D$13&amp;$DH$2&amp;B917&amp;"_"&amp;C917&amp;D917&amp;"_"&amp;BasicInput!$D$7&amp;BasicInput!$D$8&amp;"_"&amp;DG917&amp;".xuf"</f>
        <v>C:\PWWORKING\east01\d2591108\Ramps\__2019EX_PM_.xuf</v>
      </c>
    </row>
    <row r="918" spans="39:112" x14ac:dyDescent="0.2">
      <c r="AM918" s="18"/>
      <c r="AS918" s="18"/>
      <c r="AX918" s="17"/>
      <c r="BI918" s="18"/>
      <c r="BO918" s="18"/>
      <c r="BT918" s="18"/>
      <c r="CA918" s="18"/>
      <c r="CH918" s="18"/>
      <c r="DF918" s="31" t="str">
        <f t="shared" si="32"/>
        <v xml:space="preserve">  </v>
      </c>
      <c r="DG918" s="25" t="str">
        <f t="shared" si="33"/>
        <v/>
      </c>
      <c r="DH918" s="25" t="str">
        <f>BasicInput!$D$13&amp;$DH$2&amp;B918&amp;"_"&amp;C918&amp;D918&amp;"_"&amp;BasicInput!$D$7&amp;BasicInput!$D$8&amp;"_"&amp;DG918&amp;".xuf"</f>
        <v>C:\PWWORKING\east01\d2591108\Ramps\__2019EX_PM_.xuf</v>
      </c>
    </row>
    <row r="919" spans="39:112" x14ac:dyDescent="0.2">
      <c r="AM919" s="18"/>
      <c r="AS919" s="18"/>
      <c r="AX919" s="17"/>
      <c r="BI919" s="18"/>
      <c r="BO919" s="18"/>
      <c r="BT919" s="18"/>
      <c r="CA919" s="18"/>
      <c r="CH919" s="18"/>
      <c r="DF919" s="31" t="str">
        <f t="shared" si="32"/>
        <v xml:space="preserve">  </v>
      </c>
      <c r="DG919" s="25" t="str">
        <f t="shared" si="33"/>
        <v/>
      </c>
      <c r="DH919" s="25" t="str">
        <f>BasicInput!$D$13&amp;$DH$2&amp;B919&amp;"_"&amp;C919&amp;D919&amp;"_"&amp;BasicInput!$D$7&amp;BasicInput!$D$8&amp;"_"&amp;DG919&amp;".xuf"</f>
        <v>C:\PWWORKING\east01\d2591108\Ramps\__2019EX_PM_.xuf</v>
      </c>
    </row>
    <row r="920" spans="39:112" x14ac:dyDescent="0.2">
      <c r="AM920" s="18"/>
      <c r="AS920" s="18"/>
      <c r="AX920" s="17"/>
      <c r="BI920" s="18"/>
      <c r="BO920" s="18"/>
      <c r="BT920" s="18"/>
      <c r="CA920" s="18"/>
      <c r="CH920" s="18"/>
      <c r="DF920" s="31" t="str">
        <f t="shared" si="32"/>
        <v xml:space="preserve">  </v>
      </c>
      <c r="DG920" s="25" t="str">
        <f t="shared" si="33"/>
        <v/>
      </c>
      <c r="DH920" s="25" t="str">
        <f>BasicInput!$D$13&amp;$DH$2&amp;B920&amp;"_"&amp;C920&amp;D920&amp;"_"&amp;BasicInput!$D$7&amp;BasicInput!$D$8&amp;"_"&amp;DG920&amp;".xuf"</f>
        <v>C:\PWWORKING\east01\d2591108\Ramps\__2019EX_PM_.xuf</v>
      </c>
    </row>
    <row r="921" spans="39:112" x14ac:dyDescent="0.2">
      <c r="AM921" s="18"/>
      <c r="AS921" s="18"/>
      <c r="AX921" s="17"/>
      <c r="BI921" s="18"/>
      <c r="BO921" s="18"/>
      <c r="BT921" s="18"/>
      <c r="CA921" s="18"/>
      <c r="CH921" s="18"/>
      <c r="DF921" s="31" t="str">
        <f t="shared" si="32"/>
        <v xml:space="preserve">  </v>
      </c>
      <c r="DG921" s="25" t="str">
        <f t="shared" si="33"/>
        <v/>
      </c>
      <c r="DH921" s="25" t="str">
        <f>BasicInput!$D$13&amp;$DH$2&amp;B921&amp;"_"&amp;C921&amp;D921&amp;"_"&amp;BasicInput!$D$7&amp;BasicInput!$D$8&amp;"_"&amp;DG921&amp;".xuf"</f>
        <v>C:\PWWORKING\east01\d2591108\Ramps\__2019EX_PM_.xuf</v>
      </c>
    </row>
    <row r="922" spans="39:112" x14ac:dyDescent="0.2">
      <c r="AM922" s="18"/>
      <c r="AS922" s="18"/>
      <c r="AX922" s="17"/>
      <c r="BI922" s="18"/>
      <c r="BO922" s="18"/>
      <c r="BT922" s="18"/>
      <c r="CA922" s="18"/>
      <c r="CH922" s="18"/>
      <c r="DF922" s="31" t="str">
        <f t="shared" si="32"/>
        <v xml:space="preserve">  </v>
      </c>
      <c r="DG922" s="25" t="str">
        <f t="shared" si="33"/>
        <v/>
      </c>
      <c r="DH922" s="25" t="str">
        <f>BasicInput!$D$13&amp;$DH$2&amp;B922&amp;"_"&amp;C922&amp;D922&amp;"_"&amp;BasicInput!$D$7&amp;BasicInput!$D$8&amp;"_"&amp;DG922&amp;".xuf"</f>
        <v>C:\PWWORKING\east01\d2591108\Ramps\__2019EX_PM_.xuf</v>
      </c>
    </row>
    <row r="923" spans="39:112" x14ac:dyDescent="0.2">
      <c r="AM923" s="18"/>
      <c r="AS923" s="18"/>
      <c r="AX923" s="17"/>
      <c r="BI923" s="18"/>
      <c r="BO923" s="18"/>
      <c r="BT923" s="18"/>
      <c r="CA923" s="18"/>
      <c r="CH923" s="18"/>
      <c r="DF923" s="31" t="str">
        <f t="shared" si="32"/>
        <v xml:space="preserve">  </v>
      </c>
      <c r="DG923" s="25" t="str">
        <f t="shared" si="33"/>
        <v/>
      </c>
      <c r="DH923" s="25" t="str">
        <f>BasicInput!$D$13&amp;$DH$2&amp;B923&amp;"_"&amp;C923&amp;D923&amp;"_"&amp;BasicInput!$D$7&amp;BasicInput!$D$8&amp;"_"&amp;DG923&amp;".xuf"</f>
        <v>C:\PWWORKING\east01\d2591108\Ramps\__2019EX_PM_.xuf</v>
      </c>
    </row>
    <row r="924" spans="39:112" x14ac:dyDescent="0.2">
      <c r="AM924" s="18"/>
      <c r="AS924" s="18"/>
      <c r="AX924" s="17"/>
      <c r="BI924" s="18"/>
      <c r="BO924" s="18"/>
      <c r="BT924" s="18"/>
      <c r="CA924" s="18"/>
      <c r="CH924" s="18"/>
      <c r="DF924" s="31" t="str">
        <f t="shared" si="32"/>
        <v xml:space="preserve">  </v>
      </c>
      <c r="DG924" s="25" t="str">
        <f t="shared" si="33"/>
        <v/>
      </c>
      <c r="DH924" s="25" t="str">
        <f>BasicInput!$D$13&amp;$DH$2&amp;B924&amp;"_"&amp;C924&amp;D924&amp;"_"&amp;BasicInput!$D$7&amp;BasicInput!$D$8&amp;"_"&amp;DG924&amp;".xuf"</f>
        <v>C:\PWWORKING\east01\d2591108\Ramps\__2019EX_PM_.xuf</v>
      </c>
    </row>
    <row r="925" spans="39:112" x14ac:dyDescent="0.2">
      <c r="AM925" s="18"/>
      <c r="AS925" s="18"/>
      <c r="AX925" s="17"/>
      <c r="BI925" s="18"/>
      <c r="BO925" s="18"/>
      <c r="BT925" s="18"/>
      <c r="CA925" s="18"/>
      <c r="CH925" s="18"/>
      <c r="DF925" s="31" t="str">
        <f t="shared" si="32"/>
        <v xml:space="preserve">  </v>
      </c>
      <c r="DG925" s="25" t="str">
        <f t="shared" si="33"/>
        <v/>
      </c>
      <c r="DH925" s="25" t="str">
        <f>BasicInput!$D$13&amp;$DH$2&amp;B925&amp;"_"&amp;C925&amp;D925&amp;"_"&amp;BasicInput!$D$7&amp;BasicInput!$D$8&amp;"_"&amp;DG925&amp;".xuf"</f>
        <v>C:\PWWORKING\east01\d2591108\Ramps\__2019EX_PM_.xuf</v>
      </c>
    </row>
    <row r="926" spans="39:112" x14ac:dyDescent="0.2">
      <c r="AM926" s="18"/>
      <c r="AS926" s="18"/>
      <c r="AX926" s="17"/>
      <c r="BI926" s="18"/>
      <c r="BO926" s="18"/>
      <c r="BT926" s="18"/>
      <c r="CA926" s="18"/>
      <c r="CH926" s="18"/>
      <c r="DF926" s="31" t="str">
        <f t="shared" si="32"/>
        <v xml:space="preserve">  </v>
      </c>
      <c r="DG926" s="25" t="str">
        <f t="shared" si="33"/>
        <v/>
      </c>
      <c r="DH926" s="25" t="str">
        <f>BasicInput!$D$13&amp;$DH$2&amp;B926&amp;"_"&amp;C926&amp;D926&amp;"_"&amp;BasicInput!$D$7&amp;BasicInput!$D$8&amp;"_"&amp;DG926&amp;".xuf"</f>
        <v>C:\PWWORKING\east01\d2591108\Ramps\__2019EX_PM_.xuf</v>
      </c>
    </row>
    <row r="927" spans="39:112" x14ac:dyDescent="0.2">
      <c r="AM927" s="18"/>
      <c r="AS927" s="18"/>
      <c r="AX927" s="17"/>
      <c r="BI927" s="18"/>
      <c r="BO927" s="18"/>
      <c r="BT927" s="18"/>
      <c r="CA927" s="18"/>
      <c r="CH927" s="18"/>
      <c r="DF927" s="31" t="str">
        <f t="shared" si="32"/>
        <v xml:space="preserve">  </v>
      </c>
      <c r="DG927" s="25" t="str">
        <f t="shared" si="33"/>
        <v/>
      </c>
      <c r="DH927" s="25" t="str">
        <f>BasicInput!$D$13&amp;$DH$2&amp;B927&amp;"_"&amp;C927&amp;D927&amp;"_"&amp;BasicInput!$D$7&amp;BasicInput!$D$8&amp;"_"&amp;DG927&amp;".xuf"</f>
        <v>C:\PWWORKING\east01\d2591108\Ramps\__2019EX_PM_.xuf</v>
      </c>
    </row>
    <row r="928" spans="39:112" x14ac:dyDescent="0.2">
      <c r="AM928" s="18"/>
      <c r="AS928" s="18"/>
      <c r="AX928" s="17"/>
      <c r="BI928" s="18"/>
      <c r="BO928" s="18"/>
      <c r="BT928" s="18"/>
      <c r="CA928" s="18"/>
      <c r="CH928" s="18"/>
      <c r="DF928" s="31" t="str">
        <f t="shared" si="32"/>
        <v xml:space="preserve">  </v>
      </c>
      <c r="DG928" s="25" t="str">
        <f t="shared" si="33"/>
        <v/>
      </c>
      <c r="DH928" s="25" t="str">
        <f>BasicInput!$D$13&amp;$DH$2&amp;B928&amp;"_"&amp;C928&amp;D928&amp;"_"&amp;BasicInput!$D$7&amp;BasicInput!$D$8&amp;"_"&amp;DG928&amp;".xuf"</f>
        <v>C:\PWWORKING\east01\d2591108\Ramps\__2019EX_PM_.xuf</v>
      </c>
    </row>
    <row r="929" spans="110:112" x14ac:dyDescent="0.2">
      <c r="DF929" s="31" t="str">
        <f t="shared" si="32"/>
        <v xml:space="preserve">  </v>
      </c>
      <c r="DG929" s="25" t="str">
        <f t="shared" si="33"/>
        <v/>
      </c>
      <c r="DH929" s="25" t="str">
        <f>BasicInput!$D$13&amp;$DH$2&amp;B929&amp;"_"&amp;C929&amp;D929&amp;"_"&amp;BasicInput!$D$7&amp;BasicInput!$D$8&amp;"_"&amp;DG929&amp;".xuf"</f>
        <v>C:\PWWORKING\east01\d2591108\Ramps\__2019EX_PM_.xuf</v>
      </c>
    </row>
    <row r="930" spans="110:112" x14ac:dyDescent="0.2">
      <c r="DF930" s="31" t="str">
        <f t="shared" si="32"/>
        <v xml:space="preserve">  </v>
      </c>
      <c r="DG930" s="25" t="str">
        <f t="shared" si="33"/>
        <v/>
      </c>
      <c r="DH930" s="25" t="str">
        <f>BasicInput!$D$13&amp;$DH$2&amp;B930&amp;"_"&amp;C930&amp;D930&amp;"_"&amp;BasicInput!$D$7&amp;BasicInput!$D$8&amp;"_"&amp;DG930&amp;".xuf"</f>
        <v>C:\PWWORKING\east01\d2591108\Ramps\__2019EX_PM_.xuf</v>
      </c>
    </row>
    <row r="931" spans="110:112" x14ac:dyDescent="0.2">
      <c r="DF931" s="31" t="str">
        <f t="shared" si="32"/>
        <v xml:space="preserve">  </v>
      </c>
      <c r="DG931" s="25" t="str">
        <f t="shared" si="33"/>
        <v/>
      </c>
      <c r="DH931" s="25" t="str">
        <f>BasicInput!$D$13&amp;$DH$2&amp;B931&amp;"_"&amp;C931&amp;D931&amp;"_"&amp;BasicInput!$D$7&amp;BasicInput!$D$8&amp;"_"&amp;DG931&amp;".xuf"</f>
        <v>C:\PWWORKING\east01\d2591108\Ramps\__2019EX_PM_.xuf</v>
      </c>
    </row>
    <row r="932" spans="110:112" x14ac:dyDescent="0.2">
      <c r="DF932" s="31" t="str">
        <f t="shared" si="32"/>
        <v xml:space="preserve">  </v>
      </c>
      <c r="DG932" s="25" t="str">
        <f t="shared" si="33"/>
        <v/>
      </c>
      <c r="DH932" s="25" t="str">
        <f>BasicInput!$D$13&amp;$DH$2&amp;B932&amp;"_"&amp;C932&amp;D932&amp;"_"&amp;BasicInput!$D$7&amp;BasicInput!$D$8&amp;"_"&amp;DG932&amp;".xuf"</f>
        <v>C:\PWWORKING\east01\d2591108\Ramps\__2019EX_PM_.xuf</v>
      </c>
    </row>
    <row r="933" spans="110:112" x14ac:dyDescent="0.2">
      <c r="DF933" s="31" t="str">
        <f t="shared" si="32"/>
        <v xml:space="preserve">  </v>
      </c>
      <c r="DG933" s="25" t="str">
        <f t="shared" si="33"/>
        <v/>
      </c>
      <c r="DH933" s="25" t="str">
        <f>BasicInput!$D$13&amp;$DH$2&amp;B933&amp;"_"&amp;C933&amp;D933&amp;"_"&amp;BasicInput!$D$7&amp;BasicInput!$D$8&amp;"_"&amp;DG933&amp;".xuf"</f>
        <v>C:\PWWORKING\east01\d2591108\Ramps\__2019EX_PM_.xuf</v>
      </c>
    </row>
    <row r="934" spans="110:112" x14ac:dyDescent="0.2">
      <c r="DF934" s="31" t="str">
        <f t="shared" si="32"/>
        <v xml:space="preserve">  </v>
      </c>
      <c r="DG934" s="25" t="str">
        <f t="shared" si="33"/>
        <v/>
      </c>
      <c r="DH934" s="25" t="str">
        <f>BasicInput!$D$13&amp;$DH$2&amp;B934&amp;"_"&amp;C934&amp;D934&amp;"_"&amp;BasicInput!$D$7&amp;BasicInput!$D$8&amp;"_"&amp;DG934&amp;".xuf"</f>
        <v>C:\PWWORKING\east01\d2591108\Ramps\__2019EX_PM_.xuf</v>
      </c>
    </row>
    <row r="935" spans="110:112" x14ac:dyDescent="0.2">
      <c r="DF935" s="31" t="str">
        <f t="shared" si="32"/>
        <v xml:space="preserve">  </v>
      </c>
      <c r="DG935" s="25" t="str">
        <f t="shared" si="33"/>
        <v/>
      </c>
      <c r="DH935" s="25" t="str">
        <f>BasicInput!$D$13&amp;$DH$2&amp;B935&amp;"_"&amp;C935&amp;D935&amp;"_"&amp;BasicInput!$D$7&amp;BasicInput!$D$8&amp;"_"&amp;DG935&amp;".xuf"</f>
        <v>C:\PWWORKING\east01\d2591108\Ramps\__2019EX_PM_.xuf</v>
      </c>
    </row>
    <row r="936" spans="110:112" x14ac:dyDescent="0.2">
      <c r="DF936" s="31" t="str">
        <f t="shared" si="32"/>
        <v xml:space="preserve">  </v>
      </c>
      <c r="DG936" s="25" t="str">
        <f t="shared" si="33"/>
        <v/>
      </c>
      <c r="DH936" s="25" t="str">
        <f>BasicInput!$D$13&amp;$DH$2&amp;B936&amp;"_"&amp;C936&amp;D936&amp;"_"&amp;BasicInput!$D$7&amp;BasicInput!$D$8&amp;"_"&amp;DG936&amp;".xuf"</f>
        <v>C:\PWWORKING\east01\d2591108\Ramps\__2019EX_PM_.xuf</v>
      </c>
    </row>
    <row r="937" spans="110:112" x14ac:dyDescent="0.2">
      <c r="DF937" s="31" t="str">
        <f t="shared" si="32"/>
        <v xml:space="preserve">  </v>
      </c>
      <c r="DG937" s="25" t="str">
        <f t="shared" si="33"/>
        <v/>
      </c>
      <c r="DH937" s="25" t="str">
        <f>BasicInput!$D$13&amp;$DH$2&amp;B937&amp;"_"&amp;C937&amp;D937&amp;"_"&amp;BasicInput!$D$7&amp;BasicInput!$D$8&amp;"_"&amp;DG937&amp;".xuf"</f>
        <v>C:\PWWORKING\east01\d2591108\Ramps\__2019EX_PM_.xuf</v>
      </c>
    </row>
    <row r="938" spans="110:112" x14ac:dyDescent="0.2">
      <c r="DF938" s="31" t="str">
        <f t="shared" si="32"/>
        <v xml:space="preserve">  </v>
      </c>
      <c r="DG938" s="25" t="str">
        <f t="shared" si="33"/>
        <v/>
      </c>
      <c r="DH938" s="25" t="str">
        <f>BasicInput!$D$13&amp;$DH$2&amp;B938&amp;"_"&amp;C938&amp;D938&amp;"_"&amp;BasicInput!$D$7&amp;BasicInput!$D$8&amp;"_"&amp;DG938&amp;".xuf"</f>
        <v>C:\PWWORKING\east01\d2591108\Ramps\__2019EX_PM_.xuf</v>
      </c>
    </row>
    <row r="939" spans="110:112" x14ac:dyDescent="0.2">
      <c r="DF939" s="31" t="str">
        <f t="shared" si="32"/>
        <v xml:space="preserve">  </v>
      </c>
      <c r="DG939" s="25" t="str">
        <f t="shared" si="33"/>
        <v/>
      </c>
      <c r="DH939" s="25" t="str">
        <f>BasicInput!$D$13&amp;$DH$2&amp;B939&amp;"_"&amp;C939&amp;D939&amp;"_"&amp;BasicInput!$D$7&amp;BasicInput!$D$8&amp;"_"&amp;DG939&amp;".xuf"</f>
        <v>C:\PWWORKING\east01\d2591108\Ramps\__2019EX_PM_.xuf</v>
      </c>
    </row>
    <row r="940" spans="110:112" x14ac:dyDescent="0.2">
      <c r="DF940" s="31" t="str">
        <f t="shared" si="32"/>
        <v xml:space="preserve">  </v>
      </c>
      <c r="DG940" s="25" t="str">
        <f t="shared" si="33"/>
        <v/>
      </c>
      <c r="DH940" s="25" t="str">
        <f>BasicInput!$D$13&amp;$DH$2&amp;B940&amp;"_"&amp;C940&amp;D940&amp;"_"&amp;BasicInput!$D$7&amp;BasicInput!$D$8&amp;"_"&amp;DG940&amp;".xuf"</f>
        <v>C:\PWWORKING\east01\d2591108\Ramps\__2019EX_PM_.xuf</v>
      </c>
    </row>
    <row r="941" spans="110:112" x14ac:dyDescent="0.2">
      <c r="DF941" s="31" t="str">
        <f t="shared" si="32"/>
        <v xml:space="preserve">  </v>
      </c>
      <c r="DG941" s="25" t="str">
        <f t="shared" si="33"/>
        <v/>
      </c>
      <c r="DH941" s="25" t="str">
        <f>BasicInput!$D$13&amp;$DH$2&amp;B941&amp;"_"&amp;C941&amp;D941&amp;"_"&amp;BasicInput!$D$7&amp;BasicInput!$D$8&amp;"_"&amp;DG941&amp;".xuf"</f>
        <v>C:\PWWORKING\east01\d2591108\Ramps\__2019EX_PM_.xuf</v>
      </c>
    </row>
    <row r="942" spans="110:112" x14ac:dyDescent="0.2">
      <c r="DF942" s="31" t="str">
        <f t="shared" si="32"/>
        <v xml:space="preserve">  </v>
      </c>
      <c r="DG942" s="25" t="str">
        <f t="shared" si="33"/>
        <v/>
      </c>
      <c r="DH942" s="25" t="str">
        <f>BasicInput!$D$13&amp;$DH$2&amp;B942&amp;"_"&amp;C942&amp;D942&amp;"_"&amp;BasicInput!$D$7&amp;BasicInput!$D$8&amp;"_"&amp;DG942&amp;".xuf"</f>
        <v>C:\PWWORKING\east01\d2591108\Ramps\__2019EX_PM_.xuf</v>
      </c>
    </row>
    <row r="943" spans="110:112" x14ac:dyDescent="0.2">
      <c r="DF943" s="31" t="str">
        <f t="shared" si="32"/>
        <v xml:space="preserve">  </v>
      </c>
      <c r="DG943" s="25" t="str">
        <f t="shared" si="33"/>
        <v/>
      </c>
      <c r="DH943" s="25" t="str">
        <f>BasicInput!$D$13&amp;$DH$2&amp;B943&amp;"_"&amp;C943&amp;D943&amp;"_"&amp;BasicInput!$D$7&amp;BasicInput!$D$8&amp;"_"&amp;DG943&amp;".xuf"</f>
        <v>C:\PWWORKING\east01\d2591108\Ramps\__2019EX_PM_.xuf</v>
      </c>
    </row>
    <row r="944" spans="110:112" x14ac:dyDescent="0.2">
      <c r="DF944" s="31" t="str">
        <f t="shared" si="32"/>
        <v xml:space="preserve">  </v>
      </c>
      <c r="DG944" s="25" t="str">
        <f t="shared" si="33"/>
        <v/>
      </c>
      <c r="DH944" s="25" t="str">
        <f>BasicInput!$D$13&amp;$DH$2&amp;B944&amp;"_"&amp;C944&amp;D944&amp;"_"&amp;BasicInput!$D$7&amp;BasicInput!$D$8&amp;"_"&amp;DG944&amp;".xuf"</f>
        <v>C:\PWWORKING\east01\d2591108\Ramps\__2019EX_PM_.xuf</v>
      </c>
    </row>
    <row r="945" spans="110:112" x14ac:dyDescent="0.2">
      <c r="DF945" s="31" t="str">
        <f t="shared" si="32"/>
        <v xml:space="preserve">  </v>
      </c>
      <c r="DG945" s="25" t="str">
        <f t="shared" si="33"/>
        <v/>
      </c>
      <c r="DH945" s="25" t="str">
        <f>BasicInput!$D$13&amp;$DH$2&amp;B945&amp;"_"&amp;C945&amp;D945&amp;"_"&amp;BasicInput!$D$7&amp;BasicInput!$D$8&amp;"_"&amp;DG945&amp;".xuf"</f>
        <v>C:\PWWORKING\east01\d2591108\Ramps\__2019EX_PM_.xuf</v>
      </c>
    </row>
  </sheetData>
  <mergeCells count="20">
    <mergeCell ref="CX6:DC6"/>
    <mergeCell ref="CI6:CK6"/>
    <mergeCell ref="CM6:CO6"/>
    <mergeCell ref="AY6:BH6"/>
    <mergeCell ref="CQ6:CS6"/>
    <mergeCell ref="CT6:CV6"/>
    <mergeCell ref="L4:AW4"/>
    <mergeCell ref="BJ6:BN6"/>
    <mergeCell ref="BP6:BS6"/>
    <mergeCell ref="CB6:CG6"/>
    <mergeCell ref="BU6:BZ6"/>
    <mergeCell ref="AG5:AW5"/>
    <mergeCell ref="AN6:AR6"/>
    <mergeCell ref="AT6:AW6"/>
    <mergeCell ref="BA5:CG5"/>
    <mergeCell ref="F6:J6"/>
    <mergeCell ref="L6:R6"/>
    <mergeCell ref="T6:X6"/>
    <mergeCell ref="Z6:AE6"/>
    <mergeCell ref="AG6:AL6"/>
  </mergeCells>
  <conditionalFormatting sqref="M17:M2924">
    <cfRule type="expression" dxfId="42" priority="25">
      <formula>#REF!="No"</formula>
    </cfRule>
  </conditionalFormatting>
  <conditionalFormatting sqref="AG8:AL16 AN8:AR16 AT8:AW16">
    <cfRule type="expression" dxfId="41" priority="24">
      <formula>$R8&lt;&gt;"Yes"</formula>
    </cfRule>
  </conditionalFormatting>
  <conditionalFormatting sqref="P8:Q16 V8:W16">
    <cfRule type="expression" dxfId="40" priority="10">
      <formula>$O8&lt;&gt;"Grade"</formula>
    </cfRule>
  </conditionalFormatting>
  <conditionalFormatting sqref="AK8:AL16 AP9:AQ16">
    <cfRule type="expression" dxfId="39" priority="8">
      <formula>$AJ8&lt;&gt;"Grade"</formula>
    </cfRule>
  </conditionalFormatting>
  <conditionalFormatting sqref="AP8:AQ8">
    <cfRule type="expression" dxfId="38" priority="6">
      <formula>$AJ8&lt;&gt;"Grade"</formula>
    </cfRule>
  </conditionalFormatting>
  <conditionalFormatting sqref="BE8:BF16 BL8:BM16">
    <cfRule type="expression" dxfId="37" priority="5">
      <formula>$BD8&lt;&gt;"Grade"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Basic_Click">
                <anchor moveWithCells="1" sizeWithCells="1">
                  <from>
                    <xdr:col>1</xdr:col>
                    <xdr:colOff>409575</xdr:colOff>
                    <xdr:row>0</xdr:row>
                    <xdr:rowOff>133350</xdr:rowOff>
                  </from>
                  <to>
                    <xdr:col>4</xdr:col>
                    <xdr:colOff>76200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CompileRamps_Click">
                <anchor moveWithCells="1" sizeWithCells="1">
                  <from>
                    <xdr:col>1</xdr:col>
                    <xdr:colOff>409575</xdr:colOff>
                    <xdr:row>0</xdr:row>
                    <xdr:rowOff>133350</xdr:rowOff>
                  </from>
                  <to>
                    <xdr:col>4</xdr:col>
                    <xdr:colOff>76200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000000-0002-0000-0200-000000000000}">
          <x14:formula1>
            <xm:f>DropDowns!$B$20:$B$22</xm:f>
          </x14:formula1>
          <xm:sqref>AH8:AH16</xm:sqref>
        </x14:dataValidation>
        <x14:dataValidation type="list" allowBlank="1" showInputMessage="1" showErrorMessage="1" xr:uid="{00000000-0002-0000-0200-000001000000}">
          <x14:formula1>
            <xm:f>DropDowns!$D$7:$D$11</xm:f>
          </x14:formula1>
          <xm:sqref>BP8:BP16 Z8:Z16 AT8:AT16</xm:sqref>
        </x14:dataValidation>
        <x14:dataValidation type="list" allowBlank="1" showInputMessage="1" showErrorMessage="1" xr:uid="{00000000-0002-0000-0200-000002000000}">
          <x14:formula1>
            <xm:f>DropDowns!$B$7:$B$9</xm:f>
          </x14:formula1>
          <xm:sqref>O8:O16 AJ8:AJ16 BD8:BD16 BW8:BW16 CD8:CD16</xm:sqref>
        </x14:dataValidation>
        <x14:dataValidation type="list" allowBlank="1" showInputMessage="1" showErrorMessage="1" xr:uid="{00000000-0002-0000-0200-000003000000}">
          <x14:formula1>
            <xm:f>DropDowns!$B$2:$B$3</xm:f>
          </x14:formula1>
          <xm:sqref>R8:R16 AZ8:AZ16</xm:sqref>
        </x14:dataValidation>
        <x14:dataValidation type="list" allowBlank="1" showInputMessage="1" showErrorMessage="1" xr:uid="{00000000-0002-0000-0200-000004000000}">
          <x14:formula1>
            <xm:f>DropDowns!$I$7:$I$8</xm:f>
          </x14:formula1>
          <xm:sqref>AB8:AB16</xm:sqref>
        </x14:dataValidation>
        <x14:dataValidation type="list" allowBlank="1" showInputMessage="1" showErrorMessage="1" xr:uid="{00000000-0002-0000-0200-000005000000}">
          <x14:formula1>
            <xm:f>DropDowns!$G$7:$G$17</xm:f>
          </x14:formula1>
          <xm:sqref>AA8:AA16</xm:sqref>
        </x14:dataValidation>
        <x14:dataValidation type="list" allowBlank="1" showInputMessage="1" showErrorMessage="1" xr:uid="{C2301168-3842-4396-B91B-1DC10155A398}">
          <x14:formula1>
            <xm:f>DropDowns!$F$29:$F$30</xm:f>
          </x14:formula1>
          <xm:sqref>AY8:AY16</xm:sqref>
        </x14:dataValidation>
        <x14:dataValidation type="list" allowBlank="1" showInputMessage="1" showErrorMessage="1" xr:uid="{F1870D96-EA24-4553-BA8F-8E56B8D9C469}">
          <x14:formula1>
            <xm:f>DropDowns!$B$29:$B$30</xm:f>
          </x14:formula1>
          <xm:sqref>BC8:BC16</xm:sqref>
        </x14:dataValidation>
        <x14:dataValidation type="list" allowBlank="1" showInputMessage="1" showErrorMessage="1" xr:uid="{F30281FC-AA86-4430-BBD5-10FB869B35A2}">
          <x14:formula1>
            <xm:f>DropDowns!$D$29:$D$31</xm:f>
          </x14:formula1>
          <xm:sqref>BU8</xm:sqref>
        </x14:dataValidation>
        <x14:dataValidation type="list" allowBlank="1" showInputMessage="1" showErrorMessage="1" xr:uid="{6AD51E8D-7A89-45A3-B5E1-D2626876FEBF}">
          <x14:formula1>
            <xm:f>DropDowns!$D$30:$D$31</xm:f>
          </x14:formula1>
          <xm:sqref>BU9:BU16 CB8:CB16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1:DM1349"/>
  <sheetViews>
    <sheetView showGridLines="0" zoomScale="87" zoomScaleNormal="87" workbookViewId="0">
      <pane xSplit="11" ySplit="6" topLeftCell="L7" activePane="bottomRight" state="frozen"/>
      <selection pane="topRight" activeCell="L1" sqref="L1"/>
      <selection pane="bottomLeft" activeCell="A7" sqref="A7"/>
      <selection pane="bottomRight" activeCell="AB6" sqref="AB6"/>
    </sheetView>
  </sheetViews>
  <sheetFormatPr defaultColWidth="9.140625" defaultRowHeight="12.75" x14ac:dyDescent="0.2"/>
  <cols>
    <col min="1" max="1" width="2.5703125" style="13" customWidth="1"/>
    <col min="2" max="4" width="6.85546875" style="14" customWidth="1"/>
    <col min="5" max="5" width="39.5703125" style="13" customWidth="1"/>
    <col min="6" max="8" width="0" style="13" hidden="1" customWidth="1"/>
    <col min="9" max="9" width="3.7109375" style="13" hidden="1" customWidth="1"/>
    <col min="10" max="10" width="2.85546875" style="13" hidden="1" customWidth="1"/>
    <col min="11" max="11" width="1.5703125" style="17" customWidth="1"/>
    <col min="12" max="14" width="10.85546875" style="14" customWidth="1"/>
    <col min="15" max="15" width="12.140625" style="14" customWidth="1"/>
    <col min="16" max="16" width="9" style="14" customWidth="1"/>
    <col min="17" max="17" width="9.28515625" style="14" customWidth="1"/>
    <col min="18" max="18" width="10.85546875" style="14" customWidth="1"/>
    <col min="19" max="19" width="8.42578125" style="14" customWidth="1"/>
    <col min="20" max="20" width="9.42578125" style="14" customWidth="1"/>
    <col min="21" max="23" width="10.85546875" style="14" customWidth="1"/>
    <col min="24" max="24" width="8.5703125" style="14" customWidth="1"/>
    <col min="25" max="25" width="11.85546875" style="14" customWidth="1"/>
    <col min="26" max="26" width="10.85546875" style="14" customWidth="1"/>
    <col min="27" max="27" width="2.5703125" style="18" customWidth="1"/>
    <col min="28" max="28" width="12.140625" style="14" bestFit="1" customWidth="1"/>
    <col min="29" max="31" width="9.140625" style="14" customWidth="1"/>
    <col min="32" max="32" width="5.42578125" style="14" customWidth="1"/>
    <col min="33" max="33" width="8.42578125" style="14" customWidth="1"/>
    <col min="34" max="34" width="2.140625" style="18" customWidth="1"/>
    <col min="35" max="35" width="18" style="14" bestFit="1" customWidth="1"/>
    <col min="36" max="36" width="15.5703125" style="14" bestFit="1" customWidth="1"/>
    <col min="37" max="37" width="11.85546875" style="14" bestFit="1" customWidth="1"/>
    <col min="38" max="39" width="9.140625" style="14" customWidth="1"/>
    <col min="40" max="40" width="2.140625" style="18" customWidth="1"/>
    <col min="41" max="43" width="7.140625" style="21" customWidth="1"/>
    <col min="44" max="44" width="7" style="21" customWidth="1"/>
    <col min="45" max="46" width="7.140625" style="21" customWidth="1"/>
    <col min="47" max="47" width="7.5703125" style="21" customWidth="1"/>
    <col min="48" max="48" width="8.42578125" style="21" customWidth="1"/>
    <col min="49" max="49" width="8.7109375" style="21" customWidth="1"/>
    <col min="50" max="50" width="7.5703125" style="21" customWidth="1"/>
    <col min="51" max="51" width="7.140625" style="21" customWidth="1"/>
    <col min="52" max="52" width="7.5703125" style="21" customWidth="1"/>
    <col min="53" max="53" width="8.42578125" style="21" customWidth="1"/>
    <col min="54" max="54" width="8.85546875" style="21" customWidth="1"/>
    <col min="55" max="55" width="7.5703125" style="21" customWidth="1"/>
    <col min="56" max="56" width="10.85546875" style="21" customWidth="1"/>
    <col min="57" max="57" width="10.42578125" style="21" customWidth="1"/>
    <col min="58" max="58" width="2.140625" style="18" customWidth="1"/>
    <col min="59" max="60" width="6.5703125" style="21" customWidth="1"/>
    <col min="61" max="62" width="8.5703125" style="21" customWidth="1"/>
    <col min="63" max="64" width="6.5703125" style="21" customWidth="1"/>
    <col min="65" max="65" width="7.42578125" style="21" customWidth="1"/>
    <col min="66" max="66" width="8.42578125" style="21" customWidth="1"/>
    <col min="67" max="67" width="8.28515625" style="21" customWidth="1"/>
    <col min="68" max="68" width="6" style="21" customWidth="1"/>
    <col min="69" max="69" width="10" style="21" customWidth="1"/>
    <col min="70" max="70" width="2.140625" style="18" customWidth="1"/>
    <col min="71" max="71" width="15.7109375" style="21" customWidth="1"/>
    <col min="72" max="74" width="7.28515625" style="21" customWidth="1"/>
    <col min="75" max="75" width="8.140625" style="21" customWidth="1"/>
    <col min="76" max="77" width="7.28515625" style="21" customWidth="1"/>
    <col min="78" max="78" width="2.140625" style="18" customWidth="1"/>
    <col min="79" max="79" width="7.85546875" style="14" customWidth="1"/>
    <col min="80" max="80" width="12.85546875" style="14" customWidth="1"/>
    <col min="81" max="82" width="7.85546875" style="14" customWidth="1"/>
    <col min="83" max="83" width="9.28515625" style="14" customWidth="1"/>
    <col min="84" max="84" width="8.7109375" style="14" customWidth="1"/>
    <col min="85" max="85" width="1.7109375" style="14" customWidth="1"/>
    <col min="86" max="87" width="7.140625" style="14" customWidth="1"/>
    <col min="88" max="88" width="9" style="14" customWidth="1"/>
    <col min="89" max="89" width="8.42578125" style="14" customWidth="1"/>
    <col min="90" max="90" width="7.140625" style="14" customWidth="1"/>
    <col min="91" max="91" width="1.85546875" style="14" customWidth="1"/>
    <col min="92" max="95" width="8.7109375" style="14" customWidth="1"/>
    <col min="96" max="96" width="2" style="18" customWidth="1"/>
    <col min="97" max="98" width="2.42578125" style="13" customWidth="1"/>
    <col min="99" max="100" width="7.85546875" style="14" customWidth="1"/>
    <col min="101" max="101" width="10.7109375" style="14" customWidth="1"/>
    <col min="102" max="102" width="11" style="14" customWidth="1"/>
    <col min="103" max="103" width="9" style="14" customWidth="1"/>
    <col min="104" max="104" width="8.5703125" style="14" customWidth="1"/>
    <col min="105" max="105" width="7.140625" style="14" customWidth="1"/>
    <col min="106" max="106" width="2.28515625" style="14" customWidth="1"/>
    <col min="107" max="112" width="9.140625" style="14"/>
    <col min="113" max="115" width="9.140625" style="13"/>
    <col min="116" max="116" width="25.28515625" style="25" customWidth="1"/>
    <col min="117" max="117" width="9.140625" style="25"/>
    <col min="118" max="16384" width="9.140625" style="13"/>
  </cols>
  <sheetData>
    <row r="1" spans="2:117" s="20" customFormat="1" x14ac:dyDescent="0.2">
      <c r="B1" s="21"/>
      <c r="C1" s="21"/>
      <c r="D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U1" s="21"/>
      <c r="CV1" s="21"/>
      <c r="CW1" s="21"/>
      <c r="CX1" s="21"/>
      <c r="CY1" s="21" t="s">
        <v>250</v>
      </c>
      <c r="CZ1" s="21"/>
      <c r="DA1" s="21"/>
      <c r="DB1" s="21"/>
      <c r="DC1" s="21"/>
      <c r="DD1" s="21"/>
      <c r="DE1" s="21"/>
      <c r="DF1" s="21"/>
      <c r="DG1" s="21"/>
      <c r="DH1" s="21"/>
      <c r="DL1" s="23"/>
      <c r="DM1" s="23"/>
    </row>
    <row r="2" spans="2:117" s="20" customFormat="1" x14ac:dyDescent="0.2">
      <c r="B2" s="21"/>
      <c r="C2" s="21"/>
      <c r="D2" s="21"/>
      <c r="L2" s="27" t="s">
        <v>83</v>
      </c>
      <c r="M2" s="27" t="s">
        <v>80</v>
      </c>
      <c r="N2" s="27" t="s">
        <v>259</v>
      </c>
      <c r="O2" s="27" t="s">
        <v>226</v>
      </c>
      <c r="P2" s="27" t="s">
        <v>225</v>
      </c>
      <c r="Q2" s="27" t="s">
        <v>220</v>
      </c>
      <c r="R2" s="27" t="s">
        <v>81</v>
      </c>
      <c r="S2" s="27" t="s">
        <v>266</v>
      </c>
      <c r="T2" s="27" t="s">
        <v>269</v>
      </c>
      <c r="U2" s="27" t="s">
        <v>224</v>
      </c>
      <c r="V2" s="27" t="s">
        <v>223</v>
      </c>
      <c r="W2" s="27" t="s">
        <v>222</v>
      </c>
      <c r="X2" s="27" t="s">
        <v>167</v>
      </c>
      <c r="Y2" s="27" t="s">
        <v>221</v>
      </c>
      <c r="Z2" s="27" t="s">
        <v>101</v>
      </c>
      <c r="AA2" s="27"/>
      <c r="AB2" s="27" t="s">
        <v>246</v>
      </c>
      <c r="AC2" s="27" t="s">
        <v>85</v>
      </c>
      <c r="AD2" s="27" t="s">
        <v>272</v>
      </c>
      <c r="AE2" s="27" t="s">
        <v>273</v>
      </c>
      <c r="AF2" s="27" t="s">
        <v>84</v>
      </c>
      <c r="AG2" s="27" t="s">
        <v>100</v>
      </c>
      <c r="AH2" s="27"/>
      <c r="AI2" s="27" t="s">
        <v>102</v>
      </c>
      <c r="AJ2" s="27" t="s">
        <v>86</v>
      </c>
      <c r="AK2" s="27" t="s">
        <v>87</v>
      </c>
      <c r="AL2" s="27" t="s">
        <v>99</v>
      </c>
      <c r="AM2" s="27" t="s">
        <v>98</v>
      </c>
      <c r="AN2" s="27"/>
      <c r="AO2" s="27" t="s">
        <v>227</v>
      </c>
      <c r="AP2" s="27" t="s">
        <v>274</v>
      </c>
      <c r="AQ2" s="27" t="s">
        <v>276</v>
      </c>
      <c r="AR2" s="27" t="s">
        <v>277</v>
      </c>
      <c r="AS2" s="27" t="s">
        <v>228</v>
      </c>
      <c r="AT2" s="27" t="s">
        <v>229</v>
      </c>
      <c r="AU2" s="27" t="s">
        <v>233</v>
      </c>
      <c r="AV2" s="27" t="s">
        <v>291</v>
      </c>
      <c r="AW2" s="27" t="s">
        <v>278</v>
      </c>
      <c r="AX2" s="27" t="s">
        <v>230</v>
      </c>
      <c r="AY2" s="27" t="s">
        <v>231</v>
      </c>
      <c r="AZ2" s="27" t="s">
        <v>234</v>
      </c>
      <c r="BA2" s="27" t="s">
        <v>280</v>
      </c>
      <c r="BB2" s="27" t="s">
        <v>279</v>
      </c>
      <c r="BC2" s="27" t="s">
        <v>232</v>
      </c>
      <c r="BD2" s="27" t="s">
        <v>235</v>
      </c>
      <c r="BE2" s="27" t="s">
        <v>236</v>
      </c>
      <c r="BF2" s="27"/>
      <c r="BG2" s="27" t="s">
        <v>237</v>
      </c>
      <c r="BH2" s="27" t="s">
        <v>275</v>
      </c>
      <c r="BI2" s="27" t="s">
        <v>281</v>
      </c>
      <c r="BJ2" s="27" t="s">
        <v>282</v>
      </c>
      <c r="BK2" s="27" t="s">
        <v>238</v>
      </c>
      <c r="BL2" s="27" t="s">
        <v>239</v>
      </c>
      <c r="BM2" s="27" t="s">
        <v>240</v>
      </c>
      <c r="BN2" s="27" t="s">
        <v>283</v>
      </c>
      <c r="BO2" s="27" t="s">
        <v>284</v>
      </c>
      <c r="BP2" s="27" t="s">
        <v>241</v>
      </c>
      <c r="BQ2" s="27" t="s">
        <v>242</v>
      </c>
      <c r="BR2" s="27"/>
      <c r="BS2" s="27" t="s">
        <v>253</v>
      </c>
      <c r="BT2" s="27" t="s">
        <v>252</v>
      </c>
      <c r="BU2" s="27" t="s">
        <v>254</v>
      </c>
      <c r="BV2" s="27" t="s">
        <v>251</v>
      </c>
      <c r="BW2" s="27" t="s">
        <v>257</v>
      </c>
      <c r="BX2" s="27" t="s">
        <v>256</v>
      </c>
      <c r="BY2" s="27" t="s">
        <v>255</v>
      </c>
      <c r="BZ2" s="27"/>
      <c r="CA2" s="27" t="s">
        <v>83</v>
      </c>
      <c r="CB2" s="27" t="s">
        <v>103</v>
      </c>
      <c r="CC2" s="27" t="s">
        <v>80</v>
      </c>
      <c r="CD2" s="27" t="s">
        <v>81</v>
      </c>
      <c r="CE2" s="27" t="s">
        <v>266</v>
      </c>
      <c r="CF2" s="27" t="s">
        <v>269</v>
      </c>
      <c r="CG2" s="27"/>
      <c r="CH2" s="27" t="s">
        <v>82</v>
      </c>
      <c r="CI2" s="27" t="s">
        <v>85</v>
      </c>
      <c r="CJ2" s="27" t="s">
        <v>272</v>
      </c>
      <c r="CK2" s="27" t="s">
        <v>273</v>
      </c>
      <c r="CL2" s="27" t="s">
        <v>84</v>
      </c>
      <c r="CM2" s="27"/>
      <c r="CN2" s="27" t="s">
        <v>102</v>
      </c>
      <c r="CO2" s="27" t="s">
        <v>100</v>
      </c>
      <c r="CP2" s="27" t="s">
        <v>99</v>
      </c>
      <c r="CQ2" s="27" t="s">
        <v>98</v>
      </c>
      <c r="CR2" s="27"/>
      <c r="CS2" s="23"/>
      <c r="CT2" s="23"/>
      <c r="CU2" s="27" t="s">
        <v>92</v>
      </c>
      <c r="CV2" s="27"/>
      <c r="CW2" s="27"/>
      <c r="CX2" s="27"/>
      <c r="CY2" s="27" t="s">
        <v>91</v>
      </c>
      <c r="CZ2" s="27" t="s">
        <v>89</v>
      </c>
      <c r="DA2" s="27" t="s">
        <v>90</v>
      </c>
      <c r="DB2" s="27"/>
      <c r="DC2" s="27" t="s">
        <v>94</v>
      </c>
      <c r="DD2" s="27" t="s">
        <v>93</v>
      </c>
      <c r="DE2" s="27" t="s">
        <v>92</v>
      </c>
      <c r="DF2" s="27" t="s">
        <v>91</v>
      </c>
      <c r="DG2" s="27" t="s">
        <v>89</v>
      </c>
      <c r="DH2" s="27" t="s">
        <v>90</v>
      </c>
      <c r="DK2" s="20" t="s">
        <v>131</v>
      </c>
      <c r="DL2" s="23"/>
      <c r="DM2" s="23" t="s">
        <v>258</v>
      </c>
    </row>
    <row r="3" spans="2:117" s="20" customFormat="1" x14ac:dyDescent="0.2">
      <c r="B3" s="21"/>
      <c r="C3" s="21"/>
      <c r="D3" s="21"/>
      <c r="L3" s="27">
        <f>IF(L2&lt;&gt;"", COLUMN(), "")</f>
        <v>12</v>
      </c>
      <c r="M3" s="27">
        <f t="shared" ref="M3:DL3" si="0">IF(M2&lt;&gt;"", COLUMN(), "")</f>
        <v>13</v>
      </c>
      <c r="N3" s="27">
        <f t="shared" si="0"/>
        <v>14</v>
      </c>
      <c r="O3" s="27">
        <f t="shared" si="0"/>
        <v>15</v>
      </c>
      <c r="P3" s="27">
        <f t="shared" si="0"/>
        <v>16</v>
      </c>
      <c r="Q3" s="27">
        <f t="shared" si="0"/>
        <v>17</v>
      </c>
      <c r="R3" s="27">
        <f t="shared" si="0"/>
        <v>18</v>
      </c>
      <c r="S3" s="27">
        <f t="shared" si="0"/>
        <v>19</v>
      </c>
      <c r="T3" s="27">
        <f t="shared" si="0"/>
        <v>20</v>
      </c>
      <c r="U3" s="27">
        <f t="shared" si="0"/>
        <v>21</v>
      </c>
      <c r="V3" s="27">
        <f t="shared" si="0"/>
        <v>22</v>
      </c>
      <c r="W3" s="27">
        <f t="shared" si="0"/>
        <v>23</v>
      </c>
      <c r="X3" s="27">
        <f t="shared" si="0"/>
        <v>24</v>
      </c>
      <c r="Y3" s="27">
        <f t="shared" si="0"/>
        <v>25</v>
      </c>
      <c r="Z3" s="27">
        <f t="shared" si="0"/>
        <v>26</v>
      </c>
      <c r="AA3" s="27" t="str">
        <f t="shared" si="0"/>
        <v/>
      </c>
      <c r="AB3" s="27">
        <f t="shared" si="0"/>
        <v>28</v>
      </c>
      <c r="AC3" s="27">
        <f t="shared" si="0"/>
        <v>29</v>
      </c>
      <c r="AD3" s="27">
        <f t="shared" si="0"/>
        <v>30</v>
      </c>
      <c r="AE3" s="27">
        <f t="shared" si="0"/>
        <v>31</v>
      </c>
      <c r="AF3" s="27">
        <f t="shared" si="0"/>
        <v>32</v>
      </c>
      <c r="AG3" s="27">
        <f t="shared" si="0"/>
        <v>33</v>
      </c>
      <c r="AH3" s="27" t="str">
        <f t="shared" si="0"/>
        <v/>
      </c>
      <c r="AI3" s="27">
        <f t="shared" si="0"/>
        <v>35</v>
      </c>
      <c r="AJ3" s="27">
        <f t="shared" si="0"/>
        <v>36</v>
      </c>
      <c r="AK3" s="27">
        <f t="shared" si="0"/>
        <v>37</v>
      </c>
      <c r="AL3" s="27">
        <f t="shared" si="0"/>
        <v>38</v>
      </c>
      <c r="AM3" s="27">
        <f t="shared" si="0"/>
        <v>39</v>
      </c>
      <c r="AN3" s="27" t="str">
        <f t="shared" si="0"/>
        <v/>
      </c>
      <c r="AO3" s="27">
        <f t="shared" si="0"/>
        <v>41</v>
      </c>
      <c r="AP3" s="27">
        <f t="shared" si="0"/>
        <v>42</v>
      </c>
      <c r="AQ3" s="27">
        <f t="shared" si="0"/>
        <v>43</v>
      </c>
      <c r="AR3" s="27">
        <f t="shared" si="0"/>
        <v>44</v>
      </c>
      <c r="AS3" s="27">
        <f t="shared" si="0"/>
        <v>45</v>
      </c>
      <c r="AT3" s="27">
        <f t="shared" si="0"/>
        <v>46</v>
      </c>
      <c r="AU3" s="27">
        <f t="shared" si="0"/>
        <v>47</v>
      </c>
      <c r="AV3" s="27">
        <f t="shared" si="0"/>
        <v>48</v>
      </c>
      <c r="AW3" s="27">
        <f t="shared" si="0"/>
        <v>49</v>
      </c>
      <c r="AX3" s="27">
        <f t="shared" si="0"/>
        <v>50</v>
      </c>
      <c r="AY3" s="27">
        <f t="shared" si="0"/>
        <v>51</v>
      </c>
      <c r="AZ3" s="27">
        <f t="shared" si="0"/>
        <v>52</v>
      </c>
      <c r="BA3" s="27">
        <f t="shared" si="0"/>
        <v>53</v>
      </c>
      <c r="BB3" s="27">
        <f t="shared" si="0"/>
        <v>54</v>
      </c>
      <c r="BC3" s="27">
        <f t="shared" si="0"/>
        <v>55</v>
      </c>
      <c r="BD3" s="27">
        <f t="shared" si="0"/>
        <v>56</v>
      </c>
      <c r="BE3" s="27">
        <f t="shared" si="0"/>
        <v>57</v>
      </c>
      <c r="BF3" s="27" t="str">
        <f t="shared" si="0"/>
        <v/>
      </c>
      <c r="BG3" s="27">
        <f t="shared" si="0"/>
        <v>59</v>
      </c>
      <c r="BH3" s="27">
        <f t="shared" si="0"/>
        <v>60</v>
      </c>
      <c r="BI3" s="27">
        <f t="shared" si="0"/>
        <v>61</v>
      </c>
      <c r="BJ3" s="27">
        <f t="shared" si="0"/>
        <v>62</v>
      </c>
      <c r="BK3" s="27">
        <f t="shared" si="0"/>
        <v>63</v>
      </c>
      <c r="BL3" s="27">
        <f t="shared" si="0"/>
        <v>64</v>
      </c>
      <c r="BM3" s="27">
        <f t="shared" si="0"/>
        <v>65</v>
      </c>
      <c r="BN3" s="27">
        <f t="shared" si="0"/>
        <v>66</v>
      </c>
      <c r="BO3" s="27">
        <f t="shared" si="0"/>
        <v>67</v>
      </c>
      <c r="BP3" s="27">
        <f t="shared" si="0"/>
        <v>68</v>
      </c>
      <c r="BQ3" s="27">
        <f t="shared" si="0"/>
        <v>69</v>
      </c>
      <c r="BR3" s="27" t="str">
        <f t="shared" si="0"/>
        <v/>
      </c>
      <c r="BS3" s="27">
        <f t="shared" si="0"/>
        <v>71</v>
      </c>
      <c r="BT3" s="27">
        <f t="shared" si="0"/>
        <v>72</v>
      </c>
      <c r="BU3" s="27">
        <f t="shared" si="0"/>
        <v>73</v>
      </c>
      <c r="BV3" s="27">
        <f t="shared" si="0"/>
        <v>74</v>
      </c>
      <c r="BW3" s="27">
        <f t="shared" si="0"/>
        <v>75</v>
      </c>
      <c r="BX3" s="27">
        <f t="shared" si="0"/>
        <v>76</v>
      </c>
      <c r="BY3" s="27">
        <f t="shared" si="0"/>
        <v>77</v>
      </c>
      <c r="BZ3" s="27" t="str">
        <f t="shared" si="0"/>
        <v/>
      </c>
      <c r="CA3" s="27">
        <f t="shared" si="0"/>
        <v>79</v>
      </c>
      <c r="CB3" s="27">
        <f t="shared" si="0"/>
        <v>80</v>
      </c>
      <c r="CC3" s="27">
        <f t="shared" si="0"/>
        <v>81</v>
      </c>
      <c r="CD3" s="27">
        <f t="shared" si="0"/>
        <v>82</v>
      </c>
      <c r="CE3" s="27">
        <f t="shared" si="0"/>
        <v>83</v>
      </c>
      <c r="CF3" s="27">
        <f t="shared" si="0"/>
        <v>84</v>
      </c>
      <c r="CG3" s="27" t="str">
        <f t="shared" si="0"/>
        <v/>
      </c>
      <c r="CH3" s="27">
        <f t="shared" si="0"/>
        <v>86</v>
      </c>
      <c r="CI3" s="27">
        <f t="shared" si="0"/>
        <v>87</v>
      </c>
      <c r="CJ3" s="27">
        <f t="shared" si="0"/>
        <v>88</v>
      </c>
      <c r="CK3" s="27">
        <f t="shared" si="0"/>
        <v>89</v>
      </c>
      <c r="CL3" s="27">
        <f t="shared" si="0"/>
        <v>90</v>
      </c>
      <c r="CM3" s="27" t="str">
        <f t="shared" si="0"/>
        <v/>
      </c>
      <c r="CN3" s="27">
        <f t="shared" si="0"/>
        <v>92</v>
      </c>
      <c r="CO3" s="27">
        <f t="shared" si="0"/>
        <v>93</v>
      </c>
      <c r="CP3" s="27">
        <f t="shared" si="0"/>
        <v>94</v>
      </c>
      <c r="CQ3" s="27">
        <f t="shared" si="0"/>
        <v>95</v>
      </c>
      <c r="CR3" s="27" t="str">
        <f t="shared" si="0"/>
        <v/>
      </c>
      <c r="CS3" s="27" t="str">
        <f t="shared" si="0"/>
        <v/>
      </c>
      <c r="CT3" s="27" t="str">
        <f t="shared" si="0"/>
        <v/>
      </c>
      <c r="CU3" s="27">
        <f t="shared" si="0"/>
        <v>99</v>
      </c>
      <c r="CV3" s="27" t="str">
        <f t="shared" si="0"/>
        <v/>
      </c>
      <c r="CW3" s="27" t="str">
        <f t="shared" si="0"/>
        <v/>
      </c>
      <c r="CX3" s="27" t="str">
        <f t="shared" si="0"/>
        <v/>
      </c>
      <c r="CY3" s="27">
        <f t="shared" si="0"/>
        <v>103</v>
      </c>
      <c r="CZ3" s="27">
        <f t="shared" si="0"/>
        <v>104</v>
      </c>
      <c r="DA3" s="27">
        <f t="shared" si="0"/>
        <v>105</v>
      </c>
      <c r="DB3" s="27" t="str">
        <f t="shared" si="0"/>
        <v/>
      </c>
      <c r="DC3" s="27">
        <f t="shared" si="0"/>
        <v>107</v>
      </c>
      <c r="DD3" s="27">
        <f t="shared" si="0"/>
        <v>108</v>
      </c>
      <c r="DE3" s="27">
        <f t="shared" si="0"/>
        <v>109</v>
      </c>
      <c r="DF3" s="27">
        <f t="shared" si="0"/>
        <v>110</v>
      </c>
      <c r="DG3" s="27">
        <f t="shared" si="0"/>
        <v>111</v>
      </c>
      <c r="DH3" s="27">
        <f t="shared" si="0"/>
        <v>112</v>
      </c>
      <c r="DI3" s="27" t="str">
        <f t="shared" si="0"/>
        <v/>
      </c>
      <c r="DJ3" s="27" t="str">
        <f t="shared" si="0"/>
        <v/>
      </c>
      <c r="DK3" s="27">
        <f t="shared" si="0"/>
        <v>115</v>
      </c>
      <c r="DL3" s="27" t="str">
        <f t="shared" si="0"/>
        <v/>
      </c>
      <c r="DM3" s="27">
        <f t="shared" ref="DM3" si="1">IF(DM2&lt;&gt;"", COLUMN(), "")</f>
        <v>117</v>
      </c>
    </row>
    <row r="4" spans="2:117" s="20" customFormat="1" x14ac:dyDescent="0.2">
      <c r="B4" s="21"/>
      <c r="C4" s="21"/>
      <c r="D4" s="21"/>
      <c r="CA4" s="158" t="s">
        <v>35</v>
      </c>
      <c r="CB4" s="158"/>
      <c r="CC4" s="158"/>
      <c r="CD4" s="158"/>
      <c r="CE4" s="158"/>
      <c r="CF4" s="158"/>
      <c r="CG4" s="158"/>
      <c r="CH4" s="158"/>
      <c r="CI4" s="158"/>
      <c r="CJ4" s="158"/>
      <c r="CK4" s="158"/>
      <c r="CL4" s="158"/>
      <c r="CM4" s="158"/>
      <c r="CN4" s="158"/>
      <c r="CO4" s="158"/>
      <c r="CP4" s="158"/>
      <c r="CQ4" s="158"/>
      <c r="CR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L4" s="23"/>
      <c r="DM4" s="23"/>
    </row>
    <row r="5" spans="2:117" s="20" customFormat="1" ht="13.5" thickBot="1" x14ac:dyDescent="0.25">
      <c r="B5" s="21"/>
      <c r="C5" s="21"/>
      <c r="D5" s="21"/>
      <c r="F5" s="158" t="s">
        <v>27</v>
      </c>
      <c r="G5" s="158"/>
      <c r="H5" s="158"/>
      <c r="I5" s="158"/>
      <c r="J5" s="158"/>
      <c r="K5" s="21"/>
      <c r="L5" s="158" t="s">
        <v>29</v>
      </c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  <c r="X5" s="158"/>
      <c r="Y5" s="158"/>
      <c r="Z5" s="158"/>
      <c r="AA5" s="21"/>
      <c r="AB5" s="158" t="s">
        <v>36</v>
      </c>
      <c r="AC5" s="158"/>
      <c r="AD5" s="158"/>
      <c r="AE5" s="158"/>
      <c r="AF5" s="158"/>
      <c r="AG5" s="37"/>
      <c r="AH5" s="21"/>
      <c r="AI5" s="158" t="s">
        <v>40</v>
      </c>
      <c r="AJ5" s="158"/>
      <c r="AK5" s="158"/>
      <c r="AL5" s="158"/>
      <c r="AM5" s="158"/>
      <c r="AN5" s="21"/>
      <c r="AO5" s="158" t="s">
        <v>205</v>
      </c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21"/>
      <c r="BG5" s="158" t="s">
        <v>209</v>
      </c>
      <c r="BH5" s="158"/>
      <c r="BI5" s="158"/>
      <c r="BJ5" s="158"/>
      <c r="BK5" s="158"/>
      <c r="BL5" s="158"/>
      <c r="BM5" s="158"/>
      <c r="BN5" s="158"/>
      <c r="BO5" s="158"/>
      <c r="BP5" s="158"/>
      <c r="BQ5" s="158"/>
      <c r="BR5" s="21"/>
      <c r="BS5" s="158" t="s">
        <v>217</v>
      </c>
      <c r="BT5" s="158"/>
      <c r="BU5" s="158"/>
      <c r="BV5" s="158"/>
      <c r="BW5" s="158"/>
      <c r="BX5" s="158"/>
      <c r="BY5" s="158"/>
      <c r="BZ5" s="21"/>
      <c r="CA5" s="159" t="s">
        <v>29</v>
      </c>
      <c r="CB5" s="159"/>
      <c r="CC5" s="159"/>
      <c r="CD5" s="159"/>
      <c r="CE5" s="159"/>
      <c r="CF5" s="159"/>
      <c r="CG5" s="21"/>
      <c r="CH5" s="158" t="s">
        <v>36</v>
      </c>
      <c r="CI5" s="158"/>
      <c r="CJ5" s="158"/>
      <c r="CK5" s="158"/>
      <c r="CL5" s="158"/>
      <c r="CM5" s="21"/>
      <c r="CN5" s="158" t="s">
        <v>40</v>
      </c>
      <c r="CO5" s="158"/>
      <c r="CP5" s="158"/>
      <c r="CQ5" s="158"/>
      <c r="CR5" s="21"/>
      <c r="CU5" s="157" t="s">
        <v>76</v>
      </c>
      <c r="CV5" s="157"/>
      <c r="CW5" s="157"/>
      <c r="CX5" s="157"/>
      <c r="CY5" s="157"/>
      <c r="CZ5" s="157"/>
      <c r="DA5" s="157"/>
      <c r="DB5" s="21"/>
      <c r="DC5" s="157" t="s">
        <v>75</v>
      </c>
      <c r="DD5" s="157"/>
      <c r="DE5" s="157"/>
      <c r="DF5" s="157"/>
      <c r="DG5" s="157"/>
      <c r="DH5" s="157"/>
      <c r="DL5" s="23"/>
      <c r="DM5" s="23"/>
    </row>
    <row r="6" spans="2:117" s="15" customFormat="1" ht="40.5" customHeight="1" thickBot="1" x14ac:dyDescent="0.25">
      <c r="B6" s="16" t="s">
        <v>21</v>
      </c>
      <c r="C6" s="16" t="s">
        <v>78</v>
      </c>
      <c r="D6" s="16" t="s">
        <v>79</v>
      </c>
      <c r="E6" s="16" t="s">
        <v>187</v>
      </c>
      <c r="F6" s="16" t="s">
        <v>22</v>
      </c>
      <c r="G6" s="16" t="s">
        <v>23</v>
      </c>
      <c r="H6" s="16" t="s">
        <v>24</v>
      </c>
      <c r="I6" s="16" t="s">
        <v>25</v>
      </c>
      <c r="J6" s="16" t="s">
        <v>26</v>
      </c>
      <c r="K6" s="19"/>
      <c r="L6" s="16" t="s">
        <v>50</v>
      </c>
      <c r="M6" s="16" t="s">
        <v>49</v>
      </c>
      <c r="N6" s="16" t="s">
        <v>188</v>
      </c>
      <c r="O6" s="16" t="s">
        <v>189</v>
      </c>
      <c r="P6" s="16" t="s">
        <v>190</v>
      </c>
      <c r="Q6" s="16" t="s">
        <v>191</v>
      </c>
      <c r="R6" s="16" t="s">
        <v>81</v>
      </c>
      <c r="S6" s="16" t="s">
        <v>267</v>
      </c>
      <c r="T6" s="16" t="s">
        <v>268</v>
      </c>
      <c r="U6" s="16" t="s">
        <v>192</v>
      </c>
      <c r="V6" s="16" t="s">
        <v>193</v>
      </c>
      <c r="W6" s="16" t="s">
        <v>194</v>
      </c>
      <c r="X6" s="16" t="s">
        <v>166</v>
      </c>
      <c r="Y6" s="16" t="s">
        <v>195</v>
      </c>
      <c r="Z6" s="16" t="s">
        <v>35</v>
      </c>
      <c r="AA6" s="19"/>
      <c r="AB6" s="16" t="s">
        <v>198</v>
      </c>
      <c r="AC6" s="16" t="s">
        <v>38</v>
      </c>
      <c r="AD6" s="16" t="s">
        <v>270</v>
      </c>
      <c r="AE6" s="16" t="s">
        <v>271</v>
      </c>
      <c r="AF6" s="16" t="s">
        <v>39</v>
      </c>
      <c r="AG6" s="38" t="s">
        <v>46</v>
      </c>
      <c r="AH6" s="19"/>
      <c r="AI6" s="16" t="s">
        <v>41</v>
      </c>
      <c r="AJ6" s="16" t="s">
        <v>42</v>
      </c>
      <c r="AK6" s="16" t="s">
        <v>43</v>
      </c>
      <c r="AL6" s="16" t="s">
        <v>44</v>
      </c>
      <c r="AM6" s="16" t="s">
        <v>45</v>
      </c>
      <c r="AN6" s="19"/>
      <c r="AO6" s="32" t="s">
        <v>83</v>
      </c>
      <c r="AP6" s="16" t="s">
        <v>81</v>
      </c>
      <c r="AQ6" s="16" t="s">
        <v>267</v>
      </c>
      <c r="AR6" s="16" t="s">
        <v>268</v>
      </c>
      <c r="AS6" s="32" t="s">
        <v>138</v>
      </c>
      <c r="AT6" s="32" t="s">
        <v>202</v>
      </c>
      <c r="AU6" s="32" t="s">
        <v>201</v>
      </c>
      <c r="AV6" s="16" t="s">
        <v>289</v>
      </c>
      <c r="AW6" s="16" t="s">
        <v>290</v>
      </c>
      <c r="AX6" s="32" t="s">
        <v>203</v>
      </c>
      <c r="AY6" s="32" t="s">
        <v>200</v>
      </c>
      <c r="AZ6" s="32" t="s">
        <v>199</v>
      </c>
      <c r="BA6" s="16" t="s">
        <v>287</v>
      </c>
      <c r="BB6" s="16" t="s">
        <v>288</v>
      </c>
      <c r="BC6" s="32" t="s">
        <v>204</v>
      </c>
      <c r="BD6" s="32" t="s">
        <v>243</v>
      </c>
      <c r="BE6" s="32" t="s">
        <v>244</v>
      </c>
      <c r="BF6" s="19"/>
      <c r="BG6" s="32" t="s">
        <v>83</v>
      </c>
      <c r="BH6" s="16" t="s">
        <v>81</v>
      </c>
      <c r="BI6" s="16" t="s">
        <v>267</v>
      </c>
      <c r="BJ6" s="16" t="s">
        <v>268</v>
      </c>
      <c r="BK6" s="32" t="s">
        <v>138</v>
      </c>
      <c r="BL6" s="32" t="s">
        <v>206</v>
      </c>
      <c r="BM6" s="32" t="s">
        <v>207</v>
      </c>
      <c r="BN6" s="16" t="s">
        <v>285</v>
      </c>
      <c r="BO6" s="16" t="s">
        <v>286</v>
      </c>
      <c r="BP6" s="32" t="s">
        <v>208</v>
      </c>
      <c r="BQ6" s="32" t="s">
        <v>245</v>
      </c>
      <c r="BR6" s="19"/>
      <c r="BS6" s="32" t="s">
        <v>210</v>
      </c>
      <c r="BT6" s="32" t="s">
        <v>215</v>
      </c>
      <c r="BU6" s="32" t="s">
        <v>211</v>
      </c>
      <c r="BV6" s="32" t="s">
        <v>212</v>
      </c>
      <c r="BW6" s="32" t="s">
        <v>214</v>
      </c>
      <c r="BX6" s="32" t="s">
        <v>213</v>
      </c>
      <c r="BY6" s="32" t="s">
        <v>216</v>
      </c>
      <c r="BZ6" s="19"/>
      <c r="CA6" s="16" t="s">
        <v>50</v>
      </c>
      <c r="CB6" s="16" t="s">
        <v>51</v>
      </c>
      <c r="CC6" s="16" t="s">
        <v>49</v>
      </c>
      <c r="CD6" s="16" t="s">
        <v>32</v>
      </c>
      <c r="CE6" s="16" t="s">
        <v>267</v>
      </c>
      <c r="CF6" s="16" t="s">
        <v>268</v>
      </c>
      <c r="CG6" s="19"/>
      <c r="CH6" s="16" t="s">
        <v>52</v>
      </c>
      <c r="CI6" s="16" t="s">
        <v>53</v>
      </c>
      <c r="CJ6" s="16" t="s">
        <v>270</v>
      </c>
      <c r="CK6" s="16" t="s">
        <v>271</v>
      </c>
      <c r="CL6" s="16" t="s">
        <v>39</v>
      </c>
      <c r="CM6" s="19"/>
      <c r="CN6" s="16" t="s">
        <v>41</v>
      </c>
      <c r="CO6" s="16" t="s">
        <v>46</v>
      </c>
      <c r="CP6" s="16" t="s">
        <v>44</v>
      </c>
      <c r="CQ6" s="16" t="s">
        <v>45</v>
      </c>
      <c r="CR6" s="19"/>
      <c r="CU6" s="110" t="s">
        <v>71</v>
      </c>
      <c r="CV6" s="22" t="s">
        <v>247</v>
      </c>
      <c r="CW6" s="22" t="s">
        <v>249</v>
      </c>
      <c r="CX6" s="22" t="s">
        <v>248</v>
      </c>
      <c r="CY6" s="110" t="s">
        <v>72</v>
      </c>
      <c r="CZ6" s="110" t="s">
        <v>73</v>
      </c>
      <c r="DA6" s="110" t="s">
        <v>74</v>
      </c>
      <c r="DC6" s="22" t="s">
        <v>69</v>
      </c>
      <c r="DD6" s="22" t="s">
        <v>70</v>
      </c>
      <c r="DE6" s="22" t="s">
        <v>71</v>
      </c>
      <c r="DF6" s="22" t="s">
        <v>72</v>
      </c>
      <c r="DG6" s="22" t="s">
        <v>73</v>
      </c>
      <c r="DH6" s="22" t="s">
        <v>74</v>
      </c>
      <c r="DL6" s="24"/>
      <c r="DM6" s="24" t="s">
        <v>77</v>
      </c>
    </row>
    <row r="7" spans="2:117" x14ac:dyDescent="0.2">
      <c r="B7" s="14">
        <v>1</v>
      </c>
      <c r="C7" s="14" t="s">
        <v>295</v>
      </c>
      <c r="D7" s="14" t="s">
        <v>312</v>
      </c>
      <c r="E7" s="49" t="s">
        <v>331</v>
      </c>
      <c r="L7" s="14">
        <v>5</v>
      </c>
      <c r="M7" s="14">
        <v>55</v>
      </c>
      <c r="N7" s="14" t="s">
        <v>196</v>
      </c>
      <c r="O7" s="14">
        <v>3</v>
      </c>
      <c r="P7" s="14">
        <v>750</v>
      </c>
      <c r="Q7" s="30">
        <v>1</v>
      </c>
      <c r="R7" s="14" t="s">
        <v>63</v>
      </c>
      <c r="S7" s="52"/>
      <c r="U7" s="14">
        <v>0</v>
      </c>
      <c r="V7" s="14">
        <v>2</v>
      </c>
      <c r="X7" s="14" t="s">
        <v>68</v>
      </c>
      <c r="Y7" s="14" t="s">
        <v>68</v>
      </c>
      <c r="Z7" s="14" t="s">
        <v>68</v>
      </c>
      <c r="AB7" s="29">
        <f>'Existing PM'!H42</f>
        <v>1672.68</v>
      </c>
      <c r="AC7" s="26">
        <v>0.16</v>
      </c>
      <c r="AD7" s="52"/>
      <c r="AE7" s="52"/>
      <c r="AF7" s="14">
        <v>0.94</v>
      </c>
      <c r="AI7" s="14" t="s">
        <v>118</v>
      </c>
      <c r="AJ7" s="14" t="s">
        <v>105</v>
      </c>
      <c r="AK7" s="14" t="s">
        <v>110</v>
      </c>
      <c r="AO7" s="14">
        <v>1</v>
      </c>
      <c r="AP7" s="14" t="s">
        <v>63</v>
      </c>
      <c r="AQ7" s="52"/>
      <c r="AR7" s="52"/>
      <c r="AS7" s="14">
        <v>45</v>
      </c>
      <c r="AT7" s="99">
        <f>'Existing PM'!J42</f>
        <v>147.32</v>
      </c>
      <c r="AU7" s="26">
        <v>0.05</v>
      </c>
      <c r="AV7" s="52"/>
      <c r="AW7" s="52"/>
      <c r="AX7" s="14">
        <v>0.94</v>
      </c>
      <c r="AY7" s="99">
        <f>'Existing PM'!K42</f>
        <v>142.68</v>
      </c>
      <c r="AZ7" s="26">
        <v>0.05</v>
      </c>
      <c r="BA7" s="52"/>
      <c r="BB7" s="52"/>
      <c r="BC7" s="14">
        <v>0.94</v>
      </c>
      <c r="BG7" s="14">
        <v>2</v>
      </c>
      <c r="BH7" s="14" t="s">
        <v>63</v>
      </c>
      <c r="BI7" s="52"/>
      <c r="BJ7" s="52"/>
      <c r="BK7" s="14">
        <v>45</v>
      </c>
      <c r="BL7" s="99">
        <f>'Existing PM'!I42</f>
        <v>1287.32</v>
      </c>
      <c r="BM7" s="26">
        <v>0.05</v>
      </c>
      <c r="BN7" s="52"/>
      <c r="BO7" s="52"/>
      <c r="BP7" s="14">
        <v>0.94</v>
      </c>
      <c r="BS7" s="21" t="s">
        <v>219</v>
      </c>
      <c r="BT7" s="21">
        <v>600</v>
      </c>
      <c r="BU7" s="21">
        <v>65</v>
      </c>
      <c r="BV7" s="21" t="s">
        <v>63</v>
      </c>
      <c r="BW7" s="39">
        <v>0.01</v>
      </c>
      <c r="BX7" s="21">
        <v>0.88</v>
      </c>
      <c r="BY7" s="21">
        <v>1500</v>
      </c>
      <c r="CE7" s="52"/>
      <c r="CF7" s="52"/>
      <c r="CG7" s="18"/>
      <c r="CI7" s="26"/>
      <c r="CJ7" s="52"/>
      <c r="CK7" s="52"/>
      <c r="CM7" s="18"/>
      <c r="CU7" s="14">
        <v>0.45810390232224002</v>
      </c>
      <c r="CX7" s="30"/>
      <c r="CY7" s="30">
        <v>48.6</v>
      </c>
      <c r="CZ7" s="14">
        <v>15.7</v>
      </c>
      <c r="DA7" s="14" t="s">
        <v>424</v>
      </c>
      <c r="DK7" s="31" t="str">
        <f t="shared" ref="DK7:DK11" si="2">C7&amp; " "&amp;D7&amp;" " &amp;E7</f>
        <v>I-295 WB Btwn Throgs Neck on and I-695 off</v>
      </c>
      <c r="DL7" s="25" t="str">
        <f>TRIM(LEFT(E7, 30))</f>
        <v>Btwn Throgs Neck on and I-695</v>
      </c>
      <c r="DM7" s="25" t="str">
        <f>BasicInput!$D$13&amp;$DM$2&amp;B7&amp;"_"&amp;C7&amp;D7&amp;"_"&amp;BasicInput!$D$7&amp;BasicInput!$D$8&amp;"_"&amp;DL7&amp;".xuf"</f>
        <v>C:\PWWORKING\east01\d2591108\Weave\1_I-295WB_2019EX_PM_Btwn Throgs Neck on and I-695.xuf</v>
      </c>
    </row>
    <row r="8" spans="2:117" x14ac:dyDescent="0.2">
      <c r="B8" s="14">
        <v>2</v>
      </c>
      <c r="C8" s="14" t="s">
        <v>295</v>
      </c>
      <c r="D8" s="14" t="s">
        <v>312</v>
      </c>
      <c r="E8" s="49" t="s">
        <v>332</v>
      </c>
      <c r="L8" s="14">
        <v>4</v>
      </c>
      <c r="M8" s="14">
        <v>55</v>
      </c>
      <c r="N8" s="14" t="s">
        <v>196</v>
      </c>
      <c r="O8" s="14">
        <v>2</v>
      </c>
      <c r="P8" s="14">
        <v>1550</v>
      </c>
      <c r="Q8" s="30">
        <v>1</v>
      </c>
      <c r="R8" s="14" t="s">
        <v>63</v>
      </c>
      <c r="S8" s="52">
        <v>2</v>
      </c>
      <c r="T8" s="14">
        <v>0.36</v>
      </c>
      <c r="U8" s="14">
        <v>0</v>
      </c>
      <c r="V8" s="14">
        <v>1</v>
      </c>
      <c r="X8" s="14" t="s">
        <v>68</v>
      </c>
      <c r="Y8" s="14" t="s">
        <v>68</v>
      </c>
      <c r="Z8" s="14" t="s">
        <v>68</v>
      </c>
      <c r="AB8" s="29">
        <f>'Existing PM'!H46</f>
        <v>926.42</v>
      </c>
      <c r="AC8" s="26">
        <v>0.16</v>
      </c>
      <c r="AD8" s="52">
        <v>45</v>
      </c>
      <c r="AE8" s="52">
        <v>55</v>
      </c>
      <c r="AF8" s="14">
        <v>0.94</v>
      </c>
      <c r="AI8" s="14" t="s">
        <v>118</v>
      </c>
      <c r="AJ8" s="14" t="s">
        <v>105</v>
      </c>
      <c r="AK8" s="14" t="s">
        <v>110</v>
      </c>
      <c r="AO8" s="14">
        <v>1</v>
      </c>
      <c r="AP8" s="14" t="s">
        <v>63</v>
      </c>
      <c r="AQ8" s="52">
        <v>45</v>
      </c>
      <c r="AR8" s="52">
        <v>55</v>
      </c>
      <c r="AS8" s="14">
        <v>45</v>
      </c>
      <c r="AT8" s="99">
        <f>'Existing PM'!J46</f>
        <v>303.58000000000004</v>
      </c>
      <c r="AU8" s="26">
        <v>0.05</v>
      </c>
      <c r="AV8" s="52">
        <v>45</v>
      </c>
      <c r="AW8" s="52">
        <v>55</v>
      </c>
      <c r="AX8" s="14">
        <v>0.94</v>
      </c>
      <c r="AY8" s="99">
        <f>'Existing PM'!K46</f>
        <v>126.41999999999999</v>
      </c>
      <c r="AZ8" s="26">
        <v>0.05</v>
      </c>
      <c r="BA8" s="52">
        <v>45</v>
      </c>
      <c r="BB8" s="52">
        <v>55</v>
      </c>
      <c r="BC8" s="14">
        <v>0.94</v>
      </c>
      <c r="BG8" s="14">
        <v>1</v>
      </c>
      <c r="BH8" s="14" t="s">
        <v>63</v>
      </c>
      <c r="BI8" s="52">
        <v>45</v>
      </c>
      <c r="BJ8" s="52">
        <v>55</v>
      </c>
      <c r="BK8" s="14">
        <v>45</v>
      </c>
      <c r="BL8" s="99">
        <f>'Existing PM'!I46</f>
        <v>733.58</v>
      </c>
      <c r="BM8" s="26">
        <v>0.05</v>
      </c>
      <c r="BN8" s="52">
        <v>45</v>
      </c>
      <c r="BO8" s="52">
        <v>55</v>
      </c>
      <c r="BP8" s="14">
        <v>0.94</v>
      </c>
      <c r="BS8" s="21" t="s">
        <v>260</v>
      </c>
      <c r="BT8" s="21">
        <v>600</v>
      </c>
      <c r="BU8" s="21">
        <v>65</v>
      </c>
      <c r="BV8" s="21" t="s">
        <v>63</v>
      </c>
      <c r="BW8" s="39">
        <v>0.01</v>
      </c>
      <c r="BX8" s="21">
        <v>0.88</v>
      </c>
      <c r="BY8" s="21">
        <v>1500</v>
      </c>
      <c r="CE8" s="52"/>
      <c r="CF8" s="52"/>
      <c r="CG8" s="18"/>
      <c r="CI8" s="26"/>
      <c r="CJ8" s="52">
        <v>45</v>
      </c>
      <c r="CK8" s="52">
        <v>55</v>
      </c>
      <c r="CM8" s="18"/>
      <c r="CU8" s="14">
        <v>0.48252024491408202</v>
      </c>
      <c r="CX8" s="30"/>
      <c r="CY8" s="30">
        <v>49.5</v>
      </c>
      <c r="CZ8" s="14">
        <v>12.3</v>
      </c>
      <c r="DA8" s="14" t="s">
        <v>424</v>
      </c>
      <c r="DK8" s="31" t="str">
        <f t="shared" si="2"/>
        <v>I-295 WB Btwn Randall on and I-278 off</v>
      </c>
      <c r="DL8" s="25" t="str">
        <f>TRIM(LEFT(E8, 30))</f>
        <v>Btwn Randall on and I-278 off</v>
      </c>
      <c r="DM8" s="25" t="str">
        <f>BasicInput!$D$13&amp;$DM$2&amp;B8&amp;"_"&amp;C8&amp;D8&amp;"_"&amp;BasicInput!$D$7&amp;BasicInput!$D$8&amp;"_"&amp;DL8&amp;".xuf"</f>
        <v>C:\PWWORKING\east01\d2591108\Weave\2_I-295WB_2019EX_PM_Btwn Randall on and I-278 off.xuf</v>
      </c>
    </row>
    <row r="9" spans="2:117" x14ac:dyDescent="0.2">
      <c r="B9" s="14">
        <v>3</v>
      </c>
      <c r="C9" s="14" t="s">
        <v>292</v>
      </c>
      <c r="D9" s="14" t="s">
        <v>312</v>
      </c>
      <c r="E9" s="49" t="s">
        <v>333</v>
      </c>
      <c r="L9" s="14">
        <v>4</v>
      </c>
      <c r="M9" s="14">
        <v>55</v>
      </c>
      <c r="N9" s="14" t="s">
        <v>196</v>
      </c>
      <c r="O9" s="14">
        <v>3</v>
      </c>
      <c r="P9" s="14">
        <v>540</v>
      </c>
      <c r="Q9" s="30">
        <v>1</v>
      </c>
      <c r="R9" s="14" t="s">
        <v>63</v>
      </c>
      <c r="S9" s="52"/>
      <c r="U9" s="14">
        <v>2</v>
      </c>
      <c r="V9" s="14">
        <v>0</v>
      </c>
      <c r="X9" s="14" t="s">
        <v>68</v>
      </c>
      <c r="Y9" s="14" t="s">
        <v>68</v>
      </c>
      <c r="Z9" s="14" t="s">
        <v>68</v>
      </c>
      <c r="AB9" s="29">
        <f>'Existing PM'!H49</f>
        <v>817.44</v>
      </c>
      <c r="AC9" s="26">
        <v>0.16</v>
      </c>
      <c r="AD9" s="52"/>
      <c r="AE9" s="52"/>
      <c r="AF9" s="14">
        <v>0.94</v>
      </c>
      <c r="AI9" s="14" t="s">
        <v>118</v>
      </c>
      <c r="AJ9" s="14" t="s">
        <v>105</v>
      </c>
      <c r="AK9" s="14" t="s">
        <v>110</v>
      </c>
      <c r="AO9" s="14">
        <v>2</v>
      </c>
      <c r="AP9" s="14" t="s">
        <v>63</v>
      </c>
      <c r="AQ9" s="52"/>
      <c r="AR9" s="52"/>
      <c r="AS9" s="14">
        <v>45</v>
      </c>
      <c r="AT9" s="99">
        <f>'Existing PM'!J49</f>
        <v>1132.56</v>
      </c>
      <c r="AU9" s="26">
        <v>0.05</v>
      </c>
      <c r="AV9" s="52"/>
      <c r="AW9" s="52"/>
      <c r="AX9" s="14">
        <v>0.94</v>
      </c>
      <c r="AY9" s="99">
        <f>'Existing PM'!K49</f>
        <v>37.44</v>
      </c>
      <c r="AZ9" s="26">
        <v>0.05</v>
      </c>
      <c r="BA9" s="52"/>
      <c r="BB9" s="52"/>
      <c r="BC9" s="14">
        <v>0.94</v>
      </c>
      <c r="BG9" s="14">
        <v>1</v>
      </c>
      <c r="BH9" s="14" t="s">
        <v>63</v>
      </c>
      <c r="BI9" s="52"/>
      <c r="BJ9" s="52"/>
      <c r="BK9" s="14">
        <v>45</v>
      </c>
      <c r="BL9" s="99">
        <f>'Existing PM'!I49</f>
        <v>412.56</v>
      </c>
      <c r="BM9" s="26">
        <v>0.05</v>
      </c>
      <c r="BN9" s="52"/>
      <c r="BO9" s="52"/>
      <c r="BP9" s="14">
        <v>0.94</v>
      </c>
      <c r="BS9" s="21" t="s">
        <v>260</v>
      </c>
      <c r="BT9" s="21">
        <v>600</v>
      </c>
      <c r="BU9" s="21">
        <v>65</v>
      </c>
      <c r="BV9" s="21" t="s">
        <v>63</v>
      </c>
      <c r="BW9" s="39">
        <v>0.01</v>
      </c>
      <c r="BX9" s="21">
        <v>0.88</v>
      </c>
      <c r="BY9" s="21">
        <v>1500</v>
      </c>
      <c r="CE9" s="52"/>
      <c r="CF9" s="52"/>
      <c r="CG9" s="18"/>
      <c r="CI9" s="26"/>
      <c r="CJ9" s="52"/>
      <c r="CK9" s="52"/>
      <c r="CM9" s="18"/>
      <c r="CU9" s="14">
        <v>0.49369113204193998</v>
      </c>
      <c r="CY9" s="14">
        <v>44.2</v>
      </c>
      <c r="CZ9" s="14">
        <v>15.7</v>
      </c>
      <c r="DA9" s="14" t="s">
        <v>424</v>
      </c>
      <c r="DK9" s="31" t="str">
        <f t="shared" si="2"/>
        <v>I-95 WB Btwn I-95 on and Cross Bronx off</v>
      </c>
      <c r="DL9" s="25" t="str">
        <f t="shared" ref="DL9:DL11" si="3">TRIM(LEFT(E9, 30))</f>
        <v>Btwn I-95 on and Cross Bronx o</v>
      </c>
      <c r="DM9" s="25" t="str">
        <f>BasicInput!$D$13&amp;$DM$2&amp;B9&amp;"_"&amp;C9&amp;D9&amp;"_"&amp;BasicInput!$D$7&amp;BasicInput!$D$8&amp;"_"&amp;DL9&amp;".xuf"</f>
        <v>C:\PWWORKING\east01\d2591108\Weave\3_I-95WB_2019EX_PM_Btwn I-95 on and Cross Bronx o.xuf</v>
      </c>
    </row>
    <row r="10" spans="2:117" x14ac:dyDescent="0.2">
      <c r="B10" s="14">
        <v>4</v>
      </c>
      <c r="C10" s="14" t="s">
        <v>292</v>
      </c>
      <c r="D10" s="14" t="s">
        <v>312</v>
      </c>
      <c r="E10" s="49" t="s">
        <v>334</v>
      </c>
      <c r="L10" s="14">
        <v>4</v>
      </c>
      <c r="M10" s="14">
        <v>55</v>
      </c>
      <c r="N10" s="14" t="s">
        <v>196</v>
      </c>
      <c r="O10" s="14">
        <v>2</v>
      </c>
      <c r="P10" s="14">
        <v>400</v>
      </c>
      <c r="Q10" s="30">
        <v>1</v>
      </c>
      <c r="R10" s="14" t="s">
        <v>63</v>
      </c>
      <c r="S10" s="52">
        <v>3</v>
      </c>
      <c r="T10" s="14">
        <v>0.4</v>
      </c>
      <c r="U10" s="14">
        <v>1</v>
      </c>
      <c r="V10" s="14">
        <v>1</v>
      </c>
      <c r="X10" s="14" t="s">
        <v>68</v>
      </c>
      <c r="Y10" s="14" t="s">
        <v>68</v>
      </c>
      <c r="Z10" s="14" t="s">
        <v>68</v>
      </c>
      <c r="AB10" s="29">
        <f>'Existing PM'!H53</f>
        <v>1780.48</v>
      </c>
      <c r="AC10" s="26">
        <v>0.16</v>
      </c>
      <c r="AD10" s="52">
        <v>25</v>
      </c>
      <c r="AE10" s="52">
        <v>75</v>
      </c>
      <c r="AF10" s="14">
        <v>0.94</v>
      </c>
      <c r="AI10" s="14" t="s">
        <v>118</v>
      </c>
      <c r="AJ10" s="14" t="s">
        <v>105</v>
      </c>
      <c r="AK10" s="14" t="s">
        <v>110</v>
      </c>
      <c r="AO10" s="14">
        <v>1</v>
      </c>
      <c r="AP10" s="14" t="s">
        <v>63</v>
      </c>
      <c r="AQ10" s="52">
        <v>25</v>
      </c>
      <c r="AR10" s="52">
        <v>75</v>
      </c>
      <c r="AS10" s="14">
        <v>45</v>
      </c>
      <c r="AT10" s="99">
        <f>'Existing PM'!J53</f>
        <v>139.52000000000001</v>
      </c>
      <c r="AU10" s="26">
        <v>0.05</v>
      </c>
      <c r="AV10" s="52">
        <v>25</v>
      </c>
      <c r="AW10" s="52">
        <v>75</v>
      </c>
      <c r="AX10" s="14">
        <v>0.94</v>
      </c>
      <c r="AY10" s="99">
        <f>'Existing PM'!K53</f>
        <v>20.48</v>
      </c>
      <c r="AZ10" s="26">
        <v>0.05</v>
      </c>
      <c r="BA10" s="52">
        <v>25</v>
      </c>
      <c r="BB10" s="52">
        <v>75</v>
      </c>
      <c r="BC10" s="14">
        <v>0.94</v>
      </c>
      <c r="BG10" s="14">
        <v>1</v>
      </c>
      <c r="BH10" s="14" t="s">
        <v>63</v>
      </c>
      <c r="BI10" s="52">
        <v>25</v>
      </c>
      <c r="BJ10" s="52">
        <v>75</v>
      </c>
      <c r="BK10" s="14">
        <v>45</v>
      </c>
      <c r="BL10" s="99">
        <f>'Existing PM'!I53</f>
        <v>449.52</v>
      </c>
      <c r="BM10" s="26">
        <v>0.05</v>
      </c>
      <c r="BN10" s="52">
        <v>25</v>
      </c>
      <c r="BO10" s="52">
        <v>75</v>
      </c>
      <c r="BP10" s="14">
        <v>0.94</v>
      </c>
      <c r="BS10" s="21" t="s">
        <v>260</v>
      </c>
      <c r="BT10" s="21">
        <v>600</v>
      </c>
      <c r="BU10" s="21">
        <v>65</v>
      </c>
      <c r="BV10" s="21" t="s">
        <v>63</v>
      </c>
      <c r="BW10" s="39">
        <v>0.01</v>
      </c>
      <c r="BX10" s="21">
        <v>0.88</v>
      </c>
      <c r="BY10" s="21">
        <v>1500</v>
      </c>
      <c r="CE10" s="52"/>
      <c r="CF10" s="52"/>
      <c r="CG10" s="18"/>
      <c r="CI10" s="26"/>
      <c r="CJ10" s="52">
        <v>25</v>
      </c>
      <c r="CK10" s="52">
        <v>75</v>
      </c>
      <c r="CM10" s="18"/>
      <c r="CU10" s="14">
        <v>0.37650444793301902</v>
      </c>
      <c r="CY10" s="30">
        <v>46.1</v>
      </c>
      <c r="CZ10" s="14">
        <v>15.6</v>
      </c>
      <c r="DA10" s="14" t="s">
        <v>424</v>
      </c>
      <c r="DK10" s="31" t="str">
        <f t="shared" si="2"/>
        <v>I-95 WB Btwn White Plains on and Rosedale off</v>
      </c>
      <c r="DL10" s="25" t="str">
        <f>TRIM(LEFT(E10, 30))</f>
        <v>Btwn White Plains on and Rosed</v>
      </c>
      <c r="DM10" s="25" t="str">
        <f>BasicInput!$D$13&amp;$DM$2&amp;B10&amp;"_"&amp;C10&amp;D10&amp;"_"&amp;BasicInput!$D$7&amp;BasicInput!$D$8&amp;"_"&amp;DL10&amp;".xuf"</f>
        <v>C:\PWWORKING\east01\d2591108\Weave\4_I-95WB_2019EX_PM_Btwn White Plains on and Rosed.xuf</v>
      </c>
    </row>
    <row r="11" spans="2:117" x14ac:dyDescent="0.2">
      <c r="B11" s="14">
        <v>5</v>
      </c>
      <c r="C11" s="14" t="s">
        <v>292</v>
      </c>
      <c r="D11" s="14" t="s">
        <v>312</v>
      </c>
      <c r="E11" s="49" t="s">
        <v>335</v>
      </c>
      <c r="L11" s="14">
        <v>4</v>
      </c>
      <c r="M11" s="14">
        <v>55</v>
      </c>
      <c r="N11" s="14" t="s">
        <v>196</v>
      </c>
      <c r="O11" s="14">
        <v>2</v>
      </c>
      <c r="P11" s="14">
        <v>950</v>
      </c>
      <c r="Q11" s="30">
        <v>1</v>
      </c>
      <c r="R11" s="14" t="s">
        <v>63</v>
      </c>
      <c r="S11" s="51">
        <v>2.4</v>
      </c>
      <c r="T11" s="47">
        <v>2</v>
      </c>
      <c r="U11" s="14">
        <v>0</v>
      </c>
      <c r="V11" s="14">
        <v>1</v>
      </c>
      <c r="X11" s="14" t="s">
        <v>68</v>
      </c>
      <c r="Y11" s="14" t="s">
        <v>68</v>
      </c>
      <c r="Z11" s="14" t="s">
        <v>68</v>
      </c>
      <c r="AB11" s="29">
        <f>'Existing PM'!H67</f>
        <v>1722.56</v>
      </c>
      <c r="AC11" s="26">
        <v>0.16</v>
      </c>
      <c r="AD11" s="52">
        <v>25</v>
      </c>
      <c r="AE11" s="52">
        <v>75</v>
      </c>
      <c r="AF11" s="14">
        <v>0.94</v>
      </c>
      <c r="AI11" s="14" t="s">
        <v>118</v>
      </c>
      <c r="AJ11" s="14" t="s">
        <v>105</v>
      </c>
      <c r="AK11" s="14" t="s">
        <v>110</v>
      </c>
      <c r="AO11" s="14">
        <v>1</v>
      </c>
      <c r="AP11" s="14" t="s">
        <v>63</v>
      </c>
      <c r="AQ11" s="51">
        <v>1.1000000000000001</v>
      </c>
      <c r="AR11" s="52">
        <v>1</v>
      </c>
      <c r="AS11" s="14">
        <v>25</v>
      </c>
      <c r="AT11" s="99">
        <f>'Existing PM'!J67</f>
        <v>797.44</v>
      </c>
      <c r="AU11" s="26">
        <v>0.05</v>
      </c>
      <c r="AV11" s="52">
        <v>35</v>
      </c>
      <c r="AW11" s="52">
        <v>65</v>
      </c>
      <c r="AX11" s="14">
        <v>0.94</v>
      </c>
      <c r="AY11" s="99">
        <f>'Existing PM'!K67</f>
        <v>92.56</v>
      </c>
      <c r="AZ11" s="26">
        <v>0.05</v>
      </c>
      <c r="BA11" s="52">
        <v>50</v>
      </c>
      <c r="BB11" s="52">
        <v>50</v>
      </c>
      <c r="BC11" s="14">
        <v>0.94</v>
      </c>
      <c r="BG11" s="14">
        <v>2</v>
      </c>
      <c r="BH11" s="14" t="s">
        <v>63</v>
      </c>
      <c r="BI11" s="51">
        <v>0.5</v>
      </c>
      <c r="BJ11" s="51">
        <v>0.5</v>
      </c>
      <c r="BK11" s="14">
        <v>45</v>
      </c>
      <c r="BL11" s="99">
        <f>'Existing PM'!I67</f>
        <v>1407.44</v>
      </c>
      <c r="BM11" s="26">
        <v>0.05</v>
      </c>
      <c r="BN11" s="52">
        <v>75</v>
      </c>
      <c r="BO11" s="52">
        <v>25</v>
      </c>
      <c r="BP11" s="14">
        <v>0.94</v>
      </c>
      <c r="BS11" s="21" t="s">
        <v>260</v>
      </c>
      <c r="BT11" s="21">
        <v>600</v>
      </c>
      <c r="BU11" s="21">
        <v>65</v>
      </c>
      <c r="BV11" s="21" t="s">
        <v>63</v>
      </c>
      <c r="BW11" s="39">
        <v>0.01</v>
      </c>
      <c r="BX11" s="21">
        <v>0.88</v>
      </c>
      <c r="BY11" s="21">
        <v>1500</v>
      </c>
      <c r="CA11" s="14">
        <v>1</v>
      </c>
      <c r="CB11" s="14" t="s">
        <v>129</v>
      </c>
      <c r="CC11" s="14">
        <v>65</v>
      </c>
      <c r="CD11" s="14" t="s">
        <v>266</v>
      </c>
      <c r="CE11" s="52">
        <v>-2</v>
      </c>
      <c r="CF11" s="52">
        <v>0.35</v>
      </c>
      <c r="CG11" s="18"/>
      <c r="CH11" s="14">
        <v>800</v>
      </c>
      <c r="CI11" s="26">
        <v>0.14000000000000001</v>
      </c>
      <c r="CJ11" s="52">
        <v>95</v>
      </c>
      <c r="CK11" s="52">
        <v>5</v>
      </c>
      <c r="CL11" s="14">
        <v>0.95</v>
      </c>
      <c r="CM11" s="18"/>
      <c r="CN11" s="14" t="s">
        <v>118</v>
      </c>
      <c r="CU11" s="14">
        <v>1.0264654418197701</v>
      </c>
      <c r="CY11" s="30"/>
      <c r="CZ11" s="14">
        <v>45</v>
      </c>
      <c r="DA11" s="14" t="s">
        <v>425</v>
      </c>
      <c r="DK11" s="31" t="str">
        <f t="shared" si="2"/>
        <v>I-95 WB Btwn Jerome on and I-87 off</v>
      </c>
      <c r="DL11" s="25" t="str">
        <f t="shared" si="3"/>
        <v>Btwn Jerome on and I-87 off</v>
      </c>
      <c r="DM11" s="25" t="str">
        <f>BasicInput!$D$13&amp;$DM$2&amp;B11&amp;"_"&amp;C11&amp;D11&amp;"_"&amp;BasicInput!$D$7&amp;BasicInput!$D$8&amp;"_"&amp;DL11&amp;".xuf"</f>
        <v>C:\PWWORKING\east01\d2591108\Weave\5_I-95WB_2019EX_PM_Btwn Jerome on and I-87 off.xuf</v>
      </c>
    </row>
    <row r="12" spans="2:117" x14ac:dyDescent="0.2">
      <c r="CG12" s="18"/>
      <c r="CM12" s="18"/>
      <c r="DK12" s="31" t="str">
        <f t="shared" ref="DK12:DK75" si="4">C12&amp; " "&amp;D12&amp;" " &amp;E12</f>
        <v xml:space="preserve">  </v>
      </c>
      <c r="DL12" s="25" t="str">
        <f t="shared" ref="DL12:DL75" si="5">TRIM(LEFT(E12, 30))</f>
        <v/>
      </c>
      <c r="DM12" s="25" t="str">
        <f>BasicInput!$D$13&amp;$DM$2&amp;B12&amp;"_"&amp;C12&amp;D12&amp;"_"&amp;BasicInput!$D$7&amp;BasicInput!$D$8&amp;"_"&amp;DL12&amp;".xuf"</f>
        <v>C:\PWWORKING\east01\d2591108\Weave\__2019EX_PM_.xuf</v>
      </c>
    </row>
    <row r="13" spans="2:117" x14ac:dyDescent="0.2">
      <c r="CG13" s="18"/>
      <c r="CM13" s="18"/>
      <c r="DK13" s="31" t="str">
        <f t="shared" si="4"/>
        <v xml:space="preserve">  </v>
      </c>
      <c r="DL13" s="25" t="str">
        <f t="shared" si="5"/>
        <v/>
      </c>
      <c r="DM13" s="25" t="str">
        <f>BasicInput!$D$13&amp;$DM$2&amp;B13&amp;"_"&amp;C13&amp;D13&amp;"_"&amp;BasicInput!$D$7&amp;BasicInput!$D$8&amp;"_"&amp;DL13&amp;".xuf"</f>
        <v>C:\PWWORKING\east01\d2591108\Weave\__2019EX_PM_.xuf</v>
      </c>
    </row>
    <row r="14" spans="2:117" x14ac:dyDescent="0.2">
      <c r="CG14" s="18"/>
      <c r="CH14" s="21"/>
      <c r="CM14" s="18"/>
      <c r="DK14" s="31" t="str">
        <f t="shared" si="4"/>
        <v xml:space="preserve">  </v>
      </c>
      <c r="DL14" s="25" t="str">
        <f t="shared" si="5"/>
        <v/>
      </c>
      <c r="DM14" s="25" t="str">
        <f>BasicInput!$D$13&amp;$DM$2&amp;B14&amp;"_"&amp;C14&amp;D14&amp;"_"&amp;BasicInput!$D$7&amp;BasicInput!$D$8&amp;"_"&amp;DL14&amp;".xuf"</f>
        <v>C:\PWWORKING\east01\d2591108\Weave\__2019EX_PM_.xuf</v>
      </c>
    </row>
    <row r="15" spans="2:117" x14ac:dyDescent="0.2">
      <c r="CG15" s="18"/>
      <c r="CM15" s="18"/>
      <c r="DK15" s="31" t="str">
        <f t="shared" si="4"/>
        <v xml:space="preserve">  </v>
      </c>
      <c r="DL15" s="25" t="str">
        <f t="shared" si="5"/>
        <v/>
      </c>
      <c r="DM15" s="25" t="str">
        <f>BasicInput!$D$13&amp;$DM$2&amp;B15&amp;"_"&amp;C15&amp;D15&amp;"_"&amp;BasicInput!$D$7&amp;BasicInput!$D$8&amp;"_"&amp;DL15&amp;".xuf"</f>
        <v>C:\PWWORKING\east01\d2591108\Weave\__2019EX_PM_.xuf</v>
      </c>
    </row>
    <row r="16" spans="2:117" x14ac:dyDescent="0.2">
      <c r="CG16" s="18"/>
      <c r="CM16" s="18"/>
      <c r="DK16" s="31" t="str">
        <f t="shared" si="4"/>
        <v xml:space="preserve">  </v>
      </c>
      <c r="DL16" s="25" t="str">
        <f t="shared" si="5"/>
        <v/>
      </c>
      <c r="DM16" s="25" t="str">
        <f>BasicInput!$D$13&amp;$DM$2&amp;B16&amp;"_"&amp;C16&amp;D16&amp;"_"&amp;BasicInput!$D$7&amp;BasicInput!$D$8&amp;"_"&amp;DL16&amp;".xuf"</f>
        <v>C:\PWWORKING\east01\d2591108\Weave\__2019EX_PM_.xuf</v>
      </c>
    </row>
    <row r="17" spans="85:117" x14ac:dyDescent="0.2">
      <c r="CG17" s="18"/>
      <c r="CM17" s="18"/>
      <c r="DK17" s="31" t="str">
        <f t="shared" si="4"/>
        <v xml:space="preserve">  </v>
      </c>
      <c r="DL17" s="25" t="str">
        <f t="shared" si="5"/>
        <v/>
      </c>
      <c r="DM17" s="25" t="str">
        <f>BasicInput!$D$13&amp;$DM$2&amp;B17&amp;"_"&amp;C17&amp;D17&amp;"_"&amp;BasicInput!$D$7&amp;BasicInput!$D$8&amp;"_"&amp;DL17&amp;".xuf"</f>
        <v>C:\PWWORKING\east01\d2591108\Weave\__2019EX_PM_.xuf</v>
      </c>
    </row>
    <row r="18" spans="85:117" x14ac:dyDescent="0.2">
      <c r="CG18" s="18"/>
      <c r="CM18" s="18"/>
      <c r="DK18" s="31" t="str">
        <f t="shared" si="4"/>
        <v xml:space="preserve">  </v>
      </c>
      <c r="DL18" s="25" t="str">
        <f t="shared" si="5"/>
        <v/>
      </c>
      <c r="DM18" s="25" t="str">
        <f>BasicInput!$D$13&amp;$DM$2&amp;B18&amp;"_"&amp;C18&amp;D18&amp;"_"&amp;BasicInput!$D$7&amp;BasicInput!$D$8&amp;"_"&amp;DL18&amp;".xuf"</f>
        <v>C:\PWWORKING\east01\d2591108\Weave\__2019EX_PM_.xuf</v>
      </c>
    </row>
    <row r="19" spans="85:117" x14ac:dyDescent="0.2">
      <c r="CG19" s="18"/>
      <c r="CM19" s="18"/>
      <c r="DK19" s="31" t="str">
        <f t="shared" si="4"/>
        <v xml:space="preserve">  </v>
      </c>
      <c r="DL19" s="25" t="str">
        <f t="shared" si="5"/>
        <v/>
      </c>
      <c r="DM19" s="25" t="str">
        <f>BasicInput!$D$13&amp;$DM$2&amp;B19&amp;"_"&amp;C19&amp;D19&amp;"_"&amp;BasicInput!$D$7&amp;BasicInput!$D$8&amp;"_"&amp;DL19&amp;".xuf"</f>
        <v>C:\PWWORKING\east01\d2591108\Weave\__2019EX_PM_.xuf</v>
      </c>
    </row>
    <row r="20" spans="85:117" x14ac:dyDescent="0.2">
      <c r="CG20" s="18"/>
      <c r="CM20" s="18"/>
      <c r="DK20" s="31" t="str">
        <f t="shared" si="4"/>
        <v xml:space="preserve">  </v>
      </c>
      <c r="DL20" s="25" t="str">
        <f t="shared" si="5"/>
        <v/>
      </c>
      <c r="DM20" s="25" t="str">
        <f>BasicInput!$D$13&amp;$DM$2&amp;B20&amp;"_"&amp;C20&amp;D20&amp;"_"&amp;BasicInput!$D$7&amp;BasicInput!$D$8&amp;"_"&amp;DL20&amp;".xuf"</f>
        <v>C:\PWWORKING\east01\d2591108\Weave\__2019EX_PM_.xuf</v>
      </c>
    </row>
    <row r="21" spans="85:117" x14ac:dyDescent="0.2">
      <c r="CG21" s="18"/>
      <c r="CM21" s="18"/>
      <c r="DK21" s="31" t="str">
        <f t="shared" si="4"/>
        <v xml:space="preserve">  </v>
      </c>
      <c r="DL21" s="25" t="str">
        <f t="shared" si="5"/>
        <v/>
      </c>
      <c r="DM21" s="25" t="str">
        <f>BasicInput!$D$13&amp;$DM$2&amp;B21&amp;"_"&amp;C21&amp;D21&amp;"_"&amp;BasicInput!$D$7&amp;BasicInput!$D$8&amp;"_"&amp;DL21&amp;".xuf"</f>
        <v>C:\PWWORKING\east01\d2591108\Weave\__2019EX_PM_.xuf</v>
      </c>
    </row>
    <row r="22" spans="85:117" x14ac:dyDescent="0.2">
      <c r="CG22" s="18"/>
      <c r="CM22" s="18"/>
      <c r="DK22" s="31" t="str">
        <f t="shared" si="4"/>
        <v xml:space="preserve">  </v>
      </c>
      <c r="DL22" s="25" t="str">
        <f t="shared" si="5"/>
        <v/>
      </c>
      <c r="DM22" s="25" t="str">
        <f>BasicInput!$D$13&amp;$DM$2&amp;B22&amp;"_"&amp;C22&amp;D22&amp;"_"&amp;BasicInput!$D$7&amp;BasicInput!$D$8&amp;"_"&amp;DL22&amp;".xuf"</f>
        <v>C:\PWWORKING\east01\d2591108\Weave\__2019EX_PM_.xuf</v>
      </c>
    </row>
    <row r="23" spans="85:117" x14ac:dyDescent="0.2">
      <c r="CG23" s="18"/>
      <c r="CM23" s="18"/>
      <c r="DK23" s="31" t="str">
        <f t="shared" si="4"/>
        <v xml:space="preserve">  </v>
      </c>
      <c r="DL23" s="25" t="str">
        <f t="shared" si="5"/>
        <v/>
      </c>
      <c r="DM23" s="25" t="str">
        <f>BasicInput!$D$13&amp;$DM$2&amp;B23&amp;"_"&amp;C23&amp;D23&amp;"_"&amp;BasicInput!$D$7&amp;BasicInput!$D$8&amp;"_"&amp;DL23&amp;".xuf"</f>
        <v>C:\PWWORKING\east01\d2591108\Weave\__2019EX_PM_.xuf</v>
      </c>
    </row>
    <row r="24" spans="85:117" x14ac:dyDescent="0.2">
      <c r="CG24" s="18"/>
      <c r="CM24" s="18"/>
      <c r="DK24" s="31" t="str">
        <f t="shared" si="4"/>
        <v xml:space="preserve">  </v>
      </c>
      <c r="DL24" s="25" t="str">
        <f t="shared" si="5"/>
        <v/>
      </c>
      <c r="DM24" s="25" t="str">
        <f>BasicInput!$D$13&amp;$DM$2&amp;B24&amp;"_"&amp;C24&amp;D24&amp;"_"&amp;BasicInput!$D$7&amp;BasicInput!$D$8&amp;"_"&amp;DL24&amp;".xuf"</f>
        <v>C:\PWWORKING\east01\d2591108\Weave\__2019EX_PM_.xuf</v>
      </c>
    </row>
    <row r="25" spans="85:117" x14ac:dyDescent="0.2">
      <c r="CG25" s="18"/>
      <c r="CM25" s="18"/>
      <c r="DK25" s="31" t="str">
        <f t="shared" si="4"/>
        <v xml:space="preserve">  </v>
      </c>
      <c r="DL25" s="25" t="str">
        <f t="shared" si="5"/>
        <v/>
      </c>
      <c r="DM25" s="25" t="str">
        <f>BasicInput!$D$13&amp;$DM$2&amp;B25&amp;"_"&amp;C25&amp;D25&amp;"_"&amp;BasicInput!$D$7&amp;BasicInput!$D$8&amp;"_"&amp;DL25&amp;".xuf"</f>
        <v>C:\PWWORKING\east01\d2591108\Weave\__2019EX_PM_.xuf</v>
      </c>
    </row>
    <row r="26" spans="85:117" x14ac:dyDescent="0.2">
      <c r="CG26" s="18"/>
      <c r="CM26" s="18"/>
      <c r="DK26" s="31" t="str">
        <f t="shared" si="4"/>
        <v xml:space="preserve">  </v>
      </c>
      <c r="DL26" s="25" t="str">
        <f t="shared" si="5"/>
        <v/>
      </c>
      <c r="DM26" s="25" t="str">
        <f>BasicInput!$D$13&amp;$DM$2&amp;B26&amp;"_"&amp;C26&amp;D26&amp;"_"&amp;BasicInput!$D$7&amp;BasicInput!$D$8&amp;"_"&amp;DL26&amp;".xuf"</f>
        <v>C:\PWWORKING\east01\d2591108\Weave\__2019EX_PM_.xuf</v>
      </c>
    </row>
    <row r="27" spans="85:117" x14ac:dyDescent="0.2">
      <c r="CG27" s="18"/>
      <c r="CM27" s="18"/>
      <c r="DK27" s="31" t="str">
        <f t="shared" si="4"/>
        <v xml:space="preserve">  </v>
      </c>
      <c r="DL27" s="25" t="str">
        <f t="shared" si="5"/>
        <v/>
      </c>
      <c r="DM27" s="25" t="str">
        <f>BasicInput!$D$13&amp;$DM$2&amp;B27&amp;"_"&amp;C27&amp;D27&amp;"_"&amp;BasicInput!$D$7&amp;BasicInput!$D$8&amp;"_"&amp;DL27&amp;".xuf"</f>
        <v>C:\PWWORKING\east01\d2591108\Weave\__2019EX_PM_.xuf</v>
      </c>
    </row>
    <row r="28" spans="85:117" x14ac:dyDescent="0.2">
      <c r="CG28" s="18"/>
      <c r="CM28" s="18"/>
      <c r="DK28" s="31" t="str">
        <f t="shared" si="4"/>
        <v xml:space="preserve">  </v>
      </c>
      <c r="DL28" s="25" t="str">
        <f t="shared" si="5"/>
        <v/>
      </c>
      <c r="DM28" s="25" t="str">
        <f>BasicInput!$D$13&amp;$DM$2&amp;B28&amp;"_"&amp;C28&amp;D28&amp;"_"&amp;BasicInput!$D$7&amp;BasicInput!$D$8&amp;"_"&amp;DL28&amp;".xuf"</f>
        <v>C:\PWWORKING\east01\d2591108\Weave\__2019EX_PM_.xuf</v>
      </c>
    </row>
    <row r="29" spans="85:117" x14ac:dyDescent="0.2">
      <c r="CG29" s="18"/>
      <c r="CM29" s="18"/>
      <c r="DK29" s="31" t="str">
        <f t="shared" si="4"/>
        <v xml:space="preserve">  </v>
      </c>
      <c r="DL29" s="25" t="str">
        <f t="shared" si="5"/>
        <v/>
      </c>
      <c r="DM29" s="25" t="str">
        <f>BasicInput!$D$13&amp;$DM$2&amp;B29&amp;"_"&amp;C29&amp;D29&amp;"_"&amp;BasicInput!$D$7&amp;BasicInput!$D$8&amp;"_"&amp;DL29&amp;".xuf"</f>
        <v>C:\PWWORKING\east01\d2591108\Weave\__2019EX_PM_.xuf</v>
      </c>
    </row>
    <row r="30" spans="85:117" x14ac:dyDescent="0.2">
      <c r="CG30" s="18"/>
      <c r="CM30" s="18"/>
      <c r="DK30" s="31" t="str">
        <f t="shared" si="4"/>
        <v xml:space="preserve">  </v>
      </c>
      <c r="DL30" s="25" t="str">
        <f t="shared" si="5"/>
        <v/>
      </c>
      <c r="DM30" s="25" t="str">
        <f>BasicInput!$D$13&amp;$DM$2&amp;B30&amp;"_"&amp;C30&amp;D30&amp;"_"&amp;BasicInput!$D$7&amp;BasicInput!$D$8&amp;"_"&amp;DL30&amp;".xuf"</f>
        <v>C:\PWWORKING\east01\d2591108\Weave\__2019EX_PM_.xuf</v>
      </c>
    </row>
    <row r="31" spans="85:117" x14ac:dyDescent="0.2">
      <c r="CG31" s="18"/>
      <c r="CM31" s="18"/>
      <c r="DK31" s="31" t="str">
        <f t="shared" si="4"/>
        <v xml:space="preserve">  </v>
      </c>
      <c r="DL31" s="25" t="str">
        <f t="shared" si="5"/>
        <v/>
      </c>
      <c r="DM31" s="25" t="str">
        <f>BasicInput!$D$13&amp;$DM$2&amp;B31&amp;"_"&amp;C31&amp;D31&amp;"_"&amp;BasicInput!$D$7&amp;BasicInput!$D$8&amp;"_"&amp;DL31&amp;".xuf"</f>
        <v>C:\PWWORKING\east01\d2591108\Weave\__2019EX_PM_.xuf</v>
      </c>
    </row>
    <row r="32" spans="85:117" x14ac:dyDescent="0.2">
      <c r="CG32" s="18"/>
      <c r="CM32" s="18"/>
      <c r="DK32" s="31" t="str">
        <f t="shared" si="4"/>
        <v xml:space="preserve">  </v>
      </c>
      <c r="DL32" s="25" t="str">
        <f t="shared" si="5"/>
        <v/>
      </c>
      <c r="DM32" s="25" t="str">
        <f>BasicInput!$D$13&amp;$DM$2&amp;B32&amp;"_"&amp;C32&amp;D32&amp;"_"&amp;BasicInput!$D$7&amp;BasicInput!$D$8&amp;"_"&amp;DL32&amp;".xuf"</f>
        <v>C:\PWWORKING\east01\d2591108\Weave\__2019EX_PM_.xuf</v>
      </c>
    </row>
    <row r="33" spans="85:117" x14ac:dyDescent="0.2">
      <c r="CG33" s="18"/>
      <c r="CM33" s="18"/>
      <c r="DK33" s="31" t="str">
        <f t="shared" si="4"/>
        <v xml:space="preserve">  </v>
      </c>
      <c r="DL33" s="25" t="str">
        <f t="shared" si="5"/>
        <v/>
      </c>
      <c r="DM33" s="25" t="str">
        <f>BasicInput!$D$13&amp;$DM$2&amp;B33&amp;"_"&amp;C33&amp;D33&amp;"_"&amp;BasicInput!$D$7&amp;BasicInput!$D$8&amp;"_"&amp;DL33&amp;".xuf"</f>
        <v>C:\PWWORKING\east01\d2591108\Weave\__2019EX_PM_.xuf</v>
      </c>
    </row>
    <row r="34" spans="85:117" x14ac:dyDescent="0.2">
      <c r="CG34" s="18"/>
      <c r="CM34" s="18"/>
      <c r="DK34" s="31" t="str">
        <f t="shared" si="4"/>
        <v xml:space="preserve">  </v>
      </c>
      <c r="DL34" s="25" t="str">
        <f t="shared" si="5"/>
        <v/>
      </c>
      <c r="DM34" s="25" t="str">
        <f>BasicInput!$D$13&amp;$DM$2&amp;B34&amp;"_"&amp;C34&amp;D34&amp;"_"&amp;BasicInput!$D$7&amp;BasicInput!$D$8&amp;"_"&amp;DL34&amp;".xuf"</f>
        <v>C:\PWWORKING\east01\d2591108\Weave\__2019EX_PM_.xuf</v>
      </c>
    </row>
    <row r="35" spans="85:117" x14ac:dyDescent="0.2">
      <c r="CG35" s="18"/>
      <c r="CM35" s="18"/>
      <c r="DK35" s="31" t="str">
        <f t="shared" si="4"/>
        <v xml:space="preserve">  </v>
      </c>
      <c r="DL35" s="25" t="str">
        <f t="shared" si="5"/>
        <v/>
      </c>
      <c r="DM35" s="25" t="str">
        <f>BasicInput!$D$13&amp;$DM$2&amp;B35&amp;"_"&amp;C35&amp;D35&amp;"_"&amp;BasicInput!$D$7&amp;BasicInput!$D$8&amp;"_"&amp;DL35&amp;".xuf"</f>
        <v>C:\PWWORKING\east01\d2591108\Weave\__2019EX_PM_.xuf</v>
      </c>
    </row>
    <row r="36" spans="85:117" x14ac:dyDescent="0.2">
      <c r="CG36" s="18"/>
      <c r="CM36" s="18"/>
      <c r="DK36" s="31" t="str">
        <f t="shared" si="4"/>
        <v xml:space="preserve">  </v>
      </c>
      <c r="DL36" s="25" t="str">
        <f t="shared" si="5"/>
        <v/>
      </c>
      <c r="DM36" s="25" t="str">
        <f>BasicInput!$D$13&amp;$DM$2&amp;B36&amp;"_"&amp;C36&amp;D36&amp;"_"&amp;BasicInput!$D$7&amp;BasicInput!$D$8&amp;"_"&amp;DL36&amp;".xuf"</f>
        <v>C:\PWWORKING\east01\d2591108\Weave\__2019EX_PM_.xuf</v>
      </c>
    </row>
    <row r="37" spans="85:117" x14ac:dyDescent="0.2">
      <c r="CG37" s="18"/>
      <c r="CM37" s="18"/>
      <c r="DK37" s="31" t="str">
        <f t="shared" si="4"/>
        <v xml:space="preserve">  </v>
      </c>
      <c r="DL37" s="25" t="str">
        <f t="shared" si="5"/>
        <v/>
      </c>
      <c r="DM37" s="25" t="str">
        <f>BasicInput!$D$13&amp;$DM$2&amp;B37&amp;"_"&amp;C37&amp;D37&amp;"_"&amp;BasicInput!$D$7&amp;BasicInput!$D$8&amp;"_"&amp;DL37&amp;".xuf"</f>
        <v>C:\PWWORKING\east01\d2591108\Weave\__2019EX_PM_.xuf</v>
      </c>
    </row>
    <row r="38" spans="85:117" x14ac:dyDescent="0.2">
      <c r="CG38" s="18"/>
      <c r="CM38" s="18"/>
      <c r="DK38" s="31" t="str">
        <f t="shared" si="4"/>
        <v xml:space="preserve">  </v>
      </c>
      <c r="DL38" s="25" t="str">
        <f t="shared" si="5"/>
        <v/>
      </c>
      <c r="DM38" s="25" t="str">
        <f>BasicInput!$D$13&amp;$DM$2&amp;B38&amp;"_"&amp;C38&amp;D38&amp;"_"&amp;BasicInput!$D$7&amp;BasicInput!$D$8&amp;"_"&amp;DL38&amp;".xuf"</f>
        <v>C:\PWWORKING\east01\d2591108\Weave\__2019EX_PM_.xuf</v>
      </c>
    </row>
    <row r="39" spans="85:117" x14ac:dyDescent="0.2">
      <c r="CG39" s="18"/>
      <c r="CM39" s="18"/>
      <c r="DK39" s="31" t="str">
        <f t="shared" si="4"/>
        <v xml:space="preserve">  </v>
      </c>
      <c r="DL39" s="25" t="str">
        <f t="shared" si="5"/>
        <v/>
      </c>
      <c r="DM39" s="25" t="str">
        <f>BasicInput!$D$13&amp;$DM$2&amp;B39&amp;"_"&amp;C39&amp;D39&amp;"_"&amp;BasicInput!$D$7&amp;BasicInput!$D$8&amp;"_"&amp;DL39&amp;".xuf"</f>
        <v>C:\PWWORKING\east01\d2591108\Weave\__2019EX_PM_.xuf</v>
      </c>
    </row>
    <row r="40" spans="85:117" x14ac:dyDescent="0.2">
      <c r="CG40" s="18"/>
      <c r="CM40" s="18"/>
      <c r="DK40" s="31" t="str">
        <f t="shared" si="4"/>
        <v xml:space="preserve">  </v>
      </c>
      <c r="DL40" s="25" t="str">
        <f t="shared" si="5"/>
        <v/>
      </c>
      <c r="DM40" s="25" t="str">
        <f>BasicInput!$D$13&amp;$DM$2&amp;B40&amp;"_"&amp;C40&amp;D40&amp;"_"&amp;BasicInput!$D$7&amp;BasicInput!$D$8&amp;"_"&amp;DL40&amp;".xuf"</f>
        <v>C:\PWWORKING\east01\d2591108\Weave\__2019EX_PM_.xuf</v>
      </c>
    </row>
    <row r="41" spans="85:117" x14ac:dyDescent="0.2">
      <c r="CG41" s="18"/>
      <c r="CM41" s="18"/>
      <c r="DK41" s="31" t="str">
        <f t="shared" si="4"/>
        <v xml:space="preserve">  </v>
      </c>
      <c r="DL41" s="25" t="str">
        <f t="shared" si="5"/>
        <v/>
      </c>
      <c r="DM41" s="25" t="str">
        <f>BasicInput!$D$13&amp;$DM$2&amp;B41&amp;"_"&amp;C41&amp;D41&amp;"_"&amp;BasicInput!$D$7&amp;BasicInput!$D$8&amp;"_"&amp;DL41&amp;".xuf"</f>
        <v>C:\PWWORKING\east01\d2591108\Weave\__2019EX_PM_.xuf</v>
      </c>
    </row>
    <row r="42" spans="85:117" x14ac:dyDescent="0.2">
      <c r="CG42" s="18"/>
      <c r="CM42" s="18"/>
      <c r="DK42" s="31" t="str">
        <f t="shared" si="4"/>
        <v xml:space="preserve">  </v>
      </c>
      <c r="DL42" s="25" t="str">
        <f t="shared" si="5"/>
        <v/>
      </c>
      <c r="DM42" s="25" t="str">
        <f>BasicInput!$D$13&amp;$DM$2&amp;B42&amp;"_"&amp;C42&amp;D42&amp;"_"&amp;BasicInput!$D$7&amp;BasicInput!$D$8&amp;"_"&amp;DL42&amp;".xuf"</f>
        <v>C:\PWWORKING\east01\d2591108\Weave\__2019EX_PM_.xuf</v>
      </c>
    </row>
    <row r="43" spans="85:117" x14ac:dyDescent="0.2">
      <c r="CG43" s="18"/>
      <c r="CM43" s="18"/>
      <c r="DK43" s="31" t="str">
        <f t="shared" si="4"/>
        <v xml:space="preserve">  </v>
      </c>
      <c r="DL43" s="25" t="str">
        <f t="shared" si="5"/>
        <v/>
      </c>
      <c r="DM43" s="25" t="str">
        <f>BasicInput!$D$13&amp;$DM$2&amp;B43&amp;"_"&amp;C43&amp;D43&amp;"_"&amp;BasicInput!$D$7&amp;BasicInput!$D$8&amp;"_"&amp;DL43&amp;".xuf"</f>
        <v>C:\PWWORKING\east01\d2591108\Weave\__2019EX_PM_.xuf</v>
      </c>
    </row>
    <row r="44" spans="85:117" x14ac:dyDescent="0.2">
      <c r="CG44" s="18"/>
      <c r="CM44" s="18"/>
      <c r="DK44" s="31" t="str">
        <f t="shared" si="4"/>
        <v xml:space="preserve">  </v>
      </c>
      <c r="DL44" s="25" t="str">
        <f t="shared" si="5"/>
        <v/>
      </c>
      <c r="DM44" s="25" t="str">
        <f>BasicInput!$D$13&amp;$DM$2&amp;B44&amp;"_"&amp;C44&amp;D44&amp;"_"&amp;BasicInput!$D$7&amp;BasicInput!$D$8&amp;"_"&amp;DL44&amp;".xuf"</f>
        <v>C:\PWWORKING\east01\d2591108\Weave\__2019EX_PM_.xuf</v>
      </c>
    </row>
    <row r="45" spans="85:117" x14ac:dyDescent="0.2">
      <c r="CG45" s="18"/>
      <c r="CM45" s="18"/>
      <c r="DK45" s="31" t="str">
        <f t="shared" si="4"/>
        <v xml:space="preserve">  </v>
      </c>
      <c r="DL45" s="25" t="str">
        <f t="shared" si="5"/>
        <v/>
      </c>
      <c r="DM45" s="25" t="str">
        <f>BasicInput!$D$13&amp;$DM$2&amp;B45&amp;"_"&amp;C45&amp;D45&amp;"_"&amp;BasicInput!$D$7&amp;BasicInput!$D$8&amp;"_"&amp;DL45&amp;".xuf"</f>
        <v>C:\PWWORKING\east01\d2591108\Weave\__2019EX_PM_.xuf</v>
      </c>
    </row>
    <row r="46" spans="85:117" x14ac:dyDescent="0.2">
      <c r="CG46" s="18"/>
      <c r="CM46" s="18"/>
      <c r="DK46" s="31" t="str">
        <f t="shared" si="4"/>
        <v xml:space="preserve">  </v>
      </c>
      <c r="DL46" s="25" t="str">
        <f t="shared" si="5"/>
        <v/>
      </c>
      <c r="DM46" s="25" t="str">
        <f>BasicInput!$D$13&amp;$DM$2&amp;B46&amp;"_"&amp;C46&amp;D46&amp;"_"&amp;BasicInput!$D$7&amp;BasicInput!$D$8&amp;"_"&amp;DL46&amp;".xuf"</f>
        <v>C:\PWWORKING\east01\d2591108\Weave\__2019EX_PM_.xuf</v>
      </c>
    </row>
    <row r="47" spans="85:117" x14ac:dyDescent="0.2">
      <c r="CG47" s="18"/>
      <c r="CM47" s="18"/>
      <c r="DK47" s="31" t="str">
        <f t="shared" si="4"/>
        <v xml:space="preserve">  </v>
      </c>
      <c r="DL47" s="25" t="str">
        <f t="shared" si="5"/>
        <v/>
      </c>
      <c r="DM47" s="25" t="str">
        <f>BasicInput!$D$13&amp;$DM$2&amp;B47&amp;"_"&amp;C47&amp;D47&amp;"_"&amp;BasicInput!$D$7&amp;BasicInput!$D$8&amp;"_"&amp;DL47&amp;".xuf"</f>
        <v>C:\PWWORKING\east01\d2591108\Weave\__2019EX_PM_.xuf</v>
      </c>
    </row>
    <row r="48" spans="85:117" x14ac:dyDescent="0.2">
      <c r="CG48" s="18"/>
      <c r="CM48" s="18"/>
      <c r="DK48" s="31" t="str">
        <f t="shared" si="4"/>
        <v xml:space="preserve">  </v>
      </c>
      <c r="DL48" s="25" t="str">
        <f t="shared" si="5"/>
        <v/>
      </c>
      <c r="DM48" s="25" t="str">
        <f>BasicInput!$D$13&amp;$DM$2&amp;B48&amp;"_"&amp;C48&amp;D48&amp;"_"&amp;BasicInput!$D$7&amp;BasicInput!$D$8&amp;"_"&amp;DL48&amp;".xuf"</f>
        <v>C:\PWWORKING\east01\d2591108\Weave\__2019EX_PM_.xuf</v>
      </c>
    </row>
    <row r="49" spans="85:117" x14ac:dyDescent="0.2">
      <c r="CG49" s="18"/>
      <c r="CM49" s="18"/>
      <c r="DK49" s="31" t="str">
        <f t="shared" si="4"/>
        <v xml:space="preserve">  </v>
      </c>
      <c r="DL49" s="25" t="str">
        <f t="shared" si="5"/>
        <v/>
      </c>
      <c r="DM49" s="25" t="str">
        <f>BasicInput!$D$13&amp;$DM$2&amp;B49&amp;"_"&amp;C49&amp;D49&amp;"_"&amp;BasicInput!$D$7&amp;BasicInput!$D$8&amp;"_"&amp;DL49&amp;".xuf"</f>
        <v>C:\PWWORKING\east01\d2591108\Weave\__2019EX_PM_.xuf</v>
      </c>
    </row>
    <row r="50" spans="85:117" x14ac:dyDescent="0.2">
      <c r="CG50" s="18"/>
      <c r="CM50" s="18"/>
      <c r="DK50" s="31" t="str">
        <f t="shared" si="4"/>
        <v xml:space="preserve">  </v>
      </c>
      <c r="DL50" s="25" t="str">
        <f t="shared" si="5"/>
        <v/>
      </c>
      <c r="DM50" s="25" t="str">
        <f>BasicInput!$D$13&amp;$DM$2&amp;B50&amp;"_"&amp;C50&amp;D50&amp;"_"&amp;BasicInput!$D$7&amp;BasicInput!$D$8&amp;"_"&amp;DL50&amp;".xuf"</f>
        <v>C:\PWWORKING\east01\d2591108\Weave\__2019EX_PM_.xuf</v>
      </c>
    </row>
    <row r="51" spans="85:117" x14ac:dyDescent="0.2">
      <c r="CG51" s="18"/>
      <c r="CM51" s="18"/>
      <c r="DK51" s="31" t="str">
        <f t="shared" si="4"/>
        <v xml:space="preserve">  </v>
      </c>
      <c r="DL51" s="25" t="str">
        <f t="shared" si="5"/>
        <v/>
      </c>
      <c r="DM51" s="25" t="str">
        <f>BasicInput!$D$13&amp;$DM$2&amp;B51&amp;"_"&amp;C51&amp;D51&amp;"_"&amp;BasicInput!$D$7&amp;BasicInput!$D$8&amp;"_"&amp;DL51&amp;".xuf"</f>
        <v>C:\PWWORKING\east01\d2591108\Weave\__2019EX_PM_.xuf</v>
      </c>
    </row>
    <row r="52" spans="85:117" x14ac:dyDescent="0.2">
      <c r="CG52" s="18"/>
      <c r="CM52" s="18"/>
      <c r="DK52" s="31" t="str">
        <f t="shared" si="4"/>
        <v xml:space="preserve">  </v>
      </c>
      <c r="DL52" s="25" t="str">
        <f t="shared" si="5"/>
        <v/>
      </c>
      <c r="DM52" s="25" t="str">
        <f>BasicInput!$D$13&amp;$DM$2&amp;B52&amp;"_"&amp;C52&amp;D52&amp;"_"&amp;BasicInput!$D$7&amp;BasicInput!$D$8&amp;"_"&amp;DL52&amp;".xuf"</f>
        <v>C:\PWWORKING\east01\d2591108\Weave\__2019EX_PM_.xuf</v>
      </c>
    </row>
    <row r="53" spans="85:117" x14ac:dyDescent="0.2">
      <c r="CG53" s="18"/>
      <c r="CM53" s="18"/>
      <c r="DK53" s="31" t="str">
        <f t="shared" si="4"/>
        <v xml:space="preserve">  </v>
      </c>
      <c r="DL53" s="25" t="str">
        <f t="shared" si="5"/>
        <v/>
      </c>
      <c r="DM53" s="25" t="str">
        <f>BasicInput!$D$13&amp;$DM$2&amp;B53&amp;"_"&amp;C53&amp;D53&amp;"_"&amp;BasicInput!$D$7&amp;BasicInput!$D$8&amp;"_"&amp;DL53&amp;".xuf"</f>
        <v>C:\PWWORKING\east01\d2591108\Weave\__2019EX_PM_.xuf</v>
      </c>
    </row>
    <row r="54" spans="85:117" x14ac:dyDescent="0.2">
      <c r="CG54" s="18"/>
      <c r="CM54" s="18"/>
      <c r="DK54" s="31" t="str">
        <f t="shared" si="4"/>
        <v xml:space="preserve">  </v>
      </c>
      <c r="DL54" s="25" t="str">
        <f t="shared" si="5"/>
        <v/>
      </c>
      <c r="DM54" s="25" t="str">
        <f>BasicInput!$D$13&amp;$DM$2&amp;B54&amp;"_"&amp;C54&amp;D54&amp;"_"&amp;BasicInput!$D$7&amp;BasicInput!$D$8&amp;"_"&amp;DL54&amp;".xuf"</f>
        <v>C:\PWWORKING\east01\d2591108\Weave\__2019EX_PM_.xuf</v>
      </c>
    </row>
    <row r="55" spans="85:117" x14ac:dyDescent="0.2">
      <c r="CG55" s="18"/>
      <c r="CM55" s="18"/>
      <c r="DK55" s="31" t="str">
        <f t="shared" si="4"/>
        <v xml:space="preserve">  </v>
      </c>
      <c r="DL55" s="25" t="str">
        <f t="shared" si="5"/>
        <v/>
      </c>
      <c r="DM55" s="25" t="str">
        <f>BasicInput!$D$13&amp;$DM$2&amp;B55&amp;"_"&amp;C55&amp;D55&amp;"_"&amp;BasicInput!$D$7&amp;BasicInput!$D$8&amp;"_"&amp;DL55&amp;".xuf"</f>
        <v>C:\PWWORKING\east01\d2591108\Weave\__2019EX_PM_.xuf</v>
      </c>
    </row>
    <row r="56" spans="85:117" x14ac:dyDescent="0.2">
      <c r="CG56" s="18"/>
      <c r="CM56" s="18"/>
      <c r="DK56" s="31" t="str">
        <f t="shared" si="4"/>
        <v xml:space="preserve">  </v>
      </c>
      <c r="DL56" s="25" t="str">
        <f t="shared" si="5"/>
        <v/>
      </c>
      <c r="DM56" s="25" t="str">
        <f>BasicInput!$D$13&amp;$DM$2&amp;B56&amp;"_"&amp;C56&amp;D56&amp;"_"&amp;BasicInput!$D$7&amp;BasicInput!$D$8&amp;"_"&amp;DL56&amp;".xuf"</f>
        <v>C:\PWWORKING\east01\d2591108\Weave\__2019EX_PM_.xuf</v>
      </c>
    </row>
    <row r="57" spans="85:117" x14ac:dyDescent="0.2">
      <c r="CG57" s="18"/>
      <c r="CM57" s="18"/>
      <c r="DK57" s="31" t="str">
        <f t="shared" si="4"/>
        <v xml:space="preserve">  </v>
      </c>
      <c r="DL57" s="25" t="str">
        <f t="shared" si="5"/>
        <v/>
      </c>
      <c r="DM57" s="25" t="str">
        <f>BasicInput!$D$13&amp;$DM$2&amp;B57&amp;"_"&amp;C57&amp;D57&amp;"_"&amp;BasicInput!$D$7&amp;BasicInput!$D$8&amp;"_"&amp;DL57&amp;".xuf"</f>
        <v>C:\PWWORKING\east01\d2591108\Weave\__2019EX_PM_.xuf</v>
      </c>
    </row>
    <row r="58" spans="85:117" x14ac:dyDescent="0.2">
      <c r="CG58" s="18"/>
      <c r="CM58" s="18"/>
      <c r="DK58" s="31" t="str">
        <f t="shared" si="4"/>
        <v xml:space="preserve">  </v>
      </c>
      <c r="DL58" s="25" t="str">
        <f t="shared" si="5"/>
        <v/>
      </c>
      <c r="DM58" s="25" t="str">
        <f>BasicInput!$D$13&amp;$DM$2&amp;B58&amp;"_"&amp;C58&amp;D58&amp;"_"&amp;BasicInput!$D$7&amp;BasicInput!$D$8&amp;"_"&amp;DL58&amp;".xuf"</f>
        <v>C:\PWWORKING\east01\d2591108\Weave\__2019EX_PM_.xuf</v>
      </c>
    </row>
    <row r="59" spans="85:117" x14ac:dyDescent="0.2">
      <c r="CG59" s="18"/>
      <c r="CM59" s="18"/>
      <c r="DK59" s="31" t="str">
        <f t="shared" si="4"/>
        <v xml:space="preserve">  </v>
      </c>
      <c r="DL59" s="25" t="str">
        <f t="shared" si="5"/>
        <v/>
      </c>
      <c r="DM59" s="25" t="str">
        <f>BasicInput!$D$13&amp;$DM$2&amp;B59&amp;"_"&amp;C59&amp;D59&amp;"_"&amp;BasicInput!$D$7&amp;BasicInput!$D$8&amp;"_"&amp;DL59&amp;".xuf"</f>
        <v>C:\PWWORKING\east01\d2591108\Weave\__2019EX_PM_.xuf</v>
      </c>
    </row>
    <row r="60" spans="85:117" x14ac:dyDescent="0.2">
      <c r="CG60" s="18"/>
      <c r="CM60" s="18"/>
      <c r="DK60" s="31" t="str">
        <f t="shared" si="4"/>
        <v xml:space="preserve">  </v>
      </c>
      <c r="DL60" s="25" t="str">
        <f t="shared" si="5"/>
        <v/>
      </c>
      <c r="DM60" s="25" t="str">
        <f>BasicInput!$D$13&amp;$DM$2&amp;B60&amp;"_"&amp;C60&amp;D60&amp;"_"&amp;BasicInput!$D$7&amp;BasicInput!$D$8&amp;"_"&amp;DL60&amp;".xuf"</f>
        <v>C:\PWWORKING\east01\d2591108\Weave\__2019EX_PM_.xuf</v>
      </c>
    </row>
    <row r="61" spans="85:117" x14ac:dyDescent="0.2">
      <c r="CG61" s="18"/>
      <c r="CM61" s="18"/>
      <c r="DK61" s="31" t="str">
        <f t="shared" si="4"/>
        <v xml:space="preserve">  </v>
      </c>
      <c r="DL61" s="25" t="str">
        <f t="shared" si="5"/>
        <v/>
      </c>
      <c r="DM61" s="25" t="str">
        <f>BasicInput!$D$13&amp;$DM$2&amp;B61&amp;"_"&amp;C61&amp;D61&amp;"_"&amp;BasicInput!$D$7&amp;BasicInput!$D$8&amp;"_"&amp;DL61&amp;".xuf"</f>
        <v>C:\PWWORKING\east01\d2591108\Weave\__2019EX_PM_.xuf</v>
      </c>
    </row>
    <row r="62" spans="85:117" x14ac:dyDescent="0.2">
      <c r="CG62" s="18"/>
      <c r="CM62" s="18"/>
      <c r="DK62" s="31" t="str">
        <f t="shared" si="4"/>
        <v xml:space="preserve">  </v>
      </c>
      <c r="DL62" s="25" t="str">
        <f t="shared" si="5"/>
        <v/>
      </c>
      <c r="DM62" s="25" t="str">
        <f>BasicInput!$D$13&amp;$DM$2&amp;B62&amp;"_"&amp;C62&amp;D62&amp;"_"&amp;BasicInput!$D$7&amp;BasicInput!$D$8&amp;"_"&amp;DL62&amp;".xuf"</f>
        <v>C:\PWWORKING\east01\d2591108\Weave\__2019EX_PM_.xuf</v>
      </c>
    </row>
    <row r="63" spans="85:117" x14ac:dyDescent="0.2">
      <c r="CG63" s="18"/>
      <c r="CM63" s="18"/>
      <c r="DK63" s="31" t="str">
        <f t="shared" si="4"/>
        <v xml:space="preserve">  </v>
      </c>
      <c r="DL63" s="25" t="str">
        <f t="shared" si="5"/>
        <v/>
      </c>
      <c r="DM63" s="25" t="str">
        <f>BasicInput!$D$13&amp;$DM$2&amp;B63&amp;"_"&amp;C63&amp;D63&amp;"_"&amp;BasicInput!$D$7&amp;BasicInput!$D$8&amp;"_"&amp;DL63&amp;".xuf"</f>
        <v>C:\PWWORKING\east01\d2591108\Weave\__2019EX_PM_.xuf</v>
      </c>
    </row>
    <row r="64" spans="85:117" x14ac:dyDescent="0.2">
      <c r="CG64" s="18"/>
      <c r="CM64" s="18"/>
      <c r="DK64" s="31" t="str">
        <f t="shared" si="4"/>
        <v xml:space="preserve">  </v>
      </c>
      <c r="DL64" s="25" t="str">
        <f t="shared" si="5"/>
        <v/>
      </c>
      <c r="DM64" s="25" t="str">
        <f>BasicInput!$D$13&amp;$DM$2&amp;B64&amp;"_"&amp;C64&amp;D64&amp;"_"&amp;BasicInput!$D$7&amp;BasicInput!$D$8&amp;"_"&amp;DL64&amp;".xuf"</f>
        <v>C:\PWWORKING\east01\d2591108\Weave\__2019EX_PM_.xuf</v>
      </c>
    </row>
    <row r="65" spans="85:117" x14ac:dyDescent="0.2">
      <c r="CG65" s="18"/>
      <c r="CM65" s="18"/>
      <c r="DK65" s="31" t="str">
        <f t="shared" si="4"/>
        <v xml:space="preserve">  </v>
      </c>
      <c r="DL65" s="25" t="str">
        <f t="shared" si="5"/>
        <v/>
      </c>
      <c r="DM65" s="25" t="str">
        <f>BasicInput!$D$13&amp;$DM$2&amp;B65&amp;"_"&amp;C65&amp;D65&amp;"_"&amp;BasicInput!$D$7&amp;BasicInput!$D$8&amp;"_"&amp;DL65&amp;".xuf"</f>
        <v>C:\PWWORKING\east01\d2591108\Weave\__2019EX_PM_.xuf</v>
      </c>
    </row>
    <row r="66" spans="85:117" x14ac:dyDescent="0.2">
      <c r="CG66" s="18"/>
      <c r="CM66" s="18"/>
      <c r="DK66" s="31" t="str">
        <f t="shared" si="4"/>
        <v xml:space="preserve">  </v>
      </c>
      <c r="DL66" s="25" t="str">
        <f t="shared" si="5"/>
        <v/>
      </c>
      <c r="DM66" s="25" t="str">
        <f>BasicInput!$D$13&amp;$DM$2&amp;B66&amp;"_"&amp;C66&amp;D66&amp;"_"&amp;BasicInput!$D$7&amp;BasicInput!$D$8&amp;"_"&amp;DL66&amp;".xuf"</f>
        <v>C:\PWWORKING\east01\d2591108\Weave\__2019EX_PM_.xuf</v>
      </c>
    </row>
    <row r="67" spans="85:117" x14ac:dyDescent="0.2">
      <c r="CG67" s="18"/>
      <c r="CM67" s="18"/>
      <c r="DK67" s="31" t="str">
        <f t="shared" si="4"/>
        <v xml:space="preserve">  </v>
      </c>
      <c r="DL67" s="25" t="str">
        <f t="shared" si="5"/>
        <v/>
      </c>
      <c r="DM67" s="25" t="str">
        <f>BasicInput!$D$13&amp;$DM$2&amp;B67&amp;"_"&amp;C67&amp;D67&amp;"_"&amp;BasicInput!$D$7&amp;BasicInput!$D$8&amp;"_"&amp;DL67&amp;".xuf"</f>
        <v>C:\PWWORKING\east01\d2591108\Weave\__2019EX_PM_.xuf</v>
      </c>
    </row>
    <row r="68" spans="85:117" x14ac:dyDescent="0.2">
      <c r="CG68" s="18"/>
      <c r="CM68" s="18"/>
      <c r="DK68" s="31" t="str">
        <f t="shared" si="4"/>
        <v xml:space="preserve">  </v>
      </c>
      <c r="DL68" s="25" t="str">
        <f t="shared" si="5"/>
        <v/>
      </c>
      <c r="DM68" s="25" t="str">
        <f>BasicInput!$D$13&amp;$DM$2&amp;B68&amp;"_"&amp;C68&amp;D68&amp;"_"&amp;BasicInput!$D$7&amp;BasicInput!$D$8&amp;"_"&amp;DL68&amp;".xuf"</f>
        <v>C:\PWWORKING\east01\d2591108\Weave\__2019EX_PM_.xuf</v>
      </c>
    </row>
    <row r="69" spans="85:117" x14ac:dyDescent="0.2">
      <c r="CG69" s="18"/>
      <c r="CM69" s="18"/>
      <c r="DK69" s="31" t="str">
        <f t="shared" si="4"/>
        <v xml:space="preserve">  </v>
      </c>
      <c r="DL69" s="25" t="str">
        <f t="shared" si="5"/>
        <v/>
      </c>
      <c r="DM69" s="25" t="str">
        <f>BasicInput!$D$13&amp;$DM$2&amp;B69&amp;"_"&amp;C69&amp;D69&amp;"_"&amp;BasicInput!$D$7&amp;BasicInput!$D$8&amp;"_"&amp;DL69&amp;".xuf"</f>
        <v>C:\PWWORKING\east01\d2591108\Weave\__2019EX_PM_.xuf</v>
      </c>
    </row>
    <row r="70" spans="85:117" x14ac:dyDescent="0.2">
      <c r="CG70" s="18"/>
      <c r="CM70" s="18"/>
      <c r="DK70" s="31" t="str">
        <f t="shared" si="4"/>
        <v xml:space="preserve">  </v>
      </c>
      <c r="DL70" s="25" t="str">
        <f t="shared" si="5"/>
        <v/>
      </c>
      <c r="DM70" s="25" t="str">
        <f>BasicInput!$D$13&amp;$DM$2&amp;B70&amp;"_"&amp;C70&amp;D70&amp;"_"&amp;BasicInput!$D$7&amp;BasicInput!$D$8&amp;"_"&amp;DL70&amp;".xuf"</f>
        <v>C:\PWWORKING\east01\d2591108\Weave\__2019EX_PM_.xuf</v>
      </c>
    </row>
    <row r="71" spans="85:117" x14ac:dyDescent="0.2">
      <c r="CG71" s="18"/>
      <c r="CM71" s="18"/>
      <c r="DK71" s="31" t="str">
        <f t="shared" si="4"/>
        <v xml:space="preserve">  </v>
      </c>
      <c r="DL71" s="25" t="str">
        <f t="shared" si="5"/>
        <v/>
      </c>
      <c r="DM71" s="25" t="str">
        <f>BasicInput!$D$13&amp;$DM$2&amp;B71&amp;"_"&amp;C71&amp;D71&amp;"_"&amp;BasicInput!$D$7&amp;BasicInput!$D$8&amp;"_"&amp;DL71&amp;".xuf"</f>
        <v>C:\PWWORKING\east01\d2591108\Weave\__2019EX_PM_.xuf</v>
      </c>
    </row>
    <row r="72" spans="85:117" x14ac:dyDescent="0.2">
      <c r="CG72" s="18"/>
      <c r="CM72" s="18"/>
      <c r="DK72" s="31" t="str">
        <f t="shared" si="4"/>
        <v xml:space="preserve">  </v>
      </c>
      <c r="DL72" s="25" t="str">
        <f t="shared" si="5"/>
        <v/>
      </c>
      <c r="DM72" s="25" t="str">
        <f>BasicInput!$D$13&amp;$DM$2&amp;B72&amp;"_"&amp;C72&amp;D72&amp;"_"&amp;BasicInput!$D$7&amp;BasicInput!$D$8&amp;"_"&amp;DL72&amp;".xuf"</f>
        <v>C:\PWWORKING\east01\d2591108\Weave\__2019EX_PM_.xuf</v>
      </c>
    </row>
    <row r="73" spans="85:117" x14ac:dyDescent="0.2">
      <c r="CG73" s="18"/>
      <c r="CM73" s="18"/>
      <c r="DK73" s="31" t="str">
        <f t="shared" si="4"/>
        <v xml:space="preserve">  </v>
      </c>
      <c r="DL73" s="25" t="str">
        <f t="shared" si="5"/>
        <v/>
      </c>
      <c r="DM73" s="25" t="str">
        <f>BasicInput!$D$13&amp;$DM$2&amp;B73&amp;"_"&amp;C73&amp;D73&amp;"_"&amp;BasicInput!$D$7&amp;BasicInput!$D$8&amp;"_"&amp;DL73&amp;".xuf"</f>
        <v>C:\PWWORKING\east01\d2591108\Weave\__2019EX_PM_.xuf</v>
      </c>
    </row>
    <row r="74" spans="85:117" x14ac:dyDescent="0.2">
      <c r="CG74" s="18"/>
      <c r="CM74" s="18"/>
      <c r="DK74" s="31" t="str">
        <f t="shared" si="4"/>
        <v xml:space="preserve">  </v>
      </c>
      <c r="DL74" s="25" t="str">
        <f t="shared" si="5"/>
        <v/>
      </c>
      <c r="DM74" s="25" t="str">
        <f>BasicInput!$D$13&amp;$DM$2&amp;B74&amp;"_"&amp;C74&amp;D74&amp;"_"&amp;BasicInput!$D$7&amp;BasicInput!$D$8&amp;"_"&amp;DL74&amp;".xuf"</f>
        <v>C:\PWWORKING\east01\d2591108\Weave\__2019EX_PM_.xuf</v>
      </c>
    </row>
    <row r="75" spans="85:117" x14ac:dyDescent="0.2">
      <c r="CG75" s="18"/>
      <c r="CM75" s="18"/>
      <c r="DK75" s="31" t="str">
        <f t="shared" si="4"/>
        <v xml:space="preserve">  </v>
      </c>
      <c r="DL75" s="25" t="str">
        <f t="shared" si="5"/>
        <v/>
      </c>
      <c r="DM75" s="25" t="str">
        <f>BasicInput!$D$13&amp;$DM$2&amp;B75&amp;"_"&amp;C75&amp;D75&amp;"_"&amp;BasicInput!$D$7&amp;BasicInput!$D$8&amp;"_"&amp;DL75&amp;".xuf"</f>
        <v>C:\PWWORKING\east01\d2591108\Weave\__2019EX_PM_.xuf</v>
      </c>
    </row>
    <row r="76" spans="85:117" x14ac:dyDescent="0.2">
      <c r="CG76" s="18"/>
      <c r="CM76" s="18"/>
      <c r="DK76" s="31" t="str">
        <f t="shared" ref="DK76:DK139" si="6">C76&amp; " "&amp;D76&amp;" " &amp;E76</f>
        <v xml:space="preserve">  </v>
      </c>
      <c r="DL76" s="25" t="str">
        <f t="shared" ref="DL76:DL139" si="7">TRIM(LEFT(E76, 30))</f>
        <v/>
      </c>
      <c r="DM76" s="25" t="str">
        <f>BasicInput!$D$13&amp;$DM$2&amp;B76&amp;"_"&amp;C76&amp;D76&amp;"_"&amp;BasicInput!$D$7&amp;BasicInput!$D$8&amp;"_"&amp;DL76&amp;".xuf"</f>
        <v>C:\PWWORKING\east01\d2591108\Weave\__2019EX_PM_.xuf</v>
      </c>
    </row>
    <row r="77" spans="85:117" x14ac:dyDescent="0.2">
      <c r="CG77" s="18"/>
      <c r="CM77" s="18"/>
      <c r="DK77" s="31" t="str">
        <f t="shared" si="6"/>
        <v xml:space="preserve">  </v>
      </c>
      <c r="DL77" s="25" t="str">
        <f t="shared" si="7"/>
        <v/>
      </c>
      <c r="DM77" s="25" t="str">
        <f>BasicInput!$D$13&amp;$DM$2&amp;B77&amp;"_"&amp;C77&amp;D77&amp;"_"&amp;BasicInput!$D$7&amp;BasicInput!$D$8&amp;"_"&amp;DL77&amp;".xuf"</f>
        <v>C:\PWWORKING\east01\d2591108\Weave\__2019EX_PM_.xuf</v>
      </c>
    </row>
    <row r="78" spans="85:117" x14ac:dyDescent="0.2">
      <c r="CG78" s="18"/>
      <c r="CM78" s="18"/>
      <c r="DK78" s="31" t="str">
        <f t="shared" si="6"/>
        <v xml:space="preserve">  </v>
      </c>
      <c r="DL78" s="25" t="str">
        <f t="shared" si="7"/>
        <v/>
      </c>
      <c r="DM78" s="25" t="str">
        <f>BasicInput!$D$13&amp;$DM$2&amp;B78&amp;"_"&amp;C78&amp;D78&amp;"_"&amp;BasicInput!$D$7&amp;BasicInput!$D$8&amp;"_"&amp;DL78&amp;".xuf"</f>
        <v>C:\PWWORKING\east01\d2591108\Weave\__2019EX_PM_.xuf</v>
      </c>
    </row>
    <row r="79" spans="85:117" x14ac:dyDescent="0.2">
      <c r="CG79" s="18"/>
      <c r="CM79" s="18"/>
      <c r="DK79" s="31" t="str">
        <f t="shared" si="6"/>
        <v xml:space="preserve">  </v>
      </c>
      <c r="DL79" s="25" t="str">
        <f t="shared" si="7"/>
        <v/>
      </c>
      <c r="DM79" s="25" t="str">
        <f>BasicInput!$D$13&amp;$DM$2&amp;B79&amp;"_"&amp;C79&amp;D79&amp;"_"&amp;BasicInput!$D$7&amp;BasicInput!$D$8&amp;"_"&amp;DL79&amp;".xuf"</f>
        <v>C:\PWWORKING\east01\d2591108\Weave\__2019EX_PM_.xuf</v>
      </c>
    </row>
    <row r="80" spans="85:117" x14ac:dyDescent="0.2">
      <c r="CG80" s="18"/>
      <c r="CM80" s="18"/>
      <c r="DK80" s="31" t="str">
        <f t="shared" si="6"/>
        <v xml:space="preserve">  </v>
      </c>
      <c r="DL80" s="25" t="str">
        <f t="shared" si="7"/>
        <v/>
      </c>
      <c r="DM80" s="25" t="str">
        <f>BasicInput!$D$13&amp;$DM$2&amp;B80&amp;"_"&amp;C80&amp;D80&amp;"_"&amp;BasicInput!$D$7&amp;BasicInput!$D$8&amp;"_"&amp;DL80&amp;".xuf"</f>
        <v>C:\PWWORKING\east01\d2591108\Weave\__2019EX_PM_.xuf</v>
      </c>
    </row>
    <row r="81" spans="85:117" x14ac:dyDescent="0.2">
      <c r="CG81" s="18"/>
      <c r="CM81" s="18"/>
      <c r="DK81" s="31" t="str">
        <f t="shared" si="6"/>
        <v xml:space="preserve">  </v>
      </c>
      <c r="DL81" s="25" t="str">
        <f t="shared" si="7"/>
        <v/>
      </c>
      <c r="DM81" s="25" t="str">
        <f>BasicInput!$D$13&amp;$DM$2&amp;B81&amp;"_"&amp;C81&amp;D81&amp;"_"&amp;BasicInput!$D$7&amp;BasicInput!$D$8&amp;"_"&amp;DL81&amp;".xuf"</f>
        <v>C:\PWWORKING\east01\d2591108\Weave\__2019EX_PM_.xuf</v>
      </c>
    </row>
    <row r="82" spans="85:117" x14ac:dyDescent="0.2">
      <c r="CG82" s="18"/>
      <c r="CM82" s="18"/>
      <c r="DK82" s="31" t="str">
        <f t="shared" si="6"/>
        <v xml:space="preserve">  </v>
      </c>
      <c r="DL82" s="25" t="str">
        <f t="shared" si="7"/>
        <v/>
      </c>
      <c r="DM82" s="25" t="str">
        <f>BasicInput!$D$13&amp;$DM$2&amp;B82&amp;"_"&amp;C82&amp;D82&amp;"_"&amp;BasicInput!$D$7&amp;BasicInput!$D$8&amp;"_"&amp;DL82&amp;".xuf"</f>
        <v>C:\PWWORKING\east01\d2591108\Weave\__2019EX_PM_.xuf</v>
      </c>
    </row>
    <row r="83" spans="85:117" x14ac:dyDescent="0.2">
      <c r="CG83" s="18"/>
      <c r="CM83" s="18"/>
      <c r="DK83" s="31" t="str">
        <f t="shared" si="6"/>
        <v xml:space="preserve">  </v>
      </c>
      <c r="DL83" s="25" t="str">
        <f t="shared" si="7"/>
        <v/>
      </c>
      <c r="DM83" s="25" t="str">
        <f>BasicInput!$D$13&amp;$DM$2&amp;B83&amp;"_"&amp;C83&amp;D83&amp;"_"&amp;BasicInput!$D$7&amp;BasicInput!$D$8&amp;"_"&amp;DL83&amp;".xuf"</f>
        <v>C:\PWWORKING\east01\d2591108\Weave\__2019EX_PM_.xuf</v>
      </c>
    </row>
    <row r="84" spans="85:117" x14ac:dyDescent="0.2">
      <c r="CG84" s="18"/>
      <c r="CM84" s="18"/>
      <c r="DK84" s="31" t="str">
        <f t="shared" si="6"/>
        <v xml:space="preserve">  </v>
      </c>
      <c r="DL84" s="25" t="str">
        <f t="shared" si="7"/>
        <v/>
      </c>
      <c r="DM84" s="25" t="str">
        <f>BasicInput!$D$13&amp;$DM$2&amp;B84&amp;"_"&amp;C84&amp;D84&amp;"_"&amp;BasicInput!$D$7&amp;BasicInput!$D$8&amp;"_"&amp;DL84&amp;".xuf"</f>
        <v>C:\PWWORKING\east01\d2591108\Weave\__2019EX_PM_.xuf</v>
      </c>
    </row>
    <row r="85" spans="85:117" x14ac:dyDescent="0.2">
      <c r="CG85" s="18"/>
      <c r="CM85" s="18"/>
      <c r="DK85" s="31" t="str">
        <f t="shared" si="6"/>
        <v xml:space="preserve">  </v>
      </c>
      <c r="DL85" s="25" t="str">
        <f t="shared" si="7"/>
        <v/>
      </c>
      <c r="DM85" s="25" t="str">
        <f>BasicInput!$D$13&amp;$DM$2&amp;B85&amp;"_"&amp;C85&amp;D85&amp;"_"&amp;BasicInput!$D$7&amp;BasicInput!$D$8&amp;"_"&amp;DL85&amp;".xuf"</f>
        <v>C:\PWWORKING\east01\d2591108\Weave\__2019EX_PM_.xuf</v>
      </c>
    </row>
    <row r="86" spans="85:117" x14ac:dyDescent="0.2">
      <c r="CG86" s="18"/>
      <c r="CM86" s="18"/>
      <c r="DK86" s="31" t="str">
        <f t="shared" si="6"/>
        <v xml:space="preserve">  </v>
      </c>
      <c r="DL86" s="25" t="str">
        <f t="shared" si="7"/>
        <v/>
      </c>
      <c r="DM86" s="25" t="str">
        <f>BasicInput!$D$13&amp;$DM$2&amp;B86&amp;"_"&amp;C86&amp;D86&amp;"_"&amp;BasicInput!$D$7&amp;BasicInput!$D$8&amp;"_"&amp;DL86&amp;".xuf"</f>
        <v>C:\PWWORKING\east01\d2591108\Weave\__2019EX_PM_.xuf</v>
      </c>
    </row>
    <row r="87" spans="85:117" x14ac:dyDescent="0.2">
      <c r="CG87" s="18"/>
      <c r="CM87" s="18"/>
      <c r="DK87" s="31" t="str">
        <f t="shared" si="6"/>
        <v xml:space="preserve">  </v>
      </c>
      <c r="DL87" s="25" t="str">
        <f t="shared" si="7"/>
        <v/>
      </c>
      <c r="DM87" s="25" t="str">
        <f>BasicInput!$D$13&amp;$DM$2&amp;B87&amp;"_"&amp;C87&amp;D87&amp;"_"&amp;BasicInput!$D$7&amp;BasicInput!$D$8&amp;"_"&amp;DL87&amp;".xuf"</f>
        <v>C:\PWWORKING\east01\d2591108\Weave\__2019EX_PM_.xuf</v>
      </c>
    </row>
    <row r="88" spans="85:117" x14ac:dyDescent="0.2">
      <c r="CG88" s="18"/>
      <c r="CM88" s="18"/>
      <c r="DK88" s="31" t="str">
        <f t="shared" si="6"/>
        <v xml:space="preserve">  </v>
      </c>
      <c r="DL88" s="25" t="str">
        <f t="shared" si="7"/>
        <v/>
      </c>
      <c r="DM88" s="25" t="str">
        <f>BasicInput!$D$13&amp;$DM$2&amp;B88&amp;"_"&amp;C88&amp;D88&amp;"_"&amp;BasicInput!$D$7&amp;BasicInput!$D$8&amp;"_"&amp;DL88&amp;".xuf"</f>
        <v>C:\PWWORKING\east01\d2591108\Weave\__2019EX_PM_.xuf</v>
      </c>
    </row>
    <row r="89" spans="85:117" x14ac:dyDescent="0.2">
      <c r="CG89" s="18"/>
      <c r="CM89" s="18"/>
      <c r="DK89" s="31" t="str">
        <f t="shared" si="6"/>
        <v xml:space="preserve">  </v>
      </c>
      <c r="DL89" s="25" t="str">
        <f t="shared" si="7"/>
        <v/>
      </c>
      <c r="DM89" s="25" t="str">
        <f>BasicInput!$D$13&amp;$DM$2&amp;B89&amp;"_"&amp;C89&amp;D89&amp;"_"&amp;BasicInput!$D$7&amp;BasicInput!$D$8&amp;"_"&amp;DL89&amp;".xuf"</f>
        <v>C:\PWWORKING\east01\d2591108\Weave\__2019EX_PM_.xuf</v>
      </c>
    </row>
    <row r="90" spans="85:117" x14ac:dyDescent="0.2">
      <c r="CG90" s="18"/>
      <c r="CM90" s="18"/>
      <c r="DK90" s="31" t="str">
        <f t="shared" si="6"/>
        <v xml:space="preserve">  </v>
      </c>
      <c r="DL90" s="25" t="str">
        <f t="shared" si="7"/>
        <v/>
      </c>
      <c r="DM90" s="25" t="str">
        <f>BasicInput!$D$13&amp;$DM$2&amp;B90&amp;"_"&amp;C90&amp;D90&amp;"_"&amp;BasicInput!$D$7&amp;BasicInput!$D$8&amp;"_"&amp;DL90&amp;".xuf"</f>
        <v>C:\PWWORKING\east01\d2591108\Weave\__2019EX_PM_.xuf</v>
      </c>
    </row>
    <row r="91" spans="85:117" x14ac:dyDescent="0.2">
      <c r="CG91" s="18"/>
      <c r="CM91" s="18"/>
      <c r="DK91" s="31" t="str">
        <f t="shared" si="6"/>
        <v xml:space="preserve">  </v>
      </c>
      <c r="DL91" s="25" t="str">
        <f t="shared" si="7"/>
        <v/>
      </c>
      <c r="DM91" s="25" t="str">
        <f>BasicInput!$D$13&amp;$DM$2&amp;B91&amp;"_"&amp;C91&amp;D91&amp;"_"&amp;BasicInput!$D$7&amp;BasicInput!$D$8&amp;"_"&amp;DL91&amp;".xuf"</f>
        <v>C:\PWWORKING\east01\d2591108\Weave\__2019EX_PM_.xuf</v>
      </c>
    </row>
    <row r="92" spans="85:117" x14ac:dyDescent="0.2">
      <c r="CG92" s="18"/>
      <c r="CM92" s="18"/>
      <c r="DK92" s="31" t="str">
        <f t="shared" si="6"/>
        <v xml:space="preserve">  </v>
      </c>
      <c r="DL92" s="25" t="str">
        <f t="shared" si="7"/>
        <v/>
      </c>
      <c r="DM92" s="25" t="str">
        <f>BasicInput!$D$13&amp;$DM$2&amp;B92&amp;"_"&amp;C92&amp;D92&amp;"_"&amp;BasicInput!$D$7&amp;BasicInput!$D$8&amp;"_"&amp;DL92&amp;".xuf"</f>
        <v>C:\PWWORKING\east01\d2591108\Weave\__2019EX_PM_.xuf</v>
      </c>
    </row>
    <row r="93" spans="85:117" x14ac:dyDescent="0.2">
      <c r="CG93" s="18"/>
      <c r="CM93" s="18"/>
      <c r="DK93" s="31" t="str">
        <f t="shared" si="6"/>
        <v xml:space="preserve">  </v>
      </c>
      <c r="DL93" s="25" t="str">
        <f t="shared" si="7"/>
        <v/>
      </c>
      <c r="DM93" s="25" t="str">
        <f>BasicInput!$D$13&amp;$DM$2&amp;B93&amp;"_"&amp;C93&amp;D93&amp;"_"&amp;BasicInput!$D$7&amp;BasicInput!$D$8&amp;"_"&amp;DL93&amp;".xuf"</f>
        <v>C:\PWWORKING\east01\d2591108\Weave\__2019EX_PM_.xuf</v>
      </c>
    </row>
    <row r="94" spans="85:117" x14ac:dyDescent="0.2">
      <c r="CG94" s="18"/>
      <c r="CM94" s="18"/>
      <c r="DK94" s="31" t="str">
        <f t="shared" si="6"/>
        <v xml:space="preserve">  </v>
      </c>
      <c r="DL94" s="25" t="str">
        <f t="shared" si="7"/>
        <v/>
      </c>
      <c r="DM94" s="25" t="str">
        <f>BasicInput!$D$13&amp;$DM$2&amp;B94&amp;"_"&amp;C94&amp;D94&amp;"_"&amp;BasicInput!$D$7&amp;BasicInput!$D$8&amp;"_"&amp;DL94&amp;".xuf"</f>
        <v>C:\PWWORKING\east01\d2591108\Weave\__2019EX_PM_.xuf</v>
      </c>
    </row>
    <row r="95" spans="85:117" x14ac:dyDescent="0.2">
      <c r="CG95" s="18"/>
      <c r="CM95" s="18"/>
      <c r="DK95" s="31" t="str">
        <f t="shared" si="6"/>
        <v xml:space="preserve">  </v>
      </c>
      <c r="DL95" s="25" t="str">
        <f t="shared" si="7"/>
        <v/>
      </c>
      <c r="DM95" s="25" t="str">
        <f>BasicInput!$D$13&amp;$DM$2&amp;B95&amp;"_"&amp;C95&amp;D95&amp;"_"&amp;BasicInput!$D$7&amp;BasicInput!$D$8&amp;"_"&amp;DL95&amp;".xuf"</f>
        <v>C:\PWWORKING\east01\d2591108\Weave\__2019EX_PM_.xuf</v>
      </c>
    </row>
    <row r="96" spans="85:117" x14ac:dyDescent="0.2">
      <c r="CG96" s="18"/>
      <c r="CM96" s="18"/>
      <c r="DK96" s="31" t="str">
        <f t="shared" si="6"/>
        <v xml:space="preserve">  </v>
      </c>
      <c r="DL96" s="25" t="str">
        <f t="shared" si="7"/>
        <v/>
      </c>
      <c r="DM96" s="25" t="str">
        <f>BasicInput!$D$13&amp;$DM$2&amp;B96&amp;"_"&amp;C96&amp;D96&amp;"_"&amp;BasicInput!$D$7&amp;BasicInput!$D$8&amp;"_"&amp;DL96&amp;".xuf"</f>
        <v>C:\PWWORKING\east01\d2591108\Weave\__2019EX_PM_.xuf</v>
      </c>
    </row>
    <row r="97" spans="85:117" x14ac:dyDescent="0.2">
      <c r="CG97" s="18"/>
      <c r="CM97" s="18"/>
      <c r="DK97" s="31" t="str">
        <f t="shared" si="6"/>
        <v xml:space="preserve">  </v>
      </c>
      <c r="DL97" s="25" t="str">
        <f t="shared" si="7"/>
        <v/>
      </c>
      <c r="DM97" s="25" t="str">
        <f>BasicInput!$D$13&amp;$DM$2&amp;B97&amp;"_"&amp;C97&amp;D97&amp;"_"&amp;BasicInput!$D$7&amp;BasicInput!$D$8&amp;"_"&amp;DL97&amp;".xuf"</f>
        <v>C:\PWWORKING\east01\d2591108\Weave\__2019EX_PM_.xuf</v>
      </c>
    </row>
    <row r="98" spans="85:117" x14ac:dyDescent="0.2">
      <c r="CG98" s="18"/>
      <c r="CM98" s="18"/>
      <c r="DK98" s="31" t="str">
        <f t="shared" si="6"/>
        <v xml:space="preserve">  </v>
      </c>
      <c r="DL98" s="25" t="str">
        <f t="shared" si="7"/>
        <v/>
      </c>
      <c r="DM98" s="25" t="str">
        <f>BasicInput!$D$13&amp;$DM$2&amp;B98&amp;"_"&amp;C98&amp;D98&amp;"_"&amp;BasicInput!$D$7&amp;BasicInput!$D$8&amp;"_"&amp;DL98&amp;".xuf"</f>
        <v>C:\PWWORKING\east01\d2591108\Weave\__2019EX_PM_.xuf</v>
      </c>
    </row>
    <row r="99" spans="85:117" x14ac:dyDescent="0.2">
      <c r="CG99" s="18"/>
      <c r="CM99" s="18"/>
      <c r="DK99" s="31" t="str">
        <f t="shared" si="6"/>
        <v xml:space="preserve">  </v>
      </c>
      <c r="DL99" s="25" t="str">
        <f t="shared" si="7"/>
        <v/>
      </c>
      <c r="DM99" s="25" t="str">
        <f>BasicInput!$D$13&amp;$DM$2&amp;B99&amp;"_"&amp;C99&amp;D99&amp;"_"&amp;BasicInput!$D$7&amp;BasicInput!$D$8&amp;"_"&amp;DL99&amp;".xuf"</f>
        <v>C:\PWWORKING\east01\d2591108\Weave\__2019EX_PM_.xuf</v>
      </c>
    </row>
    <row r="100" spans="85:117" x14ac:dyDescent="0.2">
      <c r="CG100" s="18"/>
      <c r="CM100" s="18"/>
      <c r="DK100" s="31" t="str">
        <f t="shared" si="6"/>
        <v xml:space="preserve">  </v>
      </c>
      <c r="DL100" s="25" t="str">
        <f t="shared" si="7"/>
        <v/>
      </c>
      <c r="DM100" s="25" t="str">
        <f>BasicInput!$D$13&amp;$DM$2&amp;B100&amp;"_"&amp;C100&amp;D100&amp;"_"&amp;BasicInput!$D$7&amp;BasicInput!$D$8&amp;"_"&amp;DL100&amp;".xuf"</f>
        <v>C:\PWWORKING\east01\d2591108\Weave\__2019EX_PM_.xuf</v>
      </c>
    </row>
    <row r="101" spans="85:117" x14ac:dyDescent="0.2">
      <c r="CG101" s="18"/>
      <c r="CM101" s="18"/>
      <c r="DK101" s="31" t="str">
        <f t="shared" si="6"/>
        <v xml:space="preserve">  </v>
      </c>
      <c r="DL101" s="25" t="str">
        <f t="shared" si="7"/>
        <v/>
      </c>
      <c r="DM101" s="25" t="str">
        <f>BasicInput!$D$13&amp;$DM$2&amp;B101&amp;"_"&amp;C101&amp;D101&amp;"_"&amp;BasicInput!$D$7&amp;BasicInput!$D$8&amp;"_"&amp;DL101&amp;".xuf"</f>
        <v>C:\PWWORKING\east01\d2591108\Weave\__2019EX_PM_.xuf</v>
      </c>
    </row>
    <row r="102" spans="85:117" x14ac:dyDescent="0.2">
      <c r="CG102" s="18"/>
      <c r="CM102" s="18"/>
      <c r="DK102" s="31" t="str">
        <f t="shared" si="6"/>
        <v xml:space="preserve">  </v>
      </c>
      <c r="DL102" s="25" t="str">
        <f t="shared" si="7"/>
        <v/>
      </c>
      <c r="DM102" s="25" t="str">
        <f>BasicInput!$D$13&amp;$DM$2&amp;B102&amp;"_"&amp;C102&amp;D102&amp;"_"&amp;BasicInput!$D$7&amp;BasicInput!$D$8&amp;"_"&amp;DL102&amp;".xuf"</f>
        <v>C:\PWWORKING\east01\d2591108\Weave\__2019EX_PM_.xuf</v>
      </c>
    </row>
    <row r="103" spans="85:117" x14ac:dyDescent="0.2">
      <c r="CG103" s="18"/>
      <c r="CM103" s="18"/>
      <c r="DK103" s="31" t="str">
        <f t="shared" si="6"/>
        <v xml:space="preserve">  </v>
      </c>
      <c r="DL103" s="25" t="str">
        <f t="shared" si="7"/>
        <v/>
      </c>
      <c r="DM103" s="25" t="str">
        <f>BasicInput!$D$13&amp;$DM$2&amp;B103&amp;"_"&amp;C103&amp;D103&amp;"_"&amp;BasicInput!$D$7&amp;BasicInput!$D$8&amp;"_"&amp;DL103&amp;".xuf"</f>
        <v>C:\PWWORKING\east01\d2591108\Weave\__2019EX_PM_.xuf</v>
      </c>
    </row>
    <row r="104" spans="85:117" x14ac:dyDescent="0.2">
      <c r="CG104" s="18"/>
      <c r="CM104" s="18"/>
      <c r="DK104" s="31" t="str">
        <f t="shared" si="6"/>
        <v xml:space="preserve">  </v>
      </c>
      <c r="DL104" s="25" t="str">
        <f t="shared" si="7"/>
        <v/>
      </c>
      <c r="DM104" s="25" t="str">
        <f>BasicInput!$D$13&amp;$DM$2&amp;B104&amp;"_"&amp;C104&amp;D104&amp;"_"&amp;BasicInput!$D$7&amp;BasicInput!$D$8&amp;"_"&amp;DL104&amp;".xuf"</f>
        <v>C:\PWWORKING\east01\d2591108\Weave\__2019EX_PM_.xuf</v>
      </c>
    </row>
    <row r="105" spans="85:117" x14ac:dyDescent="0.2">
      <c r="CG105" s="18"/>
      <c r="CM105" s="18"/>
      <c r="DK105" s="31" t="str">
        <f t="shared" si="6"/>
        <v xml:space="preserve">  </v>
      </c>
      <c r="DL105" s="25" t="str">
        <f t="shared" si="7"/>
        <v/>
      </c>
      <c r="DM105" s="25" t="str">
        <f>BasicInput!$D$13&amp;$DM$2&amp;B105&amp;"_"&amp;C105&amp;D105&amp;"_"&amp;BasicInput!$D$7&amp;BasicInput!$D$8&amp;"_"&amp;DL105&amp;".xuf"</f>
        <v>C:\PWWORKING\east01\d2591108\Weave\__2019EX_PM_.xuf</v>
      </c>
    </row>
    <row r="106" spans="85:117" x14ac:dyDescent="0.2">
      <c r="CG106" s="18"/>
      <c r="CM106" s="18"/>
      <c r="DK106" s="31" t="str">
        <f t="shared" si="6"/>
        <v xml:space="preserve">  </v>
      </c>
      <c r="DL106" s="25" t="str">
        <f t="shared" si="7"/>
        <v/>
      </c>
      <c r="DM106" s="25" t="str">
        <f>BasicInput!$D$13&amp;$DM$2&amp;B106&amp;"_"&amp;C106&amp;D106&amp;"_"&amp;BasicInput!$D$7&amp;BasicInput!$D$8&amp;"_"&amp;DL106&amp;".xuf"</f>
        <v>C:\PWWORKING\east01\d2591108\Weave\__2019EX_PM_.xuf</v>
      </c>
    </row>
    <row r="107" spans="85:117" x14ac:dyDescent="0.2">
      <c r="CG107" s="18"/>
      <c r="CM107" s="18"/>
      <c r="DK107" s="31" t="str">
        <f t="shared" si="6"/>
        <v xml:space="preserve">  </v>
      </c>
      <c r="DL107" s="25" t="str">
        <f t="shared" si="7"/>
        <v/>
      </c>
      <c r="DM107" s="25" t="str">
        <f>BasicInput!$D$13&amp;$DM$2&amp;B107&amp;"_"&amp;C107&amp;D107&amp;"_"&amp;BasicInput!$D$7&amp;BasicInput!$D$8&amp;"_"&amp;DL107&amp;".xuf"</f>
        <v>C:\PWWORKING\east01\d2591108\Weave\__2019EX_PM_.xuf</v>
      </c>
    </row>
    <row r="108" spans="85:117" x14ac:dyDescent="0.2">
      <c r="CG108" s="18"/>
      <c r="CM108" s="18"/>
      <c r="DK108" s="31" t="str">
        <f t="shared" si="6"/>
        <v xml:space="preserve">  </v>
      </c>
      <c r="DL108" s="25" t="str">
        <f t="shared" si="7"/>
        <v/>
      </c>
      <c r="DM108" s="25" t="str">
        <f>BasicInput!$D$13&amp;$DM$2&amp;B108&amp;"_"&amp;C108&amp;D108&amp;"_"&amp;BasicInput!$D$7&amp;BasicInput!$D$8&amp;"_"&amp;DL108&amp;".xuf"</f>
        <v>C:\PWWORKING\east01\d2591108\Weave\__2019EX_PM_.xuf</v>
      </c>
    </row>
    <row r="109" spans="85:117" x14ac:dyDescent="0.2">
      <c r="CG109" s="18"/>
      <c r="CM109" s="18"/>
      <c r="DK109" s="31" t="str">
        <f t="shared" si="6"/>
        <v xml:space="preserve">  </v>
      </c>
      <c r="DL109" s="25" t="str">
        <f t="shared" si="7"/>
        <v/>
      </c>
      <c r="DM109" s="25" t="str">
        <f>BasicInput!$D$13&amp;$DM$2&amp;B109&amp;"_"&amp;C109&amp;D109&amp;"_"&amp;BasicInput!$D$7&amp;BasicInput!$D$8&amp;"_"&amp;DL109&amp;".xuf"</f>
        <v>C:\PWWORKING\east01\d2591108\Weave\__2019EX_PM_.xuf</v>
      </c>
    </row>
    <row r="110" spans="85:117" x14ac:dyDescent="0.2">
      <c r="CG110" s="18"/>
      <c r="CM110" s="18"/>
      <c r="DK110" s="31" t="str">
        <f t="shared" si="6"/>
        <v xml:space="preserve">  </v>
      </c>
      <c r="DL110" s="25" t="str">
        <f t="shared" si="7"/>
        <v/>
      </c>
      <c r="DM110" s="25" t="str">
        <f>BasicInput!$D$13&amp;$DM$2&amp;B110&amp;"_"&amp;C110&amp;D110&amp;"_"&amp;BasicInput!$D$7&amp;BasicInput!$D$8&amp;"_"&amp;DL110&amp;".xuf"</f>
        <v>C:\PWWORKING\east01\d2591108\Weave\__2019EX_PM_.xuf</v>
      </c>
    </row>
    <row r="111" spans="85:117" x14ac:dyDescent="0.2">
      <c r="CG111" s="18"/>
      <c r="CM111" s="18"/>
      <c r="DK111" s="31" t="str">
        <f t="shared" si="6"/>
        <v xml:space="preserve">  </v>
      </c>
      <c r="DL111" s="25" t="str">
        <f t="shared" si="7"/>
        <v/>
      </c>
      <c r="DM111" s="25" t="str">
        <f>BasicInput!$D$13&amp;$DM$2&amp;B111&amp;"_"&amp;C111&amp;D111&amp;"_"&amp;BasicInput!$D$7&amp;BasicInput!$D$8&amp;"_"&amp;DL111&amp;".xuf"</f>
        <v>C:\PWWORKING\east01\d2591108\Weave\__2019EX_PM_.xuf</v>
      </c>
    </row>
    <row r="112" spans="85:117" x14ac:dyDescent="0.2">
      <c r="CG112" s="18"/>
      <c r="CM112" s="18"/>
      <c r="DK112" s="31" t="str">
        <f t="shared" si="6"/>
        <v xml:space="preserve">  </v>
      </c>
      <c r="DL112" s="25" t="str">
        <f t="shared" si="7"/>
        <v/>
      </c>
      <c r="DM112" s="25" t="str">
        <f>BasicInput!$D$13&amp;$DM$2&amp;B112&amp;"_"&amp;C112&amp;D112&amp;"_"&amp;BasicInput!$D$7&amp;BasicInput!$D$8&amp;"_"&amp;DL112&amp;".xuf"</f>
        <v>C:\PWWORKING\east01\d2591108\Weave\__2019EX_PM_.xuf</v>
      </c>
    </row>
    <row r="113" spans="85:117" x14ac:dyDescent="0.2">
      <c r="CG113" s="18"/>
      <c r="CM113" s="18"/>
      <c r="DK113" s="31" t="str">
        <f t="shared" si="6"/>
        <v xml:space="preserve">  </v>
      </c>
      <c r="DL113" s="25" t="str">
        <f t="shared" si="7"/>
        <v/>
      </c>
      <c r="DM113" s="25" t="str">
        <f>BasicInput!$D$13&amp;$DM$2&amp;B113&amp;"_"&amp;C113&amp;D113&amp;"_"&amp;BasicInput!$D$7&amp;BasicInput!$D$8&amp;"_"&amp;DL113&amp;".xuf"</f>
        <v>C:\PWWORKING\east01\d2591108\Weave\__2019EX_PM_.xuf</v>
      </c>
    </row>
    <row r="114" spans="85:117" x14ac:dyDescent="0.2">
      <c r="CG114" s="18"/>
      <c r="CM114" s="18"/>
      <c r="DK114" s="31" t="str">
        <f t="shared" si="6"/>
        <v xml:space="preserve">  </v>
      </c>
      <c r="DL114" s="25" t="str">
        <f t="shared" si="7"/>
        <v/>
      </c>
      <c r="DM114" s="25" t="str">
        <f>BasicInput!$D$13&amp;$DM$2&amp;B114&amp;"_"&amp;C114&amp;D114&amp;"_"&amp;BasicInput!$D$7&amp;BasicInput!$D$8&amp;"_"&amp;DL114&amp;".xuf"</f>
        <v>C:\PWWORKING\east01\d2591108\Weave\__2019EX_PM_.xuf</v>
      </c>
    </row>
    <row r="115" spans="85:117" x14ac:dyDescent="0.2">
      <c r="CG115" s="18"/>
      <c r="CM115" s="18"/>
      <c r="DK115" s="31" t="str">
        <f t="shared" si="6"/>
        <v xml:space="preserve">  </v>
      </c>
      <c r="DL115" s="25" t="str">
        <f t="shared" si="7"/>
        <v/>
      </c>
      <c r="DM115" s="25" t="str">
        <f>BasicInput!$D$13&amp;$DM$2&amp;B115&amp;"_"&amp;C115&amp;D115&amp;"_"&amp;BasicInput!$D$7&amp;BasicInput!$D$8&amp;"_"&amp;DL115&amp;".xuf"</f>
        <v>C:\PWWORKING\east01\d2591108\Weave\__2019EX_PM_.xuf</v>
      </c>
    </row>
    <row r="116" spans="85:117" x14ac:dyDescent="0.2">
      <c r="CG116" s="18"/>
      <c r="CM116" s="18"/>
      <c r="DK116" s="31" t="str">
        <f t="shared" si="6"/>
        <v xml:space="preserve">  </v>
      </c>
      <c r="DL116" s="25" t="str">
        <f t="shared" si="7"/>
        <v/>
      </c>
      <c r="DM116" s="25" t="str">
        <f>BasicInput!$D$13&amp;$DM$2&amp;B116&amp;"_"&amp;C116&amp;D116&amp;"_"&amp;BasicInput!$D$7&amp;BasicInput!$D$8&amp;"_"&amp;DL116&amp;".xuf"</f>
        <v>C:\PWWORKING\east01\d2591108\Weave\__2019EX_PM_.xuf</v>
      </c>
    </row>
    <row r="117" spans="85:117" x14ac:dyDescent="0.2">
      <c r="CG117" s="18"/>
      <c r="CM117" s="18"/>
      <c r="DK117" s="31" t="str">
        <f t="shared" si="6"/>
        <v xml:space="preserve">  </v>
      </c>
      <c r="DL117" s="25" t="str">
        <f t="shared" si="7"/>
        <v/>
      </c>
      <c r="DM117" s="25" t="str">
        <f>BasicInput!$D$13&amp;$DM$2&amp;B117&amp;"_"&amp;C117&amp;D117&amp;"_"&amp;BasicInput!$D$7&amp;BasicInput!$D$8&amp;"_"&amp;DL117&amp;".xuf"</f>
        <v>C:\PWWORKING\east01\d2591108\Weave\__2019EX_PM_.xuf</v>
      </c>
    </row>
    <row r="118" spans="85:117" x14ac:dyDescent="0.2">
      <c r="CG118" s="18"/>
      <c r="CM118" s="18"/>
      <c r="DK118" s="31" t="str">
        <f t="shared" si="6"/>
        <v xml:space="preserve">  </v>
      </c>
      <c r="DL118" s="25" t="str">
        <f t="shared" si="7"/>
        <v/>
      </c>
      <c r="DM118" s="25" t="str">
        <f>BasicInput!$D$13&amp;$DM$2&amp;B118&amp;"_"&amp;C118&amp;D118&amp;"_"&amp;BasicInput!$D$7&amp;BasicInput!$D$8&amp;"_"&amp;DL118&amp;".xuf"</f>
        <v>C:\PWWORKING\east01\d2591108\Weave\__2019EX_PM_.xuf</v>
      </c>
    </row>
    <row r="119" spans="85:117" x14ac:dyDescent="0.2">
      <c r="CG119" s="18"/>
      <c r="CM119" s="18"/>
      <c r="DK119" s="31" t="str">
        <f t="shared" si="6"/>
        <v xml:space="preserve">  </v>
      </c>
      <c r="DL119" s="25" t="str">
        <f t="shared" si="7"/>
        <v/>
      </c>
      <c r="DM119" s="25" t="str">
        <f>BasicInput!$D$13&amp;$DM$2&amp;B119&amp;"_"&amp;C119&amp;D119&amp;"_"&amp;BasicInput!$D$7&amp;BasicInput!$D$8&amp;"_"&amp;DL119&amp;".xuf"</f>
        <v>C:\PWWORKING\east01\d2591108\Weave\__2019EX_PM_.xuf</v>
      </c>
    </row>
    <row r="120" spans="85:117" x14ac:dyDescent="0.2">
      <c r="CG120" s="18"/>
      <c r="CM120" s="18"/>
      <c r="DK120" s="31" t="str">
        <f t="shared" si="6"/>
        <v xml:space="preserve">  </v>
      </c>
      <c r="DL120" s="25" t="str">
        <f t="shared" si="7"/>
        <v/>
      </c>
      <c r="DM120" s="25" t="str">
        <f>BasicInput!$D$13&amp;$DM$2&amp;B120&amp;"_"&amp;C120&amp;D120&amp;"_"&amp;BasicInput!$D$7&amp;BasicInput!$D$8&amp;"_"&amp;DL120&amp;".xuf"</f>
        <v>C:\PWWORKING\east01\d2591108\Weave\__2019EX_PM_.xuf</v>
      </c>
    </row>
    <row r="121" spans="85:117" x14ac:dyDescent="0.2">
      <c r="CG121" s="18"/>
      <c r="CM121" s="18"/>
      <c r="DK121" s="31" t="str">
        <f t="shared" si="6"/>
        <v xml:space="preserve">  </v>
      </c>
      <c r="DL121" s="25" t="str">
        <f t="shared" si="7"/>
        <v/>
      </c>
      <c r="DM121" s="25" t="str">
        <f>BasicInput!$D$13&amp;$DM$2&amp;B121&amp;"_"&amp;C121&amp;D121&amp;"_"&amp;BasicInput!$D$7&amp;BasicInput!$D$8&amp;"_"&amp;DL121&amp;".xuf"</f>
        <v>C:\PWWORKING\east01\d2591108\Weave\__2019EX_PM_.xuf</v>
      </c>
    </row>
    <row r="122" spans="85:117" x14ac:dyDescent="0.2">
      <c r="CG122" s="18"/>
      <c r="CM122" s="18"/>
      <c r="DK122" s="31" t="str">
        <f t="shared" si="6"/>
        <v xml:space="preserve">  </v>
      </c>
      <c r="DL122" s="25" t="str">
        <f t="shared" si="7"/>
        <v/>
      </c>
      <c r="DM122" s="25" t="str">
        <f>BasicInput!$D$13&amp;$DM$2&amp;B122&amp;"_"&amp;C122&amp;D122&amp;"_"&amp;BasicInput!$D$7&amp;BasicInput!$D$8&amp;"_"&amp;DL122&amp;".xuf"</f>
        <v>C:\PWWORKING\east01\d2591108\Weave\__2019EX_PM_.xuf</v>
      </c>
    </row>
    <row r="123" spans="85:117" x14ac:dyDescent="0.2">
      <c r="CG123" s="18"/>
      <c r="CM123" s="18"/>
      <c r="DK123" s="31" t="str">
        <f t="shared" si="6"/>
        <v xml:space="preserve">  </v>
      </c>
      <c r="DL123" s="25" t="str">
        <f t="shared" si="7"/>
        <v/>
      </c>
      <c r="DM123" s="25" t="str">
        <f>BasicInput!$D$13&amp;$DM$2&amp;B123&amp;"_"&amp;C123&amp;D123&amp;"_"&amp;BasicInput!$D$7&amp;BasicInput!$D$8&amp;"_"&amp;DL123&amp;".xuf"</f>
        <v>C:\PWWORKING\east01\d2591108\Weave\__2019EX_PM_.xuf</v>
      </c>
    </row>
    <row r="124" spans="85:117" x14ac:dyDescent="0.2">
      <c r="CG124" s="18"/>
      <c r="CM124" s="18"/>
      <c r="DK124" s="31" t="str">
        <f t="shared" si="6"/>
        <v xml:space="preserve">  </v>
      </c>
      <c r="DL124" s="25" t="str">
        <f t="shared" si="7"/>
        <v/>
      </c>
      <c r="DM124" s="25" t="str">
        <f>BasicInput!$D$13&amp;$DM$2&amp;B124&amp;"_"&amp;C124&amp;D124&amp;"_"&amp;BasicInput!$D$7&amp;BasicInput!$D$8&amp;"_"&amp;DL124&amp;".xuf"</f>
        <v>C:\PWWORKING\east01\d2591108\Weave\__2019EX_PM_.xuf</v>
      </c>
    </row>
    <row r="125" spans="85:117" x14ac:dyDescent="0.2">
      <c r="CG125" s="18"/>
      <c r="CM125" s="18"/>
      <c r="DK125" s="31" t="str">
        <f t="shared" si="6"/>
        <v xml:space="preserve">  </v>
      </c>
      <c r="DL125" s="25" t="str">
        <f t="shared" si="7"/>
        <v/>
      </c>
      <c r="DM125" s="25" t="str">
        <f>BasicInput!$D$13&amp;$DM$2&amp;B125&amp;"_"&amp;C125&amp;D125&amp;"_"&amp;BasicInput!$D$7&amp;BasicInput!$D$8&amp;"_"&amp;DL125&amp;".xuf"</f>
        <v>C:\PWWORKING\east01\d2591108\Weave\__2019EX_PM_.xuf</v>
      </c>
    </row>
    <row r="126" spans="85:117" x14ac:dyDescent="0.2">
      <c r="CG126" s="18"/>
      <c r="CM126" s="18"/>
      <c r="DK126" s="31" t="str">
        <f t="shared" si="6"/>
        <v xml:space="preserve">  </v>
      </c>
      <c r="DL126" s="25" t="str">
        <f t="shared" si="7"/>
        <v/>
      </c>
      <c r="DM126" s="25" t="str">
        <f>BasicInput!$D$13&amp;$DM$2&amp;B126&amp;"_"&amp;C126&amp;D126&amp;"_"&amp;BasicInput!$D$7&amp;BasicInput!$D$8&amp;"_"&amp;DL126&amp;".xuf"</f>
        <v>C:\PWWORKING\east01\d2591108\Weave\__2019EX_PM_.xuf</v>
      </c>
    </row>
    <row r="127" spans="85:117" x14ac:dyDescent="0.2">
      <c r="CG127" s="18"/>
      <c r="CM127" s="18"/>
      <c r="DK127" s="31" t="str">
        <f t="shared" si="6"/>
        <v xml:space="preserve">  </v>
      </c>
      <c r="DL127" s="25" t="str">
        <f t="shared" si="7"/>
        <v/>
      </c>
      <c r="DM127" s="25" t="str">
        <f>BasicInput!$D$13&amp;$DM$2&amp;B127&amp;"_"&amp;C127&amp;D127&amp;"_"&amp;BasicInput!$D$7&amp;BasicInput!$D$8&amp;"_"&amp;DL127&amp;".xuf"</f>
        <v>C:\PWWORKING\east01\d2591108\Weave\__2019EX_PM_.xuf</v>
      </c>
    </row>
    <row r="128" spans="85:117" x14ac:dyDescent="0.2">
      <c r="CG128" s="18"/>
      <c r="CM128" s="18"/>
      <c r="DK128" s="31" t="str">
        <f t="shared" si="6"/>
        <v xml:space="preserve">  </v>
      </c>
      <c r="DL128" s="25" t="str">
        <f t="shared" si="7"/>
        <v/>
      </c>
      <c r="DM128" s="25" t="str">
        <f>BasicInput!$D$13&amp;$DM$2&amp;B128&amp;"_"&amp;C128&amp;D128&amp;"_"&amp;BasicInput!$D$7&amp;BasicInput!$D$8&amp;"_"&amp;DL128&amp;".xuf"</f>
        <v>C:\PWWORKING\east01\d2591108\Weave\__2019EX_PM_.xuf</v>
      </c>
    </row>
    <row r="129" spans="85:117" x14ac:dyDescent="0.2">
      <c r="CG129" s="18"/>
      <c r="CM129" s="18"/>
      <c r="DK129" s="31" t="str">
        <f t="shared" si="6"/>
        <v xml:space="preserve">  </v>
      </c>
      <c r="DL129" s="25" t="str">
        <f t="shared" si="7"/>
        <v/>
      </c>
      <c r="DM129" s="25" t="str">
        <f>BasicInput!$D$13&amp;$DM$2&amp;B129&amp;"_"&amp;C129&amp;D129&amp;"_"&amp;BasicInput!$D$7&amp;BasicInput!$D$8&amp;"_"&amp;DL129&amp;".xuf"</f>
        <v>C:\PWWORKING\east01\d2591108\Weave\__2019EX_PM_.xuf</v>
      </c>
    </row>
    <row r="130" spans="85:117" x14ac:dyDescent="0.2">
      <c r="CG130" s="18"/>
      <c r="CM130" s="18"/>
      <c r="DK130" s="31" t="str">
        <f t="shared" si="6"/>
        <v xml:space="preserve">  </v>
      </c>
      <c r="DL130" s="25" t="str">
        <f t="shared" si="7"/>
        <v/>
      </c>
      <c r="DM130" s="25" t="str">
        <f>BasicInput!$D$13&amp;$DM$2&amp;B130&amp;"_"&amp;C130&amp;D130&amp;"_"&amp;BasicInput!$D$7&amp;BasicInput!$D$8&amp;"_"&amp;DL130&amp;".xuf"</f>
        <v>C:\PWWORKING\east01\d2591108\Weave\__2019EX_PM_.xuf</v>
      </c>
    </row>
    <row r="131" spans="85:117" x14ac:dyDescent="0.2">
      <c r="CG131" s="18"/>
      <c r="CM131" s="18"/>
      <c r="DK131" s="31" t="str">
        <f t="shared" si="6"/>
        <v xml:space="preserve">  </v>
      </c>
      <c r="DL131" s="25" t="str">
        <f t="shared" si="7"/>
        <v/>
      </c>
      <c r="DM131" s="25" t="str">
        <f>BasicInput!$D$13&amp;$DM$2&amp;B131&amp;"_"&amp;C131&amp;D131&amp;"_"&amp;BasicInput!$D$7&amp;BasicInput!$D$8&amp;"_"&amp;DL131&amp;".xuf"</f>
        <v>C:\PWWORKING\east01\d2591108\Weave\__2019EX_PM_.xuf</v>
      </c>
    </row>
    <row r="132" spans="85:117" x14ac:dyDescent="0.2">
      <c r="CG132" s="18"/>
      <c r="CM132" s="18"/>
      <c r="DK132" s="31" t="str">
        <f t="shared" si="6"/>
        <v xml:space="preserve">  </v>
      </c>
      <c r="DL132" s="25" t="str">
        <f t="shared" si="7"/>
        <v/>
      </c>
      <c r="DM132" s="25" t="str">
        <f>BasicInput!$D$13&amp;$DM$2&amp;B132&amp;"_"&amp;C132&amp;D132&amp;"_"&amp;BasicInput!$D$7&amp;BasicInput!$D$8&amp;"_"&amp;DL132&amp;".xuf"</f>
        <v>C:\PWWORKING\east01\d2591108\Weave\__2019EX_PM_.xuf</v>
      </c>
    </row>
    <row r="133" spans="85:117" x14ac:dyDescent="0.2">
      <c r="CG133" s="18"/>
      <c r="CM133" s="18"/>
      <c r="DK133" s="31" t="str">
        <f t="shared" si="6"/>
        <v xml:space="preserve">  </v>
      </c>
      <c r="DL133" s="25" t="str">
        <f t="shared" si="7"/>
        <v/>
      </c>
      <c r="DM133" s="25" t="str">
        <f>BasicInput!$D$13&amp;$DM$2&amp;B133&amp;"_"&amp;C133&amp;D133&amp;"_"&amp;BasicInput!$D$7&amp;BasicInput!$D$8&amp;"_"&amp;DL133&amp;".xuf"</f>
        <v>C:\PWWORKING\east01\d2591108\Weave\__2019EX_PM_.xuf</v>
      </c>
    </row>
    <row r="134" spans="85:117" x14ac:dyDescent="0.2">
      <c r="CG134" s="18"/>
      <c r="CM134" s="18"/>
      <c r="DK134" s="31" t="str">
        <f t="shared" si="6"/>
        <v xml:space="preserve">  </v>
      </c>
      <c r="DL134" s="25" t="str">
        <f t="shared" si="7"/>
        <v/>
      </c>
      <c r="DM134" s="25" t="str">
        <f>BasicInput!$D$13&amp;$DM$2&amp;B134&amp;"_"&amp;C134&amp;D134&amp;"_"&amp;BasicInput!$D$7&amp;BasicInput!$D$8&amp;"_"&amp;DL134&amp;".xuf"</f>
        <v>C:\PWWORKING\east01\d2591108\Weave\__2019EX_PM_.xuf</v>
      </c>
    </row>
    <row r="135" spans="85:117" x14ac:dyDescent="0.2">
      <c r="CG135" s="18"/>
      <c r="CM135" s="18"/>
      <c r="DK135" s="31" t="str">
        <f t="shared" si="6"/>
        <v xml:space="preserve">  </v>
      </c>
      <c r="DL135" s="25" t="str">
        <f t="shared" si="7"/>
        <v/>
      </c>
      <c r="DM135" s="25" t="str">
        <f>BasicInput!$D$13&amp;$DM$2&amp;B135&amp;"_"&amp;C135&amp;D135&amp;"_"&amp;BasicInput!$D$7&amp;BasicInput!$D$8&amp;"_"&amp;DL135&amp;".xuf"</f>
        <v>C:\PWWORKING\east01\d2591108\Weave\__2019EX_PM_.xuf</v>
      </c>
    </row>
    <row r="136" spans="85:117" x14ac:dyDescent="0.2">
      <c r="CG136" s="18"/>
      <c r="CM136" s="18"/>
      <c r="DK136" s="31" t="str">
        <f t="shared" si="6"/>
        <v xml:space="preserve">  </v>
      </c>
      <c r="DL136" s="25" t="str">
        <f t="shared" si="7"/>
        <v/>
      </c>
      <c r="DM136" s="25" t="str">
        <f>BasicInput!$D$13&amp;$DM$2&amp;B136&amp;"_"&amp;C136&amp;D136&amp;"_"&amp;BasicInput!$D$7&amp;BasicInput!$D$8&amp;"_"&amp;DL136&amp;".xuf"</f>
        <v>C:\PWWORKING\east01\d2591108\Weave\__2019EX_PM_.xuf</v>
      </c>
    </row>
    <row r="137" spans="85:117" x14ac:dyDescent="0.2">
      <c r="CG137" s="18"/>
      <c r="CM137" s="18"/>
      <c r="DK137" s="31" t="str">
        <f t="shared" si="6"/>
        <v xml:space="preserve">  </v>
      </c>
      <c r="DL137" s="25" t="str">
        <f t="shared" si="7"/>
        <v/>
      </c>
      <c r="DM137" s="25" t="str">
        <f>BasicInput!$D$13&amp;$DM$2&amp;B137&amp;"_"&amp;C137&amp;D137&amp;"_"&amp;BasicInput!$D$7&amp;BasicInput!$D$8&amp;"_"&amp;DL137&amp;".xuf"</f>
        <v>C:\PWWORKING\east01\d2591108\Weave\__2019EX_PM_.xuf</v>
      </c>
    </row>
    <row r="138" spans="85:117" x14ac:dyDescent="0.2">
      <c r="CG138" s="18"/>
      <c r="CM138" s="18"/>
      <c r="DK138" s="31" t="str">
        <f t="shared" si="6"/>
        <v xml:space="preserve">  </v>
      </c>
      <c r="DL138" s="25" t="str">
        <f t="shared" si="7"/>
        <v/>
      </c>
      <c r="DM138" s="25" t="str">
        <f>BasicInput!$D$13&amp;$DM$2&amp;B138&amp;"_"&amp;C138&amp;D138&amp;"_"&amp;BasicInput!$D$7&amp;BasicInput!$D$8&amp;"_"&amp;DL138&amp;".xuf"</f>
        <v>C:\PWWORKING\east01\d2591108\Weave\__2019EX_PM_.xuf</v>
      </c>
    </row>
    <row r="139" spans="85:117" x14ac:dyDescent="0.2">
      <c r="CG139" s="18"/>
      <c r="CM139" s="18"/>
      <c r="DK139" s="31" t="str">
        <f t="shared" si="6"/>
        <v xml:space="preserve">  </v>
      </c>
      <c r="DL139" s="25" t="str">
        <f t="shared" si="7"/>
        <v/>
      </c>
      <c r="DM139" s="25" t="str">
        <f>BasicInput!$D$13&amp;$DM$2&amp;B139&amp;"_"&amp;C139&amp;D139&amp;"_"&amp;BasicInput!$D$7&amp;BasicInput!$D$8&amp;"_"&amp;DL139&amp;".xuf"</f>
        <v>C:\PWWORKING\east01\d2591108\Weave\__2019EX_PM_.xuf</v>
      </c>
    </row>
    <row r="140" spans="85:117" x14ac:dyDescent="0.2">
      <c r="CG140" s="18"/>
      <c r="CM140" s="18"/>
      <c r="DK140" s="31" t="str">
        <f t="shared" ref="DK140:DK203" si="8">C140&amp; " "&amp;D140&amp;" " &amp;E140</f>
        <v xml:space="preserve">  </v>
      </c>
      <c r="DL140" s="25" t="str">
        <f t="shared" ref="DL140:DL203" si="9">TRIM(LEFT(E140, 30))</f>
        <v/>
      </c>
      <c r="DM140" s="25" t="str">
        <f>BasicInput!$D$13&amp;$DM$2&amp;B140&amp;"_"&amp;C140&amp;D140&amp;"_"&amp;BasicInput!$D$7&amp;BasicInput!$D$8&amp;"_"&amp;DL140&amp;".xuf"</f>
        <v>C:\PWWORKING\east01\d2591108\Weave\__2019EX_PM_.xuf</v>
      </c>
    </row>
    <row r="141" spans="85:117" x14ac:dyDescent="0.2">
      <c r="CG141" s="18"/>
      <c r="CM141" s="18"/>
      <c r="DK141" s="31" t="str">
        <f t="shared" si="8"/>
        <v xml:space="preserve">  </v>
      </c>
      <c r="DL141" s="25" t="str">
        <f t="shared" si="9"/>
        <v/>
      </c>
      <c r="DM141" s="25" t="str">
        <f>BasicInput!$D$13&amp;$DM$2&amp;B141&amp;"_"&amp;C141&amp;D141&amp;"_"&amp;BasicInput!$D$7&amp;BasicInput!$D$8&amp;"_"&amp;DL141&amp;".xuf"</f>
        <v>C:\PWWORKING\east01\d2591108\Weave\__2019EX_PM_.xuf</v>
      </c>
    </row>
    <row r="142" spans="85:117" x14ac:dyDescent="0.2">
      <c r="CG142" s="18"/>
      <c r="CM142" s="18"/>
      <c r="DK142" s="31" t="str">
        <f t="shared" si="8"/>
        <v xml:space="preserve">  </v>
      </c>
      <c r="DL142" s="25" t="str">
        <f t="shared" si="9"/>
        <v/>
      </c>
      <c r="DM142" s="25" t="str">
        <f>BasicInput!$D$13&amp;$DM$2&amp;B142&amp;"_"&amp;C142&amp;D142&amp;"_"&amp;BasicInput!$D$7&amp;BasicInput!$D$8&amp;"_"&amp;DL142&amp;".xuf"</f>
        <v>C:\PWWORKING\east01\d2591108\Weave\__2019EX_PM_.xuf</v>
      </c>
    </row>
    <row r="143" spans="85:117" x14ac:dyDescent="0.2">
      <c r="CG143" s="18"/>
      <c r="CM143" s="18"/>
      <c r="DK143" s="31" t="str">
        <f t="shared" si="8"/>
        <v xml:space="preserve">  </v>
      </c>
      <c r="DL143" s="25" t="str">
        <f t="shared" si="9"/>
        <v/>
      </c>
      <c r="DM143" s="25" t="str">
        <f>BasicInput!$D$13&amp;$DM$2&amp;B143&amp;"_"&amp;C143&amp;D143&amp;"_"&amp;BasicInput!$D$7&amp;BasicInput!$D$8&amp;"_"&amp;DL143&amp;".xuf"</f>
        <v>C:\PWWORKING\east01\d2591108\Weave\__2019EX_PM_.xuf</v>
      </c>
    </row>
    <row r="144" spans="85:117" x14ac:dyDescent="0.2">
      <c r="CG144" s="18"/>
      <c r="CM144" s="18"/>
      <c r="DK144" s="31" t="str">
        <f t="shared" si="8"/>
        <v xml:space="preserve">  </v>
      </c>
      <c r="DL144" s="25" t="str">
        <f t="shared" si="9"/>
        <v/>
      </c>
      <c r="DM144" s="25" t="str">
        <f>BasicInput!$D$13&amp;$DM$2&amp;B144&amp;"_"&amp;C144&amp;D144&amp;"_"&amp;BasicInput!$D$7&amp;BasicInput!$D$8&amp;"_"&amp;DL144&amp;".xuf"</f>
        <v>C:\PWWORKING\east01\d2591108\Weave\__2019EX_PM_.xuf</v>
      </c>
    </row>
    <row r="145" spans="85:117" x14ac:dyDescent="0.2">
      <c r="CG145" s="18"/>
      <c r="CM145" s="18"/>
      <c r="DK145" s="31" t="str">
        <f t="shared" si="8"/>
        <v xml:space="preserve">  </v>
      </c>
      <c r="DL145" s="25" t="str">
        <f t="shared" si="9"/>
        <v/>
      </c>
      <c r="DM145" s="25" t="str">
        <f>BasicInput!$D$13&amp;$DM$2&amp;B145&amp;"_"&amp;C145&amp;D145&amp;"_"&amp;BasicInput!$D$7&amp;BasicInput!$D$8&amp;"_"&amp;DL145&amp;".xuf"</f>
        <v>C:\PWWORKING\east01\d2591108\Weave\__2019EX_PM_.xuf</v>
      </c>
    </row>
    <row r="146" spans="85:117" x14ac:dyDescent="0.2">
      <c r="CG146" s="18"/>
      <c r="CM146" s="18"/>
      <c r="DK146" s="31" t="str">
        <f t="shared" si="8"/>
        <v xml:space="preserve">  </v>
      </c>
      <c r="DL146" s="25" t="str">
        <f t="shared" si="9"/>
        <v/>
      </c>
      <c r="DM146" s="25" t="str">
        <f>BasicInput!$D$13&amp;$DM$2&amp;B146&amp;"_"&amp;C146&amp;D146&amp;"_"&amp;BasicInput!$D$7&amp;BasicInput!$D$8&amp;"_"&amp;DL146&amp;".xuf"</f>
        <v>C:\PWWORKING\east01\d2591108\Weave\__2019EX_PM_.xuf</v>
      </c>
    </row>
    <row r="147" spans="85:117" x14ac:dyDescent="0.2">
      <c r="CG147" s="18"/>
      <c r="CM147" s="18"/>
      <c r="DK147" s="31" t="str">
        <f t="shared" si="8"/>
        <v xml:space="preserve">  </v>
      </c>
      <c r="DL147" s="25" t="str">
        <f t="shared" si="9"/>
        <v/>
      </c>
      <c r="DM147" s="25" t="str">
        <f>BasicInput!$D$13&amp;$DM$2&amp;B147&amp;"_"&amp;C147&amp;D147&amp;"_"&amp;BasicInput!$D$7&amp;BasicInput!$D$8&amp;"_"&amp;DL147&amp;".xuf"</f>
        <v>C:\PWWORKING\east01\d2591108\Weave\__2019EX_PM_.xuf</v>
      </c>
    </row>
    <row r="148" spans="85:117" x14ac:dyDescent="0.2">
      <c r="CG148" s="18"/>
      <c r="CM148" s="18"/>
      <c r="DK148" s="31" t="str">
        <f t="shared" si="8"/>
        <v xml:space="preserve">  </v>
      </c>
      <c r="DL148" s="25" t="str">
        <f t="shared" si="9"/>
        <v/>
      </c>
      <c r="DM148" s="25" t="str">
        <f>BasicInput!$D$13&amp;$DM$2&amp;B148&amp;"_"&amp;C148&amp;D148&amp;"_"&amp;BasicInput!$D$7&amp;BasicInput!$D$8&amp;"_"&amp;DL148&amp;".xuf"</f>
        <v>C:\PWWORKING\east01\d2591108\Weave\__2019EX_PM_.xuf</v>
      </c>
    </row>
    <row r="149" spans="85:117" x14ac:dyDescent="0.2">
      <c r="CG149" s="18"/>
      <c r="CM149" s="18"/>
      <c r="DK149" s="31" t="str">
        <f t="shared" si="8"/>
        <v xml:space="preserve">  </v>
      </c>
      <c r="DL149" s="25" t="str">
        <f t="shared" si="9"/>
        <v/>
      </c>
      <c r="DM149" s="25" t="str">
        <f>BasicInput!$D$13&amp;$DM$2&amp;B149&amp;"_"&amp;C149&amp;D149&amp;"_"&amp;BasicInput!$D$7&amp;BasicInput!$D$8&amp;"_"&amp;DL149&amp;".xuf"</f>
        <v>C:\PWWORKING\east01\d2591108\Weave\__2019EX_PM_.xuf</v>
      </c>
    </row>
    <row r="150" spans="85:117" x14ac:dyDescent="0.2">
      <c r="CG150" s="18"/>
      <c r="CM150" s="18"/>
      <c r="DK150" s="31" t="str">
        <f t="shared" si="8"/>
        <v xml:space="preserve">  </v>
      </c>
      <c r="DL150" s="25" t="str">
        <f t="shared" si="9"/>
        <v/>
      </c>
      <c r="DM150" s="25" t="str">
        <f>BasicInput!$D$13&amp;$DM$2&amp;B150&amp;"_"&amp;C150&amp;D150&amp;"_"&amp;BasicInput!$D$7&amp;BasicInput!$D$8&amp;"_"&amp;DL150&amp;".xuf"</f>
        <v>C:\PWWORKING\east01\d2591108\Weave\__2019EX_PM_.xuf</v>
      </c>
    </row>
    <row r="151" spans="85:117" x14ac:dyDescent="0.2">
      <c r="CG151" s="18"/>
      <c r="CM151" s="18"/>
      <c r="DK151" s="31" t="str">
        <f t="shared" si="8"/>
        <v xml:space="preserve">  </v>
      </c>
      <c r="DL151" s="25" t="str">
        <f t="shared" si="9"/>
        <v/>
      </c>
      <c r="DM151" s="25" t="str">
        <f>BasicInput!$D$13&amp;$DM$2&amp;B151&amp;"_"&amp;C151&amp;D151&amp;"_"&amp;BasicInput!$D$7&amp;BasicInput!$D$8&amp;"_"&amp;DL151&amp;".xuf"</f>
        <v>C:\PWWORKING\east01\d2591108\Weave\__2019EX_PM_.xuf</v>
      </c>
    </row>
    <row r="152" spans="85:117" x14ac:dyDescent="0.2">
      <c r="CG152" s="18"/>
      <c r="CM152" s="18"/>
      <c r="DK152" s="31" t="str">
        <f t="shared" si="8"/>
        <v xml:space="preserve">  </v>
      </c>
      <c r="DL152" s="25" t="str">
        <f t="shared" si="9"/>
        <v/>
      </c>
      <c r="DM152" s="25" t="str">
        <f>BasicInput!$D$13&amp;$DM$2&amp;B152&amp;"_"&amp;C152&amp;D152&amp;"_"&amp;BasicInput!$D$7&amp;BasicInput!$D$8&amp;"_"&amp;DL152&amp;".xuf"</f>
        <v>C:\PWWORKING\east01\d2591108\Weave\__2019EX_PM_.xuf</v>
      </c>
    </row>
    <row r="153" spans="85:117" x14ac:dyDescent="0.2">
      <c r="CG153" s="18"/>
      <c r="CM153" s="18"/>
      <c r="DK153" s="31" t="str">
        <f t="shared" si="8"/>
        <v xml:space="preserve">  </v>
      </c>
      <c r="DL153" s="25" t="str">
        <f t="shared" si="9"/>
        <v/>
      </c>
      <c r="DM153" s="25" t="str">
        <f>BasicInput!$D$13&amp;$DM$2&amp;B153&amp;"_"&amp;C153&amp;D153&amp;"_"&amp;BasicInput!$D$7&amp;BasicInput!$D$8&amp;"_"&amp;DL153&amp;".xuf"</f>
        <v>C:\PWWORKING\east01\d2591108\Weave\__2019EX_PM_.xuf</v>
      </c>
    </row>
    <row r="154" spans="85:117" x14ac:dyDescent="0.2">
      <c r="CG154" s="18"/>
      <c r="CM154" s="18"/>
      <c r="DK154" s="31" t="str">
        <f t="shared" si="8"/>
        <v xml:space="preserve">  </v>
      </c>
      <c r="DL154" s="25" t="str">
        <f t="shared" si="9"/>
        <v/>
      </c>
      <c r="DM154" s="25" t="str">
        <f>BasicInput!$D$13&amp;$DM$2&amp;B154&amp;"_"&amp;C154&amp;D154&amp;"_"&amp;BasicInput!$D$7&amp;BasicInput!$D$8&amp;"_"&amp;DL154&amp;".xuf"</f>
        <v>C:\PWWORKING\east01\d2591108\Weave\__2019EX_PM_.xuf</v>
      </c>
    </row>
    <row r="155" spans="85:117" x14ac:dyDescent="0.2">
      <c r="CG155" s="18"/>
      <c r="CM155" s="18"/>
      <c r="DK155" s="31" t="str">
        <f t="shared" si="8"/>
        <v xml:space="preserve">  </v>
      </c>
      <c r="DL155" s="25" t="str">
        <f t="shared" si="9"/>
        <v/>
      </c>
      <c r="DM155" s="25" t="str">
        <f>BasicInput!$D$13&amp;$DM$2&amp;B155&amp;"_"&amp;C155&amp;D155&amp;"_"&amp;BasicInput!$D$7&amp;BasicInput!$D$8&amp;"_"&amp;DL155&amp;".xuf"</f>
        <v>C:\PWWORKING\east01\d2591108\Weave\__2019EX_PM_.xuf</v>
      </c>
    </row>
    <row r="156" spans="85:117" x14ac:dyDescent="0.2">
      <c r="CG156" s="18"/>
      <c r="CM156" s="18"/>
      <c r="DK156" s="31" t="str">
        <f t="shared" si="8"/>
        <v xml:space="preserve">  </v>
      </c>
      <c r="DL156" s="25" t="str">
        <f t="shared" si="9"/>
        <v/>
      </c>
      <c r="DM156" s="25" t="str">
        <f>BasicInput!$D$13&amp;$DM$2&amp;B156&amp;"_"&amp;C156&amp;D156&amp;"_"&amp;BasicInput!$D$7&amp;BasicInput!$D$8&amp;"_"&amp;DL156&amp;".xuf"</f>
        <v>C:\PWWORKING\east01\d2591108\Weave\__2019EX_PM_.xuf</v>
      </c>
    </row>
    <row r="157" spans="85:117" x14ac:dyDescent="0.2">
      <c r="CG157" s="18"/>
      <c r="CM157" s="18"/>
      <c r="DK157" s="31" t="str">
        <f t="shared" si="8"/>
        <v xml:space="preserve">  </v>
      </c>
      <c r="DL157" s="25" t="str">
        <f t="shared" si="9"/>
        <v/>
      </c>
      <c r="DM157" s="25" t="str">
        <f>BasicInput!$D$13&amp;$DM$2&amp;B157&amp;"_"&amp;C157&amp;D157&amp;"_"&amp;BasicInput!$D$7&amp;BasicInput!$D$8&amp;"_"&amp;DL157&amp;".xuf"</f>
        <v>C:\PWWORKING\east01\d2591108\Weave\__2019EX_PM_.xuf</v>
      </c>
    </row>
    <row r="158" spans="85:117" x14ac:dyDescent="0.2">
      <c r="CG158" s="18"/>
      <c r="CM158" s="18"/>
      <c r="DK158" s="31" t="str">
        <f t="shared" si="8"/>
        <v xml:space="preserve">  </v>
      </c>
      <c r="DL158" s="25" t="str">
        <f t="shared" si="9"/>
        <v/>
      </c>
      <c r="DM158" s="25" t="str">
        <f>BasicInput!$D$13&amp;$DM$2&amp;B158&amp;"_"&amp;C158&amp;D158&amp;"_"&amp;BasicInput!$D$7&amp;BasicInput!$D$8&amp;"_"&amp;DL158&amp;".xuf"</f>
        <v>C:\PWWORKING\east01\d2591108\Weave\__2019EX_PM_.xuf</v>
      </c>
    </row>
    <row r="159" spans="85:117" x14ac:dyDescent="0.2">
      <c r="CG159" s="18"/>
      <c r="CM159" s="18"/>
      <c r="DK159" s="31" t="str">
        <f t="shared" si="8"/>
        <v xml:space="preserve">  </v>
      </c>
      <c r="DL159" s="25" t="str">
        <f t="shared" si="9"/>
        <v/>
      </c>
      <c r="DM159" s="25" t="str">
        <f>BasicInput!$D$13&amp;$DM$2&amp;B159&amp;"_"&amp;C159&amp;D159&amp;"_"&amp;BasicInput!$D$7&amp;BasicInput!$D$8&amp;"_"&amp;DL159&amp;".xuf"</f>
        <v>C:\PWWORKING\east01\d2591108\Weave\__2019EX_PM_.xuf</v>
      </c>
    </row>
    <row r="160" spans="85:117" x14ac:dyDescent="0.2">
      <c r="CG160" s="18"/>
      <c r="CM160" s="18"/>
      <c r="DK160" s="31" t="str">
        <f t="shared" si="8"/>
        <v xml:space="preserve">  </v>
      </c>
      <c r="DL160" s="25" t="str">
        <f t="shared" si="9"/>
        <v/>
      </c>
      <c r="DM160" s="25" t="str">
        <f>BasicInput!$D$13&amp;$DM$2&amp;B160&amp;"_"&amp;C160&amp;D160&amp;"_"&amp;BasicInput!$D$7&amp;BasicInput!$D$8&amp;"_"&amp;DL160&amp;".xuf"</f>
        <v>C:\PWWORKING\east01\d2591108\Weave\__2019EX_PM_.xuf</v>
      </c>
    </row>
    <row r="161" spans="85:117" x14ac:dyDescent="0.2">
      <c r="CG161" s="18"/>
      <c r="CM161" s="18"/>
      <c r="DK161" s="31" t="str">
        <f t="shared" si="8"/>
        <v xml:space="preserve">  </v>
      </c>
      <c r="DL161" s="25" t="str">
        <f t="shared" si="9"/>
        <v/>
      </c>
      <c r="DM161" s="25" t="str">
        <f>BasicInput!$D$13&amp;$DM$2&amp;B161&amp;"_"&amp;C161&amp;D161&amp;"_"&amp;BasicInput!$D$7&amp;BasicInput!$D$8&amp;"_"&amp;DL161&amp;".xuf"</f>
        <v>C:\PWWORKING\east01\d2591108\Weave\__2019EX_PM_.xuf</v>
      </c>
    </row>
    <row r="162" spans="85:117" x14ac:dyDescent="0.2">
      <c r="CG162" s="18"/>
      <c r="CM162" s="18"/>
      <c r="DK162" s="31" t="str">
        <f t="shared" si="8"/>
        <v xml:space="preserve">  </v>
      </c>
      <c r="DL162" s="25" t="str">
        <f t="shared" si="9"/>
        <v/>
      </c>
      <c r="DM162" s="25" t="str">
        <f>BasicInput!$D$13&amp;$DM$2&amp;B162&amp;"_"&amp;C162&amp;D162&amp;"_"&amp;BasicInput!$D$7&amp;BasicInput!$D$8&amp;"_"&amp;DL162&amp;".xuf"</f>
        <v>C:\PWWORKING\east01\d2591108\Weave\__2019EX_PM_.xuf</v>
      </c>
    </row>
    <row r="163" spans="85:117" x14ac:dyDescent="0.2">
      <c r="CG163" s="18"/>
      <c r="CM163" s="18"/>
      <c r="DK163" s="31" t="str">
        <f t="shared" si="8"/>
        <v xml:space="preserve">  </v>
      </c>
      <c r="DL163" s="25" t="str">
        <f t="shared" si="9"/>
        <v/>
      </c>
      <c r="DM163" s="25" t="str">
        <f>BasicInput!$D$13&amp;$DM$2&amp;B163&amp;"_"&amp;C163&amp;D163&amp;"_"&amp;BasicInput!$D$7&amp;BasicInput!$D$8&amp;"_"&amp;DL163&amp;".xuf"</f>
        <v>C:\PWWORKING\east01\d2591108\Weave\__2019EX_PM_.xuf</v>
      </c>
    </row>
    <row r="164" spans="85:117" x14ac:dyDescent="0.2">
      <c r="CG164" s="18"/>
      <c r="CM164" s="18"/>
      <c r="DK164" s="31" t="str">
        <f t="shared" si="8"/>
        <v xml:space="preserve">  </v>
      </c>
      <c r="DL164" s="25" t="str">
        <f t="shared" si="9"/>
        <v/>
      </c>
      <c r="DM164" s="25" t="str">
        <f>BasicInput!$D$13&amp;$DM$2&amp;B164&amp;"_"&amp;C164&amp;D164&amp;"_"&amp;BasicInput!$D$7&amp;BasicInput!$D$8&amp;"_"&amp;DL164&amp;".xuf"</f>
        <v>C:\PWWORKING\east01\d2591108\Weave\__2019EX_PM_.xuf</v>
      </c>
    </row>
    <row r="165" spans="85:117" x14ac:dyDescent="0.2">
      <c r="CG165" s="18"/>
      <c r="CM165" s="18"/>
      <c r="DK165" s="31" t="str">
        <f t="shared" si="8"/>
        <v xml:space="preserve">  </v>
      </c>
      <c r="DL165" s="25" t="str">
        <f t="shared" si="9"/>
        <v/>
      </c>
      <c r="DM165" s="25" t="str">
        <f>BasicInput!$D$13&amp;$DM$2&amp;B165&amp;"_"&amp;C165&amp;D165&amp;"_"&amp;BasicInput!$D$7&amp;BasicInput!$D$8&amp;"_"&amp;DL165&amp;".xuf"</f>
        <v>C:\PWWORKING\east01\d2591108\Weave\__2019EX_PM_.xuf</v>
      </c>
    </row>
    <row r="166" spans="85:117" x14ac:dyDescent="0.2">
      <c r="CG166" s="18"/>
      <c r="CM166" s="18"/>
      <c r="DK166" s="31" t="str">
        <f t="shared" si="8"/>
        <v xml:space="preserve">  </v>
      </c>
      <c r="DL166" s="25" t="str">
        <f t="shared" si="9"/>
        <v/>
      </c>
      <c r="DM166" s="25" t="str">
        <f>BasicInput!$D$13&amp;$DM$2&amp;B166&amp;"_"&amp;C166&amp;D166&amp;"_"&amp;BasicInput!$D$7&amp;BasicInput!$D$8&amp;"_"&amp;DL166&amp;".xuf"</f>
        <v>C:\PWWORKING\east01\d2591108\Weave\__2019EX_PM_.xuf</v>
      </c>
    </row>
    <row r="167" spans="85:117" x14ac:dyDescent="0.2">
      <c r="CG167" s="18"/>
      <c r="CM167" s="18"/>
      <c r="DK167" s="31" t="str">
        <f t="shared" si="8"/>
        <v xml:space="preserve">  </v>
      </c>
      <c r="DL167" s="25" t="str">
        <f t="shared" si="9"/>
        <v/>
      </c>
      <c r="DM167" s="25" t="str">
        <f>BasicInput!$D$13&amp;$DM$2&amp;B167&amp;"_"&amp;C167&amp;D167&amp;"_"&amp;BasicInput!$D$7&amp;BasicInput!$D$8&amp;"_"&amp;DL167&amp;".xuf"</f>
        <v>C:\PWWORKING\east01\d2591108\Weave\__2019EX_PM_.xuf</v>
      </c>
    </row>
    <row r="168" spans="85:117" x14ac:dyDescent="0.2">
      <c r="CG168" s="18"/>
      <c r="CM168" s="18"/>
      <c r="DK168" s="31" t="str">
        <f t="shared" si="8"/>
        <v xml:space="preserve">  </v>
      </c>
      <c r="DL168" s="25" t="str">
        <f t="shared" si="9"/>
        <v/>
      </c>
      <c r="DM168" s="25" t="str">
        <f>BasicInput!$D$13&amp;$DM$2&amp;B168&amp;"_"&amp;C168&amp;D168&amp;"_"&amp;BasicInput!$D$7&amp;BasicInput!$D$8&amp;"_"&amp;DL168&amp;".xuf"</f>
        <v>C:\PWWORKING\east01\d2591108\Weave\__2019EX_PM_.xuf</v>
      </c>
    </row>
    <row r="169" spans="85:117" x14ac:dyDescent="0.2">
      <c r="CG169" s="18"/>
      <c r="CM169" s="18"/>
      <c r="DK169" s="31" t="str">
        <f t="shared" si="8"/>
        <v xml:space="preserve">  </v>
      </c>
      <c r="DL169" s="25" t="str">
        <f t="shared" si="9"/>
        <v/>
      </c>
      <c r="DM169" s="25" t="str">
        <f>BasicInput!$D$13&amp;$DM$2&amp;B169&amp;"_"&amp;C169&amp;D169&amp;"_"&amp;BasicInput!$D$7&amp;BasicInput!$D$8&amp;"_"&amp;DL169&amp;".xuf"</f>
        <v>C:\PWWORKING\east01\d2591108\Weave\__2019EX_PM_.xuf</v>
      </c>
    </row>
    <row r="170" spans="85:117" x14ac:dyDescent="0.2">
      <c r="CG170" s="18"/>
      <c r="CM170" s="18"/>
      <c r="DK170" s="31" t="str">
        <f t="shared" si="8"/>
        <v xml:space="preserve">  </v>
      </c>
      <c r="DL170" s="25" t="str">
        <f t="shared" si="9"/>
        <v/>
      </c>
      <c r="DM170" s="25" t="str">
        <f>BasicInput!$D$13&amp;$DM$2&amp;B170&amp;"_"&amp;C170&amp;D170&amp;"_"&amp;BasicInput!$D$7&amp;BasicInput!$D$8&amp;"_"&amp;DL170&amp;".xuf"</f>
        <v>C:\PWWORKING\east01\d2591108\Weave\__2019EX_PM_.xuf</v>
      </c>
    </row>
    <row r="171" spans="85:117" x14ac:dyDescent="0.2">
      <c r="CG171" s="18"/>
      <c r="CM171" s="18"/>
      <c r="DK171" s="31" t="str">
        <f t="shared" si="8"/>
        <v xml:space="preserve">  </v>
      </c>
      <c r="DL171" s="25" t="str">
        <f t="shared" si="9"/>
        <v/>
      </c>
      <c r="DM171" s="25" t="str">
        <f>BasicInput!$D$13&amp;$DM$2&amp;B171&amp;"_"&amp;C171&amp;D171&amp;"_"&amp;BasicInput!$D$7&amp;BasicInput!$D$8&amp;"_"&amp;DL171&amp;".xuf"</f>
        <v>C:\PWWORKING\east01\d2591108\Weave\__2019EX_PM_.xuf</v>
      </c>
    </row>
    <row r="172" spans="85:117" x14ac:dyDescent="0.2">
      <c r="CG172" s="18"/>
      <c r="CM172" s="18"/>
      <c r="DK172" s="31" t="str">
        <f t="shared" si="8"/>
        <v xml:space="preserve">  </v>
      </c>
      <c r="DL172" s="25" t="str">
        <f t="shared" si="9"/>
        <v/>
      </c>
      <c r="DM172" s="25" t="str">
        <f>BasicInput!$D$13&amp;$DM$2&amp;B172&amp;"_"&amp;C172&amp;D172&amp;"_"&amp;BasicInput!$D$7&amp;BasicInput!$D$8&amp;"_"&amp;DL172&amp;".xuf"</f>
        <v>C:\PWWORKING\east01\d2591108\Weave\__2019EX_PM_.xuf</v>
      </c>
    </row>
    <row r="173" spans="85:117" x14ac:dyDescent="0.2">
      <c r="CG173" s="18"/>
      <c r="CM173" s="18"/>
      <c r="DK173" s="31" t="str">
        <f t="shared" si="8"/>
        <v xml:space="preserve">  </v>
      </c>
      <c r="DL173" s="25" t="str">
        <f t="shared" si="9"/>
        <v/>
      </c>
      <c r="DM173" s="25" t="str">
        <f>BasicInput!$D$13&amp;$DM$2&amp;B173&amp;"_"&amp;C173&amp;D173&amp;"_"&amp;BasicInput!$D$7&amp;BasicInput!$D$8&amp;"_"&amp;DL173&amp;".xuf"</f>
        <v>C:\PWWORKING\east01\d2591108\Weave\__2019EX_PM_.xuf</v>
      </c>
    </row>
    <row r="174" spans="85:117" x14ac:dyDescent="0.2">
      <c r="CG174" s="18"/>
      <c r="CM174" s="18"/>
      <c r="DK174" s="31" t="str">
        <f t="shared" si="8"/>
        <v xml:space="preserve">  </v>
      </c>
      <c r="DL174" s="25" t="str">
        <f t="shared" si="9"/>
        <v/>
      </c>
      <c r="DM174" s="25" t="str">
        <f>BasicInput!$D$13&amp;$DM$2&amp;B174&amp;"_"&amp;C174&amp;D174&amp;"_"&amp;BasicInput!$D$7&amp;BasicInput!$D$8&amp;"_"&amp;DL174&amp;".xuf"</f>
        <v>C:\PWWORKING\east01\d2591108\Weave\__2019EX_PM_.xuf</v>
      </c>
    </row>
    <row r="175" spans="85:117" x14ac:dyDescent="0.2">
      <c r="CG175" s="18"/>
      <c r="CM175" s="18"/>
      <c r="DK175" s="31" t="str">
        <f t="shared" si="8"/>
        <v xml:space="preserve">  </v>
      </c>
      <c r="DL175" s="25" t="str">
        <f t="shared" si="9"/>
        <v/>
      </c>
      <c r="DM175" s="25" t="str">
        <f>BasicInput!$D$13&amp;$DM$2&amp;B175&amp;"_"&amp;C175&amp;D175&amp;"_"&amp;BasicInput!$D$7&amp;BasicInput!$D$8&amp;"_"&amp;DL175&amp;".xuf"</f>
        <v>C:\PWWORKING\east01\d2591108\Weave\__2019EX_PM_.xuf</v>
      </c>
    </row>
    <row r="176" spans="85:117" x14ac:dyDescent="0.2">
      <c r="CG176" s="18"/>
      <c r="CM176" s="18"/>
      <c r="DK176" s="31" t="str">
        <f t="shared" si="8"/>
        <v xml:space="preserve">  </v>
      </c>
      <c r="DL176" s="25" t="str">
        <f t="shared" si="9"/>
        <v/>
      </c>
      <c r="DM176" s="25" t="str">
        <f>BasicInput!$D$13&amp;$DM$2&amp;B176&amp;"_"&amp;C176&amp;D176&amp;"_"&amp;BasicInput!$D$7&amp;BasicInput!$D$8&amp;"_"&amp;DL176&amp;".xuf"</f>
        <v>C:\PWWORKING\east01\d2591108\Weave\__2019EX_PM_.xuf</v>
      </c>
    </row>
    <row r="177" spans="85:117" x14ac:dyDescent="0.2">
      <c r="CG177" s="18"/>
      <c r="CM177" s="18"/>
      <c r="DK177" s="31" t="str">
        <f t="shared" si="8"/>
        <v xml:space="preserve">  </v>
      </c>
      <c r="DL177" s="25" t="str">
        <f t="shared" si="9"/>
        <v/>
      </c>
      <c r="DM177" s="25" t="str">
        <f>BasicInput!$D$13&amp;$DM$2&amp;B177&amp;"_"&amp;C177&amp;D177&amp;"_"&amp;BasicInput!$D$7&amp;BasicInput!$D$8&amp;"_"&amp;DL177&amp;".xuf"</f>
        <v>C:\PWWORKING\east01\d2591108\Weave\__2019EX_PM_.xuf</v>
      </c>
    </row>
    <row r="178" spans="85:117" x14ac:dyDescent="0.2">
      <c r="CG178" s="18"/>
      <c r="CM178" s="18"/>
      <c r="DK178" s="31" t="str">
        <f t="shared" si="8"/>
        <v xml:space="preserve">  </v>
      </c>
      <c r="DL178" s="25" t="str">
        <f t="shared" si="9"/>
        <v/>
      </c>
      <c r="DM178" s="25" t="str">
        <f>BasicInput!$D$13&amp;$DM$2&amp;B178&amp;"_"&amp;C178&amp;D178&amp;"_"&amp;BasicInput!$D$7&amp;BasicInput!$D$8&amp;"_"&amp;DL178&amp;".xuf"</f>
        <v>C:\PWWORKING\east01\d2591108\Weave\__2019EX_PM_.xuf</v>
      </c>
    </row>
    <row r="179" spans="85:117" x14ac:dyDescent="0.2">
      <c r="CG179" s="18"/>
      <c r="CM179" s="18"/>
      <c r="DK179" s="31" t="str">
        <f t="shared" si="8"/>
        <v xml:space="preserve">  </v>
      </c>
      <c r="DL179" s="25" t="str">
        <f t="shared" si="9"/>
        <v/>
      </c>
      <c r="DM179" s="25" t="str">
        <f>BasicInput!$D$13&amp;$DM$2&amp;B179&amp;"_"&amp;C179&amp;D179&amp;"_"&amp;BasicInput!$D$7&amp;BasicInput!$D$8&amp;"_"&amp;DL179&amp;".xuf"</f>
        <v>C:\PWWORKING\east01\d2591108\Weave\__2019EX_PM_.xuf</v>
      </c>
    </row>
    <row r="180" spans="85:117" x14ac:dyDescent="0.2">
      <c r="CG180" s="18"/>
      <c r="CM180" s="18"/>
      <c r="DK180" s="31" t="str">
        <f t="shared" si="8"/>
        <v xml:space="preserve">  </v>
      </c>
      <c r="DL180" s="25" t="str">
        <f t="shared" si="9"/>
        <v/>
      </c>
      <c r="DM180" s="25" t="str">
        <f>BasicInput!$D$13&amp;$DM$2&amp;B180&amp;"_"&amp;C180&amp;D180&amp;"_"&amp;BasicInput!$D$7&amp;BasicInput!$D$8&amp;"_"&amp;DL180&amp;".xuf"</f>
        <v>C:\PWWORKING\east01\d2591108\Weave\__2019EX_PM_.xuf</v>
      </c>
    </row>
    <row r="181" spans="85:117" x14ac:dyDescent="0.2">
      <c r="CG181" s="18"/>
      <c r="CM181" s="18"/>
      <c r="DK181" s="31" t="str">
        <f t="shared" si="8"/>
        <v xml:space="preserve">  </v>
      </c>
      <c r="DL181" s="25" t="str">
        <f t="shared" si="9"/>
        <v/>
      </c>
      <c r="DM181" s="25" t="str">
        <f>BasicInput!$D$13&amp;$DM$2&amp;B181&amp;"_"&amp;C181&amp;D181&amp;"_"&amp;BasicInput!$D$7&amp;BasicInput!$D$8&amp;"_"&amp;DL181&amp;".xuf"</f>
        <v>C:\PWWORKING\east01\d2591108\Weave\__2019EX_PM_.xuf</v>
      </c>
    </row>
    <row r="182" spans="85:117" x14ac:dyDescent="0.2">
      <c r="CG182" s="18"/>
      <c r="CM182" s="18"/>
      <c r="DK182" s="31" t="str">
        <f t="shared" si="8"/>
        <v xml:space="preserve">  </v>
      </c>
      <c r="DL182" s="25" t="str">
        <f t="shared" si="9"/>
        <v/>
      </c>
      <c r="DM182" s="25" t="str">
        <f>BasicInput!$D$13&amp;$DM$2&amp;B182&amp;"_"&amp;C182&amp;D182&amp;"_"&amp;BasicInput!$D$7&amp;BasicInput!$D$8&amp;"_"&amp;DL182&amp;".xuf"</f>
        <v>C:\PWWORKING\east01\d2591108\Weave\__2019EX_PM_.xuf</v>
      </c>
    </row>
    <row r="183" spans="85:117" x14ac:dyDescent="0.2">
      <c r="CG183" s="18"/>
      <c r="CM183" s="18"/>
      <c r="DK183" s="31" t="str">
        <f t="shared" si="8"/>
        <v xml:space="preserve">  </v>
      </c>
      <c r="DL183" s="25" t="str">
        <f t="shared" si="9"/>
        <v/>
      </c>
      <c r="DM183" s="25" t="str">
        <f>BasicInput!$D$13&amp;$DM$2&amp;B183&amp;"_"&amp;C183&amp;D183&amp;"_"&amp;BasicInput!$D$7&amp;BasicInput!$D$8&amp;"_"&amp;DL183&amp;".xuf"</f>
        <v>C:\PWWORKING\east01\d2591108\Weave\__2019EX_PM_.xuf</v>
      </c>
    </row>
    <row r="184" spans="85:117" x14ac:dyDescent="0.2">
      <c r="CG184" s="18"/>
      <c r="CM184" s="18"/>
      <c r="DK184" s="31" t="str">
        <f t="shared" si="8"/>
        <v xml:space="preserve">  </v>
      </c>
      <c r="DL184" s="25" t="str">
        <f t="shared" si="9"/>
        <v/>
      </c>
      <c r="DM184" s="25" t="str">
        <f>BasicInput!$D$13&amp;$DM$2&amp;B184&amp;"_"&amp;C184&amp;D184&amp;"_"&amp;BasicInput!$D$7&amp;BasicInput!$D$8&amp;"_"&amp;DL184&amp;".xuf"</f>
        <v>C:\PWWORKING\east01\d2591108\Weave\__2019EX_PM_.xuf</v>
      </c>
    </row>
    <row r="185" spans="85:117" x14ac:dyDescent="0.2">
      <c r="CG185" s="18"/>
      <c r="CM185" s="18"/>
      <c r="DK185" s="31" t="str">
        <f t="shared" si="8"/>
        <v xml:space="preserve">  </v>
      </c>
      <c r="DL185" s="25" t="str">
        <f t="shared" si="9"/>
        <v/>
      </c>
      <c r="DM185" s="25" t="str">
        <f>BasicInput!$D$13&amp;$DM$2&amp;B185&amp;"_"&amp;C185&amp;D185&amp;"_"&amp;BasicInput!$D$7&amp;BasicInput!$D$8&amp;"_"&amp;DL185&amp;".xuf"</f>
        <v>C:\PWWORKING\east01\d2591108\Weave\__2019EX_PM_.xuf</v>
      </c>
    </row>
    <row r="186" spans="85:117" x14ac:dyDescent="0.2">
      <c r="CG186" s="18"/>
      <c r="CM186" s="18"/>
      <c r="DK186" s="31" t="str">
        <f t="shared" si="8"/>
        <v xml:space="preserve">  </v>
      </c>
      <c r="DL186" s="25" t="str">
        <f t="shared" si="9"/>
        <v/>
      </c>
      <c r="DM186" s="25" t="str">
        <f>BasicInput!$D$13&amp;$DM$2&amp;B186&amp;"_"&amp;C186&amp;D186&amp;"_"&amp;BasicInput!$D$7&amp;BasicInput!$D$8&amp;"_"&amp;DL186&amp;".xuf"</f>
        <v>C:\PWWORKING\east01\d2591108\Weave\__2019EX_PM_.xuf</v>
      </c>
    </row>
    <row r="187" spans="85:117" x14ac:dyDescent="0.2">
      <c r="CG187" s="18"/>
      <c r="CM187" s="18"/>
      <c r="DK187" s="31" t="str">
        <f t="shared" si="8"/>
        <v xml:space="preserve">  </v>
      </c>
      <c r="DL187" s="25" t="str">
        <f t="shared" si="9"/>
        <v/>
      </c>
      <c r="DM187" s="25" t="str">
        <f>BasicInput!$D$13&amp;$DM$2&amp;B187&amp;"_"&amp;C187&amp;D187&amp;"_"&amp;BasicInput!$D$7&amp;BasicInput!$D$8&amp;"_"&amp;DL187&amp;".xuf"</f>
        <v>C:\PWWORKING\east01\d2591108\Weave\__2019EX_PM_.xuf</v>
      </c>
    </row>
    <row r="188" spans="85:117" x14ac:dyDescent="0.2">
      <c r="CG188" s="18"/>
      <c r="CM188" s="18"/>
      <c r="DK188" s="31" t="str">
        <f t="shared" si="8"/>
        <v xml:space="preserve">  </v>
      </c>
      <c r="DL188" s="25" t="str">
        <f t="shared" si="9"/>
        <v/>
      </c>
      <c r="DM188" s="25" t="str">
        <f>BasicInput!$D$13&amp;$DM$2&amp;B188&amp;"_"&amp;C188&amp;D188&amp;"_"&amp;BasicInput!$D$7&amp;BasicInput!$D$8&amp;"_"&amp;DL188&amp;".xuf"</f>
        <v>C:\PWWORKING\east01\d2591108\Weave\__2019EX_PM_.xuf</v>
      </c>
    </row>
    <row r="189" spans="85:117" x14ac:dyDescent="0.2">
      <c r="CG189" s="18"/>
      <c r="CM189" s="18"/>
      <c r="DK189" s="31" t="str">
        <f t="shared" si="8"/>
        <v xml:space="preserve">  </v>
      </c>
      <c r="DL189" s="25" t="str">
        <f t="shared" si="9"/>
        <v/>
      </c>
      <c r="DM189" s="25" t="str">
        <f>BasicInput!$D$13&amp;$DM$2&amp;B189&amp;"_"&amp;C189&amp;D189&amp;"_"&amp;BasicInput!$D$7&amp;BasicInput!$D$8&amp;"_"&amp;DL189&amp;".xuf"</f>
        <v>C:\PWWORKING\east01\d2591108\Weave\__2019EX_PM_.xuf</v>
      </c>
    </row>
    <row r="190" spans="85:117" x14ac:dyDescent="0.2">
      <c r="CG190" s="18"/>
      <c r="CM190" s="18"/>
      <c r="DK190" s="31" t="str">
        <f t="shared" si="8"/>
        <v xml:space="preserve">  </v>
      </c>
      <c r="DL190" s="25" t="str">
        <f t="shared" si="9"/>
        <v/>
      </c>
      <c r="DM190" s="25" t="str">
        <f>BasicInput!$D$13&amp;$DM$2&amp;B190&amp;"_"&amp;C190&amp;D190&amp;"_"&amp;BasicInput!$D$7&amp;BasicInput!$D$8&amp;"_"&amp;DL190&amp;".xuf"</f>
        <v>C:\PWWORKING\east01\d2591108\Weave\__2019EX_PM_.xuf</v>
      </c>
    </row>
    <row r="191" spans="85:117" x14ac:dyDescent="0.2">
      <c r="CG191" s="18"/>
      <c r="CM191" s="18"/>
      <c r="DK191" s="31" t="str">
        <f t="shared" si="8"/>
        <v xml:space="preserve">  </v>
      </c>
      <c r="DL191" s="25" t="str">
        <f t="shared" si="9"/>
        <v/>
      </c>
      <c r="DM191" s="25" t="str">
        <f>BasicInput!$D$13&amp;$DM$2&amp;B191&amp;"_"&amp;C191&amp;D191&amp;"_"&amp;BasicInput!$D$7&amp;BasicInput!$D$8&amp;"_"&amp;DL191&amp;".xuf"</f>
        <v>C:\PWWORKING\east01\d2591108\Weave\__2019EX_PM_.xuf</v>
      </c>
    </row>
    <row r="192" spans="85:117" x14ac:dyDescent="0.2">
      <c r="CG192" s="18"/>
      <c r="CM192" s="18"/>
      <c r="DK192" s="31" t="str">
        <f t="shared" si="8"/>
        <v xml:space="preserve">  </v>
      </c>
      <c r="DL192" s="25" t="str">
        <f t="shared" si="9"/>
        <v/>
      </c>
      <c r="DM192" s="25" t="str">
        <f>BasicInput!$D$13&amp;$DM$2&amp;B192&amp;"_"&amp;C192&amp;D192&amp;"_"&amp;BasicInput!$D$7&amp;BasicInput!$D$8&amp;"_"&amp;DL192&amp;".xuf"</f>
        <v>C:\PWWORKING\east01\d2591108\Weave\__2019EX_PM_.xuf</v>
      </c>
    </row>
    <row r="193" spans="85:117" x14ac:dyDescent="0.2">
      <c r="CG193" s="18"/>
      <c r="CM193" s="18"/>
      <c r="DK193" s="31" t="str">
        <f t="shared" si="8"/>
        <v xml:space="preserve">  </v>
      </c>
      <c r="DL193" s="25" t="str">
        <f t="shared" si="9"/>
        <v/>
      </c>
      <c r="DM193" s="25" t="str">
        <f>BasicInput!$D$13&amp;$DM$2&amp;B193&amp;"_"&amp;C193&amp;D193&amp;"_"&amp;BasicInput!$D$7&amp;BasicInput!$D$8&amp;"_"&amp;DL193&amp;".xuf"</f>
        <v>C:\PWWORKING\east01\d2591108\Weave\__2019EX_PM_.xuf</v>
      </c>
    </row>
    <row r="194" spans="85:117" x14ac:dyDescent="0.2">
      <c r="CG194" s="18"/>
      <c r="CM194" s="18"/>
      <c r="DK194" s="31" t="str">
        <f t="shared" si="8"/>
        <v xml:space="preserve">  </v>
      </c>
      <c r="DL194" s="25" t="str">
        <f t="shared" si="9"/>
        <v/>
      </c>
      <c r="DM194" s="25" t="str">
        <f>BasicInput!$D$13&amp;$DM$2&amp;B194&amp;"_"&amp;C194&amp;D194&amp;"_"&amp;BasicInput!$D$7&amp;BasicInput!$D$8&amp;"_"&amp;DL194&amp;".xuf"</f>
        <v>C:\PWWORKING\east01\d2591108\Weave\__2019EX_PM_.xuf</v>
      </c>
    </row>
    <row r="195" spans="85:117" x14ac:dyDescent="0.2">
      <c r="CG195" s="18"/>
      <c r="CM195" s="18"/>
      <c r="DK195" s="31" t="str">
        <f t="shared" si="8"/>
        <v xml:space="preserve">  </v>
      </c>
      <c r="DL195" s="25" t="str">
        <f t="shared" si="9"/>
        <v/>
      </c>
      <c r="DM195" s="25" t="str">
        <f>BasicInput!$D$13&amp;$DM$2&amp;B195&amp;"_"&amp;C195&amp;D195&amp;"_"&amp;BasicInput!$D$7&amp;BasicInput!$D$8&amp;"_"&amp;DL195&amp;".xuf"</f>
        <v>C:\PWWORKING\east01\d2591108\Weave\__2019EX_PM_.xuf</v>
      </c>
    </row>
    <row r="196" spans="85:117" x14ac:dyDescent="0.2">
      <c r="CG196" s="18"/>
      <c r="CM196" s="18"/>
      <c r="DK196" s="31" t="str">
        <f t="shared" si="8"/>
        <v xml:space="preserve">  </v>
      </c>
      <c r="DL196" s="25" t="str">
        <f t="shared" si="9"/>
        <v/>
      </c>
      <c r="DM196" s="25" t="str">
        <f>BasicInput!$D$13&amp;$DM$2&amp;B196&amp;"_"&amp;C196&amp;D196&amp;"_"&amp;BasicInput!$D$7&amp;BasicInput!$D$8&amp;"_"&amp;DL196&amp;".xuf"</f>
        <v>C:\PWWORKING\east01\d2591108\Weave\__2019EX_PM_.xuf</v>
      </c>
    </row>
    <row r="197" spans="85:117" x14ac:dyDescent="0.2">
      <c r="CG197" s="18"/>
      <c r="CM197" s="18"/>
      <c r="DK197" s="31" t="str">
        <f t="shared" si="8"/>
        <v xml:space="preserve">  </v>
      </c>
      <c r="DL197" s="25" t="str">
        <f t="shared" si="9"/>
        <v/>
      </c>
      <c r="DM197" s="25" t="str">
        <f>BasicInput!$D$13&amp;$DM$2&amp;B197&amp;"_"&amp;C197&amp;D197&amp;"_"&amp;BasicInput!$D$7&amp;BasicInput!$D$8&amp;"_"&amp;DL197&amp;".xuf"</f>
        <v>C:\PWWORKING\east01\d2591108\Weave\__2019EX_PM_.xuf</v>
      </c>
    </row>
    <row r="198" spans="85:117" x14ac:dyDescent="0.2">
      <c r="CG198" s="18"/>
      <c r="CM198" s="18"/>
      <c r="DK198" s="31" t="str">
        <f t="shared" si="8"/>
        <v xml:space="preserve">  </v>
      </c>
      <c r="DL198" s="25" t="str">
        <f t="shared" si="9"/>
        <v/>
      </c>
      <c r="DM198" s="25" t="str">
        <f>BasicInput!$D$13&amp;$DM$2&amp;B198&amp;"_"&amp;C198&amp;D198&amp;"_"&amp;BasicInput!$D$7&amp;BasicInput!$D$8&amp;"_"&amp;DL198&amp;".xuf"</f>
        <v>C:\PWWORKING\east01\d2591108\Weave\__2019EX_PM_.xuf</v>
      </c>
    </row>
    <row r="199" spans="85:117" x14ac:dyDescent="0.2">
      <c r="CG199" s="18"/>
      <c r="CM199" s="18"/>
      <c r="DK199" s="31" t="str">
        <f t="shared" si="8"/>
        <v xml:space="preserve">  </v>
      </c>
      <c r="DL199" s="25" t="str">
        <f t="shared" si="9"/>
        <v/>
      </c>
      <c r="DM199" s="25" t="str">
        <f>BasicInput!$D$13&amp;$DM$2&amp;B199&amp;"_"&amp;C199&amp;D199&amp;"_"&amp;BasicInput!$D$7&amp;BasicInput!$D$8&amp;"_"&amp;DL199&amp;".xuf"</f>
        <v>C:\PWWORKING\east01\d2591108\Weave\__2019EX_PM_.xuf</v>
      </c>
    </row>
    <row r="200" spans="85:117" x14ac:dyDescent="0.2">
      <c r="CG200" s="18"/>
      <c r="CM200" s="18"/>
      <c r="DK200" s="31" t="str">
        <f t="shared" si="8"/>
        <v xml:space="preserve">  </v>
      </c>
      <c r="DL200" s="25" t="str">
        <f t="shared" si="9"/>
        <v/>
      </c>
      <c r="DM200" s="25" t="str">
        <f>BasicInput!$D$13&amp;$DM$2&amp;B200&amp;"_"&amp;C200&amp;D200&amp;"_"&amp;BasicInput!$D$7&amp;BasicInput!$D$8&amp;"_"&amp;DL200&amp;".xuf"</f>
        <v>C:\PWWORKING\east01\d2591108\Weave\__2019EX_PM_.xuf</v>
      </c>
    </row>
    <row r="201" spans="85:117" x14ac:dyDescent="0.2">
      <c r="CG201" s="18"/>
      <c r="CM201" s="18"/>
      <c r="DK201" s="31" t="str">
        <f t="shared" si="8"/>
        <v xml:space="preserve">  </v>
      </c>
      <c r="DL201" s="25" t="str">
        <f t="shared" si="9"/>
        <v/>
      </c>
      <c r="DM201" s="25" t="str">
        <f>BasicInput!$D$13&amp;$DM$2&amp;B201&amp;"_"&amp;C201&amp;D201&amp;"_"&amp;BasicInput!$D$7&amp;BasicInput!$D$8&amp;"_"&amp;DL201&amp;".xuf"</f>
        <v>C:\PWWORKING\east01\d2591108\Weave\__2019EX_PM_.xuf</v>
      </c>
    </row>
    <row r="202" spans="85:117" x14ac:dyDescent="0.2">
      <c r="CG202" s="18"/>
      <c r="CM202" s="18"/>
      <c r="DK202" s="31" t="str">
        <f t="shared" si="8"/>
        <v xml:space="preserve">  </v>
      </c>
      <c r="DL202" s="25" t="str">
        <f t="shared" si="9"/>
        <v/>
      </c>
      <c r="DM202" s="25" t="str">
        <f>BasicInput!$D$13&amp;$DM$2&amp;B202&amp;"_"&amp;C202&amp;D202&amp;"_"&amp;BasicInput!$D$7&amp;BasicInput!$D$8&amp;"_"&amp;DL202&amp;".xuf"</f>
        <v>C:\PWWORKING\east01\d2591108\Weave\__2019EX_PM_.xuf</v>
      </c>
    </row>
    <row r="203" spans="85:117" x14ac:dyDescent="0.2">
      <c r="CG203" s="18"/>
      <c r="CM203" s="18"/>
      <c r="DK203" s="31" t="str">
        <f t="shared" si="8"/>
        <v xml:space="preserve">  </v>
      </c>
      <c r="DL203" s="25" t="str">
        <f t="shared" si="9"/>
        <v/>
      </c>
      <c r="DM203" s="25" t="str">
        <f>BasicInput!$D$13&amp;$DM$2&amp;B203&amp;"_"&amp;C203&amp;D203&amp;"_"&amp;BasicInput!$D$7&amp;BasicInput!$D$8&amp;"_"&amp;DL203&amp;".xuf"</f>
        <v>C:\PWWORKING\east01\d2591108\Weave\__2019EX_PM_.xuf</v>
      </c>
    </row>
    <row r="204" spans="85:117" x14ac:dyDescent="0.2">
      <c r="CG204" s="18"/>
      <c r="CM204" s="18"/>
      <c r="DK204" s="31" t="str">
        <f t="shared" ref="DK204:DK267" si="10">C204&amp; " "&amp;D204&amp;" " &amp;E204</f>
        <v xml:space="preserve">  </v>
      </c>
      <c r="DL204" s="25" t="str">
        <f t="shared" ref="DL204:DL267" si="11">TRIM(LEFT(E204, 30))</f>
        <v/>
      </c>
      <c r="DM204" s="25" t="str">
        <f>BasicInput!$D$13&amp;$DM$2&amp;B204&amp;"_"&amp;C204&amp;D204&amp;"_"&amp;BasicInput!$D$7&amp;BasicInput!$D$8&amp;"_"&amp;DL204&amp;".xuf"</f>
        <v>C:\PWWORKING\east01\d2591108\Weave\__2019EX_PM_.xuf</v>
      </c>
    </row>
    <row r="205" spans="85:117" x14ac:dyDescent="0.2">
      <c r="CG205" s="18"/>
      <c r="CM205" s="18"/>
      <c r="DK205" s="31" t="str">
        <f t="shared" si="10"/>
        <v xml:space="preserve">  </v>
      </c>
      <c r="DL205" s="25" t="str">
        <f t="shared" si="11"/>
        <v/>
      </c>
      <c r="DM205" s="25" t="str">
        <f>BasicInput!$D$13&amp;$DM$2&amp;B205&amp;"_"&amp;C205&amp;D205&amp;"_"&amp;BasicInput!$D$7&amp;BasicInput!$D$8&amp;"_"&amp;DL205&amp;".xuf"</f>
        <v>C:\PWWORKING\east01\d2591108\Weave\__2019EX_PM_.xuf</v>
      </c>
    </row>
    <row r="206" spans="85:117" x14ac:dyDescent="0.2">
      <c r="CG206" s="18"/>
      <c r="CM206" s="18"/>
      <c r="DK206" s="31" t="str">
        <f t="shared" si="10"/>
        <v xml:space="preserve">  </v>
      </c>
      <c r="DL206" s="25" t="str">
        <f t="shared" si="11"/>
        <v/>
      </c>
      <c r="DM206" s="25" t="str">
        <f>BasicInput!$D$13&amp;$DM$2&amp;B206&amp;"_"&amp;C206&amp;D206&amp;"_"&amp;BasicInput!$D$7&amp;BasicInput!$D$8&amp;"_"&amp;DL206&amp;".xuf"</f>
        <v>C:\PWWORKING\east01\d2591108\Weave\__2019EX_PM_.xuf</v>
      </c>
    </row>
    <row r="207" spans="85:117" x14ac:dyDescent="0.2">
      <c r="CG207" s="18"/>
      <c r="CM207" s="18"/>
      <c r="DK207" s="31" t="str">
        <f t="shared" si="10"/>
        <v xml:space="preserve">  </v>
      </c>
      <c r="DL207" s="25" t="str">
        <f t="shared" si="11"/>
        <v/>
      </c>
      <c r="DM207" s="25" t="str">
        <f>BasicInput!$D$13&amp;$DM$2&amp;B207&amp;"_"&amp;C207&amp;D207&amp;"_"&amp;BasicInput!$D$7&amp;BasicInput!$D$8&amp;"_"&amp;DL207&amp;".xuf"</f>
        <v>C:\PWWORKING\east01\d2591108\Weave\__2019EX_PM_.xuf</v>
      </c>
    </row>
    <row r="208" spans="85:117" x14ac:dyDescent="0.2">
      <c r="CG208" s="18"/>
      <c r="CM208" s="18"/>
      <c r="DK208" s="31" t="str">
        <f t="shared" si="10"/>
        <v xml:space="preserve">  </v>
      </c>
      <c r="DL208" s="25" t="str">
        <f t="shared" si="11"/>
        <v/>
      </c>
      <c r="DM208" s="25" t="str">
        <f>BasicInput!$D$13&amp;$DM$2&amp;B208&amp;"_"&amp;C208&amp;D208&amp;"_"&amp;BasicInput!$D$7&amp;BasicInput!$D$8&amp;"_"&amp;DL208&amp;".xuf"</f>
        <v>C:\PWWORKING\east01\d2591108\Weave\__2019EX_PM_.xuf</v>
      </c>
    </row>
    <row r="209" spans="85:117" x14ac:dyDescent="0.2">
      <c r="CG209" s="18"/>
      <c r="CM209" s="18"/>
      <c r="DK209" s="31" t="str">
        <f t="shared" si="10"/>
        <v xml:space="preserve">  </v>
      </c>
      <c r="DL209" s="25" t="str">
        <f t="shared" si="11"/>
        <v/>
      </c>
      <c r="DM209" s="25" t="str">
        <f>BasicInput!$D$13&amp;$DM$2&amp;B209&amp;"_"&amp;C209&amp;D209&amp;"_"&amp;BasicInput!$D$7&amp;BasicInput!$D$8&amp;"_"&amp;DL209&amp;".xuf"</f>
        <v>C:\PWWORKING\east01\d2591108\Weave\__2019EX_PM_.xuf</v>
      </c>
    </row>
    <row r="210" spans="85:117" x14ac:dyDescent="0.2">
      <c r="CG210" s="18"/>
      <c r="CM210" s="18"/>
      <c r="DK210" s="31" t="str">
        <f t="shared" si="10"/>
        <v xml:space="preserve">  </v>
      </c>
      <c r="DL210" s="25" t="str">
        <f t="shared" si="11"/>
        <v/>
      </c>
      <c r="DM210" s="25" t="str">
        <f>BasicInput!$D$13&amp;$DM$2&amp;B210&amp;"_"&amp;C210&amp;D210&amp;"_"&amp;BasicInput!$D$7&amp;BasicInput!$D$8&amp;"_"&amp;DL210&amp;".xuf"</f>
        <v>C:\PWWORKING\east01\d2591108\Weave\__2019EX_PM_.xuf</v>
      </c>
    </row>
    <row r="211" spans="85:117" x14ac:dyDescent="0.2">
      <c r="CG211" s="18"/>
      <c r="CM211" s="18"/>
      <c r="DK211" s="31" t="str">
        <f t="shared" si="10"/>
        <v xml:space="preserve">  </v>
      </c>
      <c r="DL211" s="25" t="str">
        <f t="shared" si="11"/>
        <v/>
      </c>
      <c r="DM211" s="25" t="str">
        <f>BasicInput!$D$13&amp;$DM$2&amp;B211&amp;"_"&amp;C211&amp;D211&amp;"_"&amp;BasicInput!$D$7&amp;BasicInput!$D$8&amp;"_"&amp;DL211&amp;".xuf"</f>
        <v>C:\PWWORKING\east01\d2591108\Weave\__2019EX_PM_.xuf</v>
      </c>
    </row>
    <row r="212" spans="85:117" x14ac:dyDescent="0.2">
      <c r="CG212" s="18"/>
      <c r="CM212" s="18"/>
      <c r="DK212" s="31" t="str">
        <f t="shared" si="10"/>
        <v xml:space="preserve">  </v>
      </c>
      <c r="DL212" s="25" t="str">
        <f t="shared" si="11"/>
        <v/>
      </c>
      <c r="DM212" s="25" t="str">
        <f>BasicInput!$D$13&amp;$DM$2&amp;B212&amp;"_"&amp;C212&amp;D212&amp;"_"&amp;BasicInput!$D$7&amp;BasicInput!$D$8&amp;"_"&amp;DL212&amp;".xuf"</f>
        <v>C:\PWWORKING\east01\d2591108\Weave\__2019EX_PM_.xuf</v>
      </c>
    </row>
    <row r="213" spans="85:117" x14ac:dyDescent="0.2">
      <c r="CG213" s="18"/>
      <c r="CM213" s="18"/>
      <c r="DK213" s="31" t="str">
        <f t="shared" si="10"/>
        <v xml:space="preserve">  </v>
      </c>
      <c r="DL213" s="25" t="str">
        <f t="shared" si="11"/>
        <v/>
      </c>
      <c r="DM213" s="25" t="str">
        <f>BasicInput!$D$13&amp;$DM$2&amp;B213&amp;"_"&amp;C213&amp;D213&amp;"_"&amp;BasicInput!$D$7&amp;BasicInput!$D$8&amp;"_"&amp;DL213&amp;".xuf"</f>
        <v>C:\PWWORKING\east01\d2591108\Weave\__2019EX_PM_.xuf</v>
      </c>
    </row>
    <row r="214" spans="85:117" x14ac:dyDescent="0.2">
      <c r="CG214" s="18"/>
      <c r="CM214" s="18"/>
      <c r="DK214" s="31" t="str">
        <f t="shared" si="10"/>
        <v xml:space="preserve">  </v>
      </c>
      <c r="DL214" s="25" t="str">
        <f t="shared" si="11"/>
        <v/>
      </c>
      <c r="DM214" s="25" t="str">
        <f>BasicInput!$D$13&amp;$DM$2&amp;B214&amp;"_"&amp;C214&amp;D214&amp;"_"&amp;BasicInput!$D$7&amp;BasicInput!$D$8&amp;"_"&amp;DL214&amp;".xuf"</f>
        <v>C:\PWWORKING\east01\d2591108\Weave\__2019EX_PM_.xuf</v>
      </c>
    </row>
    <row r="215" spans="85:117" x14ac:dyDescent="0.2">
      <c r="CG215" s="18"/>
      <c r="CM215" s="18"/>
      <c r="DK215" s="31" t="str">
        <f t="shared" si="10"/>
        <v xml:space="preserve">  </v>
      </c>
      <c r="DL215" s="25" t="str">
        <f t="shared" si="11"/>
        <v/>
      </c>
      <c r="DM215" s="25" t="str">
        <f>BasicInput!$D$13&amp;$DM$2&amp;B215&amp;"_"&amp;C215&amp;D215&amp;"_"&amp;BasicInput!$D$7&amp;BasicInput!$D$8&amp;"_"&amp;DL215&amp;".xuf"</f>
        <v>C:\PWWORKING\east01\d2591108\Weave\__2019EX_PM_.xuf</v>
      </c>
    </row>
    <row r="216" spans="85:117" x14ac:dyDescent="0.2">
      <c r="CG216" s="18"/>
      <c r="CM216" s="18"/>
      <c r="DK216" s="31" t="str">
        <f t="shared" si="10"/>
        <v xml:space="preserve">  </v>
      </c>
      <c r="DL216" s="25" t="str">
        <f t="shared" si="11"/>
        <v/>
      </c>
      <c r="DM216" s="25" t="str">
        <f>BasicInput!$D$13&amp;$DM$2&amp;B216&amp;"_"&amp;C216&amp;D216&amp;"_"&amp;BasicInput!$D$7&amp;BasicInput!$D$8&amp;"_"&amp;DL216&amp;".xuf"</f>
        <v>C:\PWWORKING\east01\d2591108\Weave\__2019EX_PM_.xuf</v>
      </c>
    </row>
    <row r="217" spans="85:117" x14ac:dyDescent="0.2">
      <c r="CG217" s="18"/>
      <c r="CM217" s="18"/>
      <c r="DK217" s="31" t="str">
        <f t="shared" si="10"/>
        <v xml:space="preserve">  </v>
      </c>
      <c r="DL217" s="25" t="str">
        <f t="shared" si="11"/>
        <v/>
      </c>
      <c r="DM217" s="25" t="str">
        <f>BasicInput!$D$13&amp;$DM$2&amp;B217&amp;"_"&amp;C217&amp;D217&amp;"_"&amp;BasicInput!$D$7&amp;BasicInput!$D$8&amp;"_"&amp;DL217&amp;".xuf"</f>
        <v>C:\PWWORKING\east01\d2591108\Weave\__2019EX_PM_.xuf</v>
      </c>
    </row>
    <row r="218" spans="85:117" x14ac:dyDescent="0.2">
      <c r="CG218" s="18"/>
      <c r="CM218" s="18"/>
      <c r="DK218" s="31" t="str">
        <f t="shared" si="10"/>
        <v xml:space="preserve">  </v>
      </c>
      <c r="DL218" s="25" t="str">
        <f t="shared" si="11"/>
        <v/>
      </c>
      <c r="DM218" s="25" t="str">
        <f>BasicInput!$D$13&amp;$DM$2&amp;B218&amp;"_"&amp;C218&amp;D218&amp;"_"&amp;BasicInput!$D$7&amp;BasicInput!$D$8&amp;"_"&amp;DL218&amp;".xuf"</f>
        <v>C:\PWWORKING\east01\d2591108\Weave\__2019EX_PM_.xuf</v>
      </c>
    </row>
    <row r="219" spans="85:117" x14ac:dyDescent="0.2">
      <c r="CG219" s="18"/>
      <c r="CM219" s="18"/>
      <c r="DK219" s="31" t="str">
        <f t="shared" si="10"/>
        <v xml:space="preserve">  </v>
      </c>
      <c r="DL219" s="25" t="str">
        <f t="shared" si="11"/>
        <v/>
      </c>
      <c r="DM219" s="25" t="str">
        <f>BasicInput!$D$13&amp;$DM$2&amp;B219&amp;"_"&amp;C219&amp;D219&amp;"_"&amp;BasicInput!$D$7&amp;BasicInput!$D$8&amp;"_"&amp;DL219&amp;".xuf"</f>
        <v>C:\PWWORKING\east01\d2591108\Weave\__2019EX_PM_.xuf</v>
      </c>
    </row>
    <row r="220" spans="85:117" x14ac:dyDescent="0.2">
      <c r="CG220" s="18"/>
      <c r="CM220" s="18"/>
      <c r="DK220" s="31" t="str">
        <f t="shared" si="10"/>
        <v xml:space="preserve">  </v>
      </c>
      <c r="DL220" s="25" t="str">
        <f t="shared" si="11"/>
        <v/>
      </c>
      <c r="DM220" s="25" t="str">
        <f>BasicInput!$D$13&amp;$DM$2&amp;B220&amp;"_"&amp;C220&amp;D220&amp;"_"&amp;BasicInput!$D$7&amp;BasicInput!$D$8&amp;"_"&amp;DL220&amp;".xuf"</f>
        <v>C:\PWWORKING\east01\d2591108\Weave\__2019EX_PM_.xuf</v>
      </c>
    </row>
    <row r="221" spans="85:117" x14ac:dyDescent="0.2">
      <c r="CG221" s="18"/>
      <c r="CM221" s="18"/>
      <c r="DK221" s="31" t="str">
        <f t="shared" si="10"/>
        <v xml:space="preserve">  </v>
      </c>
      <c r="DL221" s="25" t="str">
        <f t="shared" si="11"/>
        <v/>
      </c>
      <c r="DM221" s="25" t="str">
        <f>BasicInput!$D$13&amp;$DM$2&amp;B221&amp;"_"&amp;C221&amp;D221&amp;"_"&amp;BasicInput!$D$7&amp;BasicInput!$D$8&amp;"_"&amp;DL221&amp;".xuf"</f>
        <v>C:\PWWORKING\east01\d2591108\Weave\__2019EX_PM_.xuf</v>
      </c>
    </row>
    <row r="222" spans="85:117" x14ac:dyDescent="0.2">
      <c r="CG222" s="18"/>
      <c r="CM222" s="18"/>
      <c r="DK222" s="31" t="str">
        <f t="shared" si="10"/>
        <v xml:space="preserve">  </v>
      </c>
      <c r="DL222" s="25" t="str">
        <f t="shared" si="11"/>
        <v/>
      </c>
      <c r="DM222" s="25" t="str">
        <f>BasicInput!$D$13&amp;$DM$2&amp;B222&amp;"_"&amp;C222&amp;D222&amp;"_"&amp;BasicInput!$D$7&amp;BasicInput!$D$8&amp;"_"&amp;DL222&amp;".xuf"</f>
        <v>C:\PWWORKING\east01\d2591108\Weave\__2019EX_PM_.xuf</v>
      </c>
    </row>
    <row r="223" spans="85:117" x14ac:dyDescent="0.2">
      <c r="CG223" s="18"/>
      <c r="CM223" s="18"/>
      <c r="DK223" s="31" t="str">
        <f t="shared" si="10"/>
        <v xml:space="preserve">  </v>
      </c>
      <c r="DL223" s="25" t="str">
        <f t="shared" si="11"/>
        <v/>
      </c>
      <c r="DM223" s="25" t="str">
        <f>BasicInput!$D$13&amp;$DM$2&amp;B223&amp;"_"&amp;C223&amp;D223&amp;"_"&amp;BasicInput!$D$7&amp;BasicInput!$D$8&amp;"_"&amp;DL223&amp;".xuf"</f>
        <v>C:\PWWORKING\east01\d2591108\Weave\__2019EX_PM_.xuf</v>
      </c>
    </row>
    <row r="224" spans="85:117" x14ac:dyDescent="0.2">
      <c r="CG224" s="18"/>
      <c r="CM224" s="18"/>
      <c r="DK224" s="31" t="str">
        <f t="shared" si="10"/>
        <v xml:space="preserve">  </v>
      </c>
      <c r="DL224" s="25" t="str">
        <f t="shared" si="11"/>
        <v/>
      </c>
      <c r="DM224" s="25" t="str">
        <f>BasicInput!$D$13&amp;$DM$2&amp;B224&amp;"_"&amp;C224&amp;D224&amp;"_"&amp;BasicInput!$D$7&amp;BasicInput!$D$8&amp;"_"&amp;DL224&amp;".xuf"</f>
        <v>C:\PWWORKING\east01\d2591108\Weave\__2019EX_PM_.xuf</v>
      </c>
    </row>
    <row r="225" spans="85:117" x14ac:dyDescent="0.2">
      <c r="CG225" s="18"/>
      <c r="CM225" s="18"/>
      <c r="DK225" s="31" t="str">
        <f t="shared" si="10"/>
        <v xml:space="preserve">  </v>
      </c>
      <c r="DL225" s="25" t="str">
        <f t="shared" si="11"/>
        <v/>
      </c>
      <c r="DM225" s="25" t="str">
        <f>BasicInput!$D$13&amp;$DM$2&amp;B225&amp;"_"&amp;C225&amp;D225&amp;"_"&amp;BasicInput!$D$7&amp;BasicInput!$D$8&amp;"_"&amp;DL225&amp;".xuf"</f>
        <v>C:\PWWORKING\east01\d2591108\Weave\__2019EX_PM_.xuf</v>
      </c>
    </row>
    <row r="226" spans="85:117" x14ac:dyDescent="0.2">
      <c r="CG226" s="18"/>
      <c r="CM226" s="18"/>
      <c r="DK226" s="31" t="str">
        <f t="shared" si="10"/>
        <v xml:space="preserve">  </v>
      </c>
      <c r="DL226" s="25" t="str">
        <f t="shared" si="11"/>
        <v/>
      </c>
      <c r="DM226" s="25" t="str">
        <f>BasicInput!$D$13&amp;$DM$2&amp;B226&amp;"_"&amp;C226&amp;D226&amp;"_"&amp;BasicInput!$D$7&amp;BasicInput!$D$8&amp;"_"&amp;DL226&amp;".xuf"</f>
        <v>C:\PWWORKING\east01\d2591108\Weave\__2019EX_PM_.xuf</v>
      </c>
    </row>
    <row r="227" spans="85:117" x14ac:dyDescent="0.2">
      <c r="CG227" s="18"/>
      <c r="CM227" s="18"/>
      <c r="DK227" s="31" t="str">
        <f t="shared" si="10"/>
        <v xml:space="preserve">  </v>
      </c>
      <c r="DL227" s="25" t="str">
        <f t="shared" si="11"/>
        <v/>
      </c>
      <c r="DM227" s="25" t="str">
        <f>BasicInput!$D$13&amp;$DM$2&amp;B227&amp;"_"&amp;C227&amp;D227&amp;"_"&amp;BasicInput!$D$7&amp;BasicInput!$D$8&amp;"_"&amp;DL227&amp;".xuf"</f>
        <v>C:\PWWORKING\east01\d2591108\Weave\__2019EX_PM_.xuf</v>
      </c>
    </row>
    <row r="228" spans="85:117" x14ac:dyDescent="0.2">
      <c r="CG228" s="18"/>
      <c r="CM228" s="18"/>
      <c r="DK228" s="31" t="str">
        <f t="shared" si="10"/>
        <v xml:space="preserve">  </v>
      </c>
      <c r="DL228" s="25" t="str">
        <f t="shared" si="11"/>
        <v/>
      </c>
      <c r="DM228" s="25" t="str">
        <f>BasicInput!$D$13&amp;$DM$2&amp;B228&amp;"_"&amp;C228&amp;D228&amp;"_"&amp;BasicInput!$D$7&amp;BasicInput!$D$8&amp;"_"&amp;DL228&amp;".xuf"</f>
        <v>C:\PWWORKING\east01\d2591108\Weave\__2019EX_PM_.xuf</v>
      </c>
    </row>
    <row r="229" spans="85:117" x14ac:dyDescent="0.2">
      <c r="CG229" s="18"/>
      <c r="CM229" s="18"/>
      <c r="DK229" s="31" t="str">
        <f t="shared" si="10"/>
        <v xml:space="preserve">  </v>
      </c>
      <c r="DL229" s="25" t="str">
        <f t="shared" si="11"/>
        <v/>
      </c>
      <c r="DM229" s="25" t="str">
        <f>BasicInput!$D$13&amp;$DM$2&amp;B229&amp;"_"&amp;C229&amp;D229&amp;"_"&amp;BasicInput!$D$7&amp;BasicInput!$D$8&amp;"_"&amp;DL229&amp;".xuf"</f>
        <v>C:\PWWORKING\east01\d2591108\Weave\__2019EX_PM_.xuf</v>
      </c>
    </row>
    <row r="230" spans="85:117" x14ac:dyDescent="0.2">
      <c r="CG230" s="18"/>
      <c r="CM230" s="18"/>
      <c r="DK230" s="31" t="str">
        <f t="shared" si="10"/>
        <v xml:space="preserve">  </v>
      </c>
      <c r="DL230" s="25" t="str">
        <f t="shared" si="11"/>
        <v/>
      </c>
      <c r="DM230" s="25" t="str">
        <f>BasicInput!$D$13&amp;$DM$2&amp;B230&amp;"_"&amp;C230&amp;D230&amp;"_"&amp;BasicInput!$D$7&amp;BasicInput!$D$8&amp;"_"&amp;DL230&amp;".xuf"</f>
        <v>C:\PWWORKING\east01\d2591108\Weave\__2019EX_PM_.xuf</v>
      </c>
    </row>
    <row r="231" spans="85:117" x14ac:dyDescent="0.2">
      <c r="CG231" s="18"/>
      <c r="CM231" s="18"/>
      <c r="DK231" s="31" t="str">
        <f t="shared" si="10"/>
        <v xml:space="preserve">  </v>
      </c>
      <c r="DL231" s="25" t="str">
        <f t="shared" si="11"/>
        <v/>
      </c>
      <c r="DM231" s="25" t="str">
        <f>BasicInput!$D$13&amp;$DM$2&amp;B231&amp;"_"&amp;C231&amp;D231&amp;"_"&amp;BasicInput!$D$7&amp;BasicInput!$D$8&amp;"_"&amp;DL231&amp;".xuf"</f>
        <v>C:\PWWORKING\east01\d2591108\Weave\__2019EX_PM_.xuf</v>
      </c>
    </row>
    <row r="232" spans="85:117" x14ac:dyDescent="0.2">
      <c r="CG232" s="18"/>
      <c r="CM232" s="18"/>
      <c r="DK232" s="31" t="str">
        <f t="shared" si="10"/>
        <v xml:space="preserve">  </v>
      </c>
      <c r="DL232" s="25" t="str">
        <f t="shared" si="11"/>
        <v/>
      </c>
      <c r="DM232" s="25" t="str">
        <f>BasicInput!$D$13&amp;$DM$2&amp;B232&amp;"_"&amp;C232&amp;D232&amp;"_"&amp;BasicInput!$D$7&amp;BasicInput!$D$8&amp;"_"&amp;DL232&amp;".xuf"</f>
        <v>C:\PWWORKING\east01\d2591108\Weave\__2019EX_PM_.xuf</v>
      </c>
    </row>
    <row r="233" spans="85:117" x14ac:dyDescent="0.2">
      <c r="CG233" s="18"/>
      <c r="CM233" s="18"/>
      <c r="DK233" s="31" t="str">
        <f t="shared" si="10"/>
        <v xml:space="preserve">  </v>
      </c>
      <c r="DL233" s="25" t="str">
        <f t="shared" si="11"/>
        <v/>
      </c>
      <c r="DM233" s="25" t="str">
        <f>BasicInput!$D$13&amp;$DM$2&amp;B233&amp;"_"&amp;C233&amp;D233&amp;"_"&amp;BasicInput!$D$7&amp;BasicInput!$D$8&amp;"_"&amp;DL233&amp;".xuf"</f>
        <v>C:\PWWORKING\east01\d2591108\Weave\__2019EX_PM_.xuf</v>
      </c>
    </row>
    <row r="234" spans="85:117" x14ac:dyDescent="0.2">
      <c r="CG234" s="18"/>
      <c r="CM234" s="18"/>
      <c r="DK234" s="31" t="str">
        <f t="shared" si="10"/>
        <v xml:space="preserve">  </v>
      </c>
      <c r="DL234" s="25" t="str">
        <f t="shared" si="11"/>
        <v/>
      </c>
      <c r="DM234" s="25" t="str">
        <f>BasicInput!$D$13&amp;$DM$2&amp;B234&amp;"_"&amp;C234&amp;D234&amp;"_"&amp;BasicInput!$D$7&amp;BasicInput!$D$8&amp;"_"&amp;DL234&amp;".xuf"</f>
        <v>C:\PWWORKING\east01\d2591108\Weave\__2019EX_PM_.xuf</v>
      </c>
    </row>
    <row r="235" spans="85:117" x14ac:dyDescent="0.2">
      <c r="CG235" s="18"/>
      <c r="CM235" s="18"/>
      <c r="DK235" s="31" t="str">
        <f t="shared" si="10"/>
        <v xml:space="preserve">  </v>
      </c>
      <c r="DL235" s="25" t="str">
        <f t="shared" si="11"/>
        <v/>
      </c>
      <c r="DM235" s="25" t="str">
        <f>BasicInput!$D$13&amp;$DM$2&amp;B235&amp;"_"&amp;C235&amp;D235&amp;"_"&amp;BasicInput!$D$7&amp;BasicInput!$D$8&amp;"_"&amp;DL235&amp;".xuf"</f>
        <v>C:\PWWORKING\east01\d2591108\Weave\__2019EX_PM_.xuf</v>
      </c>
    </row>
    <row r="236" spans="85:117" x14ac:dyDescent="0.2">
      <c r="CG236" s="18"/>
      <c r="CM236" s="18"/>
      <c r="DK236" s="31" t="str">
        <f t="shared" si="10"/>
        <v xml:space="preserve">  </v>
      </c>
      <c r="DL236" s="25" t="str">
        <f t="shared" si="11"/>
        <v/>
      </c>
      <c r="DM236" s="25" t="str">
        <f>BasicInput!$D$13&amp;$DM$2&amp;B236&amp;"_"&amp;C236&amp;D236&amp;"_"&amp;BasicInput!$D$7&amp;BasicInput!$D$8&amp;"_"&amp;DL236&amp;".xuf"</f>
        <v>C:\PWWORKING\east01\d2591108\Weave\__2019EX_PM_.xuf</v>
      </c>
    </row>
    <row r="237" spans="85:117" x14ac:dyDescent="0.2">
      <c r="CG237" s="18"/>
      <c r="CM237" s="18"/>
      <c r="DK237" s="31" t="str">
        <f t="shared" si="10"/>
        <v xml:space="preserve">  </v>
      </c>
      <c r="DL237" s="25" t="str">
        <f t="shared" si="11"/>
        <v/>
      </c>
      <c r="DM237" s="25" t="str">
        <f>BasicInput!$D$13&amp;$DM$2&amp;B237&amp;"_"&amp;C237&amp;D237&amp;"_"&amp;BasicInput!$D$7&amp;BasicInput!$D$8&amp;"_"&amp;DL237&amp;".xuf"</f>
        <v>C:\PWWORKING\east01\d2591108\Weave\__2019EX_PM_.xuf</v>
      </c>
    </row>
    <row r="238" spans="85:117" x14ac:dyDescent="0.2">
      <c r="CG238" s="18"/>
      <c r="CM238" s="18"/>
      <c r="DK238" s="31" t="str">
        <f t="shared" si="10"/>
        <v xml:space="preserve">  </v>
      </c>
      <c r="DL238" s="25" t="str">
        <f t="shared" si="11"/>
        <v/>
      </c>
      <c r="DM238" s="25" t="str">
        <f>BasicInput!$D$13&amp;$DM$2&amp;B238&amp;"_"&amp;C238&amp;D238&amp;"_"&amp;BasicInput!$D$7&amp;BasicInput!$D$8&amp;"_"&amp;DL238&amp;".xuf"</f>
        <v>C:\PWWORKING\east01\d2591108\Weave\__2019EX_PM_.xuf</v>
      </c>
    </row>
    <row r="239" spans="85:117" x14ac:dyDescent="0.2">
      <c r="CG239" s="18"/>
      <c r="CM239" s="18"/>
      <c r="DK239" s="31" t="str">
        <f t="shared" si="10"/>
        <v xml:space="preserve">  </v>
      </c>
      <c r="DL239" s="25" t="str">
        <f t="shared" si="11"/>
        <v/>
      </c>
      <c r="DM239" s="25" t="str">
        <f>BasicInput!$D$13&amp;$DM$2&amp;B239&amp;"_"&amp;C239&amp;D239&amp;"_"&amp;BasicInput!$D$7&amp;BasicInput!$D$8&amp;"_"&amp;DL239&amp;".xuf"</f>
        <v>C:\PWWORKING\east01\d2591108\Weave\__2019EX_PM_.xuf</v>
      </c>
    </row>
    <row r="240" spans="85:117" x14ac:dyDescent="0.2">
      <c r="CG240" s="18"/>
      <c r="CM240" s="18"/>
      <c r="DK240" s="31" t="str">
        <f t="shared" si="10"/>
        <v xml:space="preserve">  </v>
      </c>
      <c r="DL240" s="25" t="str">
        <f t="shared" si="11"/>
        <v/>
      </c>
      <c r="DM240" s="25" t="str">
        <f>BasicInput!$D$13&amp;$DM$2&amp;B240&amp;"_"&amp;C240&amp;D240&amp;"_"&amp;BasicInput!$D$7&amp;BasicInput!$D$8&amp;"_"&amp;DL240&amp;".xuf"</f>
        <v>C:\PWWORKING\east01\d2591108\Weave\__2019EX_PM_.xuf</v>
      </c>
    </row>
    <row r="241" spans="85:117" x14ac:dyDescent="0.2">
      <c r="CG241" s="18"/>
      <c r="CM241" s="18"/>
      <c r="DK241" s="31" t="str">
        <f t="shared" si="10"/>
        <v xml:space="preserve">  </v>
      </c>
      <c r="DL241" s="25" t="str">
        <f t="shared" si="11"/>
        <v/>
      </c>
      <c r="DM241" s="25" t="str">
        <f>BasicInput!$D$13&amp;$DM$2&amp;B241&amp;"_"&amp;C241&amp;D241&amp;"_"&amp;BasicInput!$D$7&amp;BasicInput!$D$8&amp;"_"&amp;DL241&amp;".xuf"</f>
        <v>C:\PWWORKING\east01\d2591108\Weave\__2019EX_PM_.xuf</v>
      </c>
    </row>
    <row r="242" spans="85:117" x14ac:dyDescent="0.2">
      <c r="CG242" s="18"/>
      <c r="CM242" s="18"/>
      <c r="DK242" s="31" t="str">
        <f t="shared" si="10"/>
        <v xml:space="preserve">  </v>
      </c>
      <c r="DL242" s="25" t="str">
        <f t="shared" si="11"/>
        <v/>
      </c>
      <c r="DM242" s="25" t="str">
        <f>BasicInput!$D$13&amp;$DM$2&amp;B242&amp;"_"&amp;C242&amp;D242&amp;"_"&amp;BasicInput!$D$7&amp;BasicInput!$D$8&amp;"_"&amp;DL242&amp;".xuf"</f>
        <v>C:\PWWORKING\east01\d2591108\Weave\__2019EX_PM_.xuf</v>
      </c>
    </row>
    <row r="243" spans="85:117" x14ac:dyDescent="0.2">
      <c r="CG243" s="18"/>
      <c r="CM243" s="18"/>
      <c r="DK243" s="31" t="str">
        <f t="shared" si="10"/>
        <v xml:space="preserve">  </v>
      </c>
      <c r="DL243" s="25" t="str">
        <f t="shared" si="11"/>
        <v/>
      </c>
      <c r="DM243" s="25" t="str">
        <f>BasicInput!$D$13&amp;$DM$2&amp;B243&amp;"_"&amp;C243&amp;D243&amp;"_"&amp;BasicInput!$D$7&amp;BasicInput!$D$8&amp;"_"&amp;DL243&amp;".xuf"</f>
        <v>C:\PWWORKING\east01\d2591108\Weave\__2019EX_PM_.xuf</v>
      </c>
    </row>
    <row r="244" spans="85:117" x14ac:dyDescent="0.2">
      <c r="CG244" s="18"/>
      <c r="CM244" s="18"/>
      <c r="DK244" s="31" t="str">
        <f t="shared" si="10"/>
        <v xml:space="preserve">  </v>
      </c>
      <c r="DL244" s="25" t="str">
        <f t="shared" si="11"/>
        <v/>
      </c>
      <c r="DM244" s="25" t="str">
        <f>BasicInput!$D$13&amp;$DM$2&amp;B244&amp;"_"&amp;C244&amp;D244&amp;"_"&amp;BasicInput!$D$7&amp;BasicInput!$D$8&amp;"_"&amp;DL244&amp;".xuf"</f>
        <v>C:\PWWORKING\east01\d2591108\Weave\__2019EX_PM_.xuf</v>
      </c>
    </row>
    <row r="245" spans="85:117" x14ac:dyDescent="0.2">
      <c r="CG245" s="18"/>
      <c r="CM245" s="18"/>
      <c r="DK245" s="31" t="str">
        <f t="shared" si="10"/>
        <v xml:space="preserve">  </v>
      </c>
      <c r="DL245" s="25" t="str">
        <f t="shared" si="11"/>
        <v/>
      </c>
      <c r="DM245" s="25" t="str">
        <f>BasicInput!$D$13&amp;$DM$2&amp;B245&amp;"_"&amp;C245&amp;D245&amp;"_"&amp;BasicInput!$D$7&amp;BasicInput!$D$8&amp;"_"&amp;DL245&amp;".xuf"</f>
        <v>C:\PWWORKING\east01\d2591108\Weave\__2019EX_PM_.xuf</v>
      </c>
    </row>
    <row r="246" spans="85:117" x14ac:dyDescent="0.2">
      <c r="CG246" s="18"/>
      <c r="CM246" s="18"/>
      <c r="DK246" s="31" t="str">
        <f t="shared" si="10"/>
        <v xml:space="preserve">  </v>
      </c>
      <c r="DL246" s="25" t="str">
        <f t="shared" si="11"/>
        <v/>
      </c>
      <c r="DM246" s="25" t="str">
        <f>BasicInput!$D$13&amp;$DM$2&amp;B246&amp;"_"&amp;C246&amp;D246&amp;"_"&amp;BasicInput!$D$7&amp;BasicInput!$D$8&amp;"_"&amp;DL246&amp;".xuf"</f>
        <v>C:\PWWORKING\east01\d2591108\Weave\__2019EX_PM_.xuf</v>
      </c>
    </row>
    <row r="247" spans="85:117" x14ac:dyDescent="0.2">
      <c r="CG247" s="18"/>
      <c r="CM247" s="18"/>
      <c r="DK247" s="31" t="str">
        <f t="shared" si="10"/>
        <v xml:space="preserve">  </v>
      </c>
      <c r="DL247" s="25" t="str">
        <f t="shared" si="11"/>
        <v/>
      </c>
      <c r="DM247" s="25" t="str">
        <f>BasicInput!$D$13&amp;$DM$2&amp;B247&amp;"_"&amp;C247&amp;D247&amp;"_"&amp;BasicInput!$D$7&amp;BasicInput!$D$8&amp;"_"&amp;DL247&amp;".xuf"</f>
        <v>C:\PWWORKING\east01\d2591108\Weave\__2019EX_PM_.xuf</v>
      </c>
    </row>
    <row r="248" spans="85:117" x14ac:dyDescent="0.2">
      <c r="CG248" s="18"/>
      <c r="CM248" s="18"/>
      <c r="DK248" s="31" t="str">
        <f t="shared" si="10"/>
        <v xml:space="preserve">  </v>
      </c>
      <c r="DL248" s="25" t="str">
        <f t="shared" si="11"/>
        <v/>
      </c>
      <c r="DM248" s="25" t="str">
        <f>BasicInput!$D$13&amp;$DM$2&amp;B248&amp;"_"&amp;C248&amp;D248&amp;"_"&amp;BasicInput!$D$7&amp;BasicInput!$D$8&amp;"_"&amp;DL248&amp;".xuf"</f>
        <v>C:\PWWORKING\east01\d2591108\Weave\__2019EX_PM_.xuf</v>
      </c>
    </row>
    <row r="249" spans="85:117" x14ac:dyDescent="0.2">
      <c r="CG249" s="18"/>
      <c r="CM249" s="18"/>
      <c r="DK249" s="31" t="str">
        <f t="shared" si="10"/>
        <v xml:space="preserve">  </v>
      </c>
      <c r="DL249" s="25" t="str">
        <f t="shared" si="11"/>
        <v/>
      </c>
      <c r="DM249" s="25" t="str">
        <f>BasicInput!$D$13&amp;$DM$2&amp;B249&amp;"_"&amp;C249&amp;D249&amp;"_"&amp;BasicInput!$D$7&amp;BasicInput!$D$8&amp;"_"&amp;DL249&amp;".xuf"</f>
        <v>C:\PWWORKING\east01\d2591108\Weave\__2019EX_PM_.xuf</v>
      </c>
    </row>
    <row r="250" spans="85:117" x14ac:dyDescent="0.2">
      <c r="CG250" s="18"/>
      <c r="CM250" s="18"/>
      <c r="DK250" s="31" t="str">
        <f t="shared" si="10"/>
        <v xml:space="preserve">  </v>
      </c>
      <c r="DL250" s="25" t="str">
        <f t="shared" si="11"/>
        <v/>
      </c>
      <c r="DM250" s="25" t="str">
        <f>BasicInput!$D$13&amp;$DM$2&amp;B250&amp;"_"&amp;C250&amp;D250&amp;"_"&amp;BasicInput!$D$7&amp;BasicInput!$D$8&amp;"_"&amp;DL250&amp;".xuf"</f>
        <v>C:\PWWORKING\east01\d2591108\Weave\__2019EX_PM_.xuf</v>
      </c>
    </row>
    <row r="251" spans="85:117" x14ac:dyDescent="0.2">
      <c r="CG251" s="18"/>
      <c r="CM251" s="18"/>
      <c r="DK251" s="31" t="str">
        <f t="shared" si="10"/>
        <v xml:space="preserve">  </v>
      </c>
      <c r="DL251" s="25" t="str">
        <f t="shared" si="11"/>
        <v/>
      </c>
      <c r="DM251" s="25" t="str">
        <f>BasicInput!$D$13&amp;$DM$2&amp;B251&amp;"_"&amp;C251&amp;D251&amp;"_"&amp;BasicInput!$D$7&amp;BasicInput!$D$8&amp;"_"&amp;DL251&amp;".xuf"</f>
        <v>C:\PWWORKING\east01\d2591108\Weave\__2019EX_PM_.xuf</v>
      </c>
    </row>
    <row r="252" spans="85:117" x14ac:dyDescent="0.2">
      <c r="CG252" s="18"/>
      <c r="CM252" s="18"/>
      <c r="DK252" s="31" t="str">
        <f t="shared" si="10"/>
        <v xml:space="preserve">  </v>
      </c>
      <c r="DL252" s="25" t="str">
        <f t="shared" si="11"/>
        <v/>
      </c>
      <c r="DM252" s="25" t="str">
        <f>BasicInput!$D$13&amp;$DM$2&amp;B252&amp;"_"&amp;C252&amp;D252&amp;"_"&amp;BasicInput!$D$7&amp;BasicInput!$D$8&amp;"_"&amp;DL252&amp;".xuf"</f>
        <v>C:\PWWORKING\east01\d2591108\Weave\__2019EX_PM_.xuf</v>
      </c>
    </row>
    <row r="253" spans="85:117" x14ac:dyDescent="0.2">
      <c r="CG253" s="18"/>
      <c r="CM253" s="18"/>
      <c r="DK253" s="31" t="str">
        <f t="shared" si="10"/>
        <v xml:space="preserve">  </v>
      </c>
      <c r="DL253" s="25" t="str">
        <f t="shared" si="11"/>
        <v/>
      </c>
      <c r="DM253" s="25" t="str">
        <f>BasicInput!$D$13&amp;$DM$2&amp;B253&amp;"_"&amp;C253&amp;D253&amp;"_"&amp;BasicInput!$D$7&amp;BasicInput!$D$8&amp;"_"&amp;DL253&amp;".xuf"</f>
        <v>C:\PWWORKING\east01\d2591108\Weave\__2019EX_PM_.xuf</v>
      </c>
    </row>
    <row r="254" spans="85:117" x14ac:dyDescent="0.2">
      <c r="CG254" s="18"/>
      <c r="CM254" s="18"/>
      <c r="DK254" s="31" t="str">
        <f t="shared" si="10"/>
        <v xml:space="preserve">  </v>
      </c>
      <c r="DL254" s="25" t="str">
        <f t="shared" si="11"/>
        <v/>
      </c>
      <c r="DM254" s="25" t="str">
        <f>BasicInput!$D$13&amp;$DM$2&amp;B254&amp;"_"&amp;C254&amp;D254&amp;"_"&amp;BasicInput!$D$7&amp;BasicInput!$D$8&amp;"_"&amp;DL254&amp;".xuf"</f>
        <v>C:\PWWORKING\east01\d2591108\Weave\__2019EX_PM_.xuf</v>
      </c>
    </row>
    <row r="255" spans="85:117" x14ac:dyDescent="0.2">
      <c r="CG255" s="18"/>
      <c r="CM255" s="18"/>
      <c r="DK255" s="31" t="str">
        <f t="shared" si="10"/>
        <v xml:space="preserve">  </v>
      </c>
      <c r="DL255" s="25" t="str">
        <f t="shared" si="11"/>
        <v/>
      </c>
      <c r="DM255" s="25" t="str">
        <f>BasicInput!$D$13&amp;$DM$2&amp;B255&amp;"_"&amp;C255&amp;D255&amp;"_"&amp;BasicInput!$D$7&amp;BasicInput!$D$8&amp;"_"&amp;DL255&amp;".xuf"</f>
        <v>C:\PWWORKING\east01\d2591108\Weave\__2019EX_PM_.xuf</v>
      </c>
    </row>
    <row r="256" spans="85:117" x14ac:dyDescent="0.2">
      <c r="CG256" s="18"/>
      <c r="CM256" s="18"/>
      <c r="DK256" s="31" t="str">
        <f t="shared" si="10"/>
        <v xml:space="preserve">  </v>
      </c>
      <c r="DL256" s="25" t="str">
        <f t="shared" si="11"/>
        <v/>
      </c>
      <c r="DM256" s="25" t="str">
        <f>BasicInput!$D$13&amp;$DM$2&amp;B256&amp;"_"&amp;C256&amp;D256&amp;"_"&amp;BasicInput!$D$7&amp;BasicInput!$D$8&amp;"_"&amp;DL256&amp;".xuf"</f>
        <v>C:\PWWORKING\east01\d2591108\Weave\__2019EX_PM_.xuf</v>
      </c>
    </row>
    <row r="257" spans="85:117" x14ac:dyDescent="0.2">
      <c r="CG257" s="18"/>
      <c r="CM257" s="18"/>
      <c r="DK257" s="31" t="str">
        <f t="shared" si="10"/>
        <v xml:space="preserve">  </v>
      </c>
      <c r="DL257" s="25" t="str">
        <f t="shared" si="11"/>
        <v/>
      </c>
      <c r="DM257" s="25" t="str">
        <f>BasicInput!$D$13&amp;$DM$2&amp;B257&amp;"_"&amp;C257&amp;D257&amp;"_"&amp;BasicInput!$D$7&amp;BasicInput!$D$8&amp;"_"&amp;DL257&amp;".xuf"</f>
        <v>C:\PWWORKING\east01\d2591108\Weave\__2019EX_PM_.xuf</v>
      </c>
    </row>
    <row r="258" spans="85:117" x14ac:dyDescent="0.2">
      <c r="CG258" s="18"/>
      <c r="CM258" s="18"/>
      <c r="DK258" s="31" t="str">
        <f t="shared" si="10"/>
        <v xml:space="preserve">  </v>
      </c>
      <c r="DL258" s="25" t="str">
        <f t="shared" si="11"/>
        <v/>
      </c>
      <c r="DM258" s="25" t="str">
        <f>BasicInput!$D$13&amp;$DM$2&amp;B258&amp;"_"&amp;C258&amp;D258&amp;"_"&amp;BasicInput!$D$7&amp;BasicInput!$D$8&amp;"_"&amp;DL258&amp;".xuf"</f>
        <v>C:\PWWORKING\east01\d2591108\Weave\__2019EX_PM_.xuf</v>
      </c>
    </row>
    <row r="259" spans="85:117" x14ac:dyDescent="0.2">
      <c r="CG259" s="18"/>
      <c r="CM259" s="18"/>
      <c r="DK259" s="31" t="str">
        <f t="shared" si="10"/>
        <v xml:space="preserve">  </v>
      </c>
      <c r="DL259" s="25" t="str">
        <f t="shared" si="11"/>
        <v/>
      </c>
      <c r="DM259" s="25" t="str">
        <f>BasicInput!$D$13&amp;$DM$2&amp;B259&amp;"_"&amp;C259&amp;D259&amp;"_"&amp;BasicInput!$D$7&amp;BasicInput!$D$8&amp;"_"&amp;DL259&amp;".xuf"</f>
        <v>C:\PWWORKING\east01\d2591108\Weave\__2019EX_PM_.xuf</v>
      </c>
    </row>
    <row r="260" spans="85:117" x14ac:dyDescent="0.2">
      <c r="CG260" s="18"/>
      <c r="CM260" s="18"/>
      <c r="DK260" s="31" t="str">
        <f t="shared" si="10"/>
        <v xml:space="preserve">  </v>
      </c>
      <c r="DL260" s="25" t="str">
        <f t="shared" si="11"/>
        <v/>
      </c>
      <c r="DM260" s="25" t="str">
        <f>BasicInput!$D$13&amp;$DM$2&amp;B260&amp;"_"&amp;C260&amp;D260&amp;"_"&amp;BasicInput!$D$7&amp;BasicInput!$D$8&amp;"_"&amp;DL260&amp;".xuf"</f>
        <v>C:\PWWORKING\east01\d2591108\Weave\__2019EX_PM_.xuf</v>
      </c>
    </row>
    <row r="261" spans="85:117" x14ac:dyDescent="0.2">
      <c r="CG261" s="18"/>
      <c r="CM261" s="18"/>
      <c r="DK261" s="31" t="str">
        <f t="shared" si="10"/>
        <v xml:space="preserve">  </v>
      </c>
      <c r="DL261" s="25" t="str">
        <f t="shared" si="11"/>
        <v/>
      </c>
      <c r="DM261" s="25" t="str">
        <f>BasicInput!$D$13&amp;$DM$2&amp;B261&amp;"_"&amp;C261&amp;D261&amp;"_"&amp;BasicInput!$D$7&amp;BasicInput!$D$8&amp;"_"&amp;DL261&amp;".xuf"</f>
        <v>C:\PWWORKING\east01\d2591108\Weave\__2019EX_PM_.xuf</v>
      </c>
    </row>
    <row r="262" spans="85:117" x14ac:dyDescent="0.2">
      <c r="CG262" s="18"/>
      <c r="CM262" s="18"/>
      <c r="DK262" s="31" t="str">
        <f t="shared" si="10"/>
        <v xml:space="preserve">  </v>
      </c>
      <c r="DL262" s="25" t="str">
        <f t="shared" si="11"/>
        <v/>
      </c>
      <c r="DM262" s="25" t="str">
        <f>BasicInput!$D$13&amp;$DM$2&amp;B262&amp;"_"&amp;C262&amp;D262&amp;"_"&amp;BasicInput!$D$7&amp;BasicInput!$D$8&amp;"_"&amp;DL262&amp;".xuf"</f>
        <v>C:\PWWORKING\east01\d2591108\Weave\__2019EX_PM_.xuf</v>
      </c>
    </row>
    <row r="263" spans="85:117" x14ac:dyDescent="0.2">
      <c r="CG263" s="18"/>
      <c r="CM263" s="18"/>
      <c r="DK263" s="31" t="str">
        <f t="shared" si="10"/>
        <v xml:space="preserve">  </v>
      </c>
      <c r="DL263" s="25" t="str">
        <f t="shared" si="11"/>
        <v/>
      </c>
      <c r="DM263" s="25" t="str">
        <f>BasicInput!$D$13&amp;$DM$2&amp;B263&amp;"_"&amp;C263&amp;D263&amp;"_"&amp;BasicInput!$D$7&amp;BasicInput!$D$8&amp;"_"&amp;DL263&amp;".xuf"</f>
        <v>C:\PWWORKING\east01\d2591108\Weave\__2019EX_PM_.xuf</v>
      </c>
    </row>
    <row r="264" spans="85:117" x14ac:dyDescent="0.2">
      <c r="CG264" s="18"/>
      <c r="CM264" s="18"/>
      <c r="DK264" s="31" t="str">
        <f t="shared" si="10"/>
        <v xml:space="preserve">  </v>
      </c>
      <c r="DL264" s="25" t="str">
        <f t="shared" si="11"/>
        <v/>
      </c>
      <c r="DM264" s="25" t="str">
        <f>BasicInput!$D$13&amp;$DM$2&amp;B264&amp;"_"&amp;C264&amp;D264&amp;"_"&amp;BasicInput!$D$7&amp;BasicInput!$D$8&amp;"_"&amp;DL264&amp;".xuf"</f>
        <v>C:\PWWORKING\east01\d2591108\Weave\__2019EX_PM_.xuf</v>
      </c>
    </row>
    <row r="265" spans="85:117" x14ac:dyDescent="0.2">
      <c r="CG265" s="18"/>
      <c r="CM265" s="18"/>
      <c r="DK265" s="31" t="str">
        <f t="shared" si="10"/>
        <v xml:space="preserve">  </v>
      </c>
      <c r="DL265" s="25" t="str">
        <f t="shared" si="11"/>
        <v/>
      </c>
      <c r="DM265" s="25" t="str">
        <f>BasicInput!$D$13&amp;$DM$2&amp;B265&amp;"_"&amp;C265&amp;D265&amp;"_"&amp;BasicInput!$D$7&amp;BasicInput!$D$8&amp;"_"&amp;DL265&amp;".xuf"</f>
        <v>C:\PWWORKING\east01\d2591108\Weave\__2019EX_PM_.xuf</v>
      </c>
    </row>
    <row r="266" spans="85:117" x14ac:dyDescent="0.2">
      <c r="CG266" s="18"/>
      <c r="CM266" s="18"/>
      <c r="DK266" s="31" t="str">
        <f t="shared" si="10"/>
        <v xml:space="preserve">  </v>
      </c>
      <c r="DL266" s="25" t="str">
        <f t="shared" si="11"/>
        <v/>
      </c>
      <c r="DM266" s="25" t="str">
        <f>BasicInput!$D$13&amp;$DM$2&amp;B266&amp;"_"&amp;C266&amp;D266&amp;"_"&amp;BasicInput!$D$7&amp;BasicInput!$D$8&amp;"_"&amp;DL266&amp;".xuf"</f>
        <v>C:\PWWORKING\east01\d2591108\Weave\__2019EX_PM_.xuf</v>
      </c>
    </row>
    <row r="267" spans="85:117" x14ac:dyDescent="0.2">
      <c r="CG267" s="18"/>
      <c r="CM267" s="18"/>
      <c r="DK267" s="31" t="str">
        <f t="shared" si="10"/>
        <v xml:space="preserve">  </v>
      </c>
      <c r="DL267" s="25" t="str">
        <f t="shared" si="11"/>
        <v/>
      </c>
      <c r="DM267" s="25" t="str">
        <f>BasicInput!$D$13&amp;$DM$2&amp;B267&amp;"_"&amp;C267&amp;D267&amp;"_"&amp;BasicInput!$D$7&amp;BasicInput!$D$8&amp;"_"&amp;DL267&amp;".xuf"</f>
        <v>C:\PWWORKING\east01\d2591108\Weave\__2019EX_PM_.xuf</v>
      </c>
    </row>
    <row r="268" spans="85:117" x14ac:dyDescent="0.2">
      <c r="CG268" s="18"/>
      <c r="CM268" s="18"/>
      <c r="DK268" s="31" t="str">
        <f t="shared" ref="DK268:DK331" si="12">C268&amp; " "&amp;D268&amp;" " &amp;E268</f>
        <v xml:space="preserve">  </v>
      </c>
      <c r="DL268" s="25" t="str">
        <f t="shared" ref="DL268:DL331" si="13">TRIM(LEFT(E268, 30))</f>
        <v/>
      </c>
      <c r="DM268" s="25" t="str">
        <f>BasicInput!$D$13&amp;$DM$2&amp;B268&amp;"_"&amp;C268&amp;D268&amp;"_"&amp;BasicInput!$D$7&amp;BasicInput!$D$8&amp;"_"&amp;DL268&amp;".xuf"</f>
        <v>C:\PWWORKING\east01\d2591108\Weave\__2019EX_PM_.xuf</v>
      </c>
    </row>
    <row r="269" spans="85:117" x14ac:dyDescent="0.2">
      <c r="CG269" s="18"/>
      <c r="CM269" s="18"/>
      <c r="DK269" s="31" t="str">
        <f t="shared" si="12"/>
        <v xml:space="preserve">  </v>
      </c>
      <c r="DL269" s="25" t="str">
        <f t="shared" si="13"/>
        <v/>
      </c>
      <c r="DM269" s="25" t="str">
        <f>BasicInput!$D$13&amp;$DM$2&amp;B269&amp;"_"&amp;C269&amp;D269&amp;"_"&amp;BasicInput!$D$7&amp;BasicInput!$D$8&amp;"_"&amp;DL269&amp;".xuf"</f>
        <v>C:\PWWORKING\east01\d2591108\Weave\__2019EX_PM_.xuf</v>
      </c>
    </row>
    <row r="270" spans="85:117" x14ac:dyDescent="0.2">
      <c r="CG270" s="18"/>
      <c r="CM270" s="18"/>
      <c r="DK270" s="31" t="str">
        <f t="shared" si="12"/>
        <v xml:space="preserve">  </v>
      </c>
      <c r="DL270" s="25" t="str">
        <f t="shared" si="13"/>
        <v/>
      </c>
      <c r="DM270" s="25" t="str">
        <f>BasicInput!$D$13&amp;$DM$2&amp;B270&amp;"_"&amp;C270&amp;D270&amp;"_"&amp;BasicInput!$D$7&amp;BasicInput!$D$8&amp;"_"&amp;DL270&amp;".xuf"</f>
        <v>C:\PWWORKING\east01\d2591108\Weave\__2019EX_PM_.xuf</v>
      </c>
    </row>
    <row r="271" spans="85:117" x14ac:dyDescent="0.2">
      <c r="CG271" s="18"/>
      <c r="CM271" s="18"/>
      <c r="DK271" s="31" t="str">
        <f t="shared" si="12"/>
        <v xml:space="preserve">  </v>
      </c>
      <c r="DL271" s="25" t="str">
        <f t="shared" si="13"/>
        <v/>
      </c>
      <c r="DM271" s="25" t="str">
        <f>BasicInput!$D$13&amp;$DM$2&amp;B271&amp;"_"&amp;C271&amp;D271&amp;"_"&amp;BasicInput!$D$7&amp;BasicInput!$D$8&amp;"_"&amp;DL271&amp;".xuf"</f>
        <v>C:\PWWORKING\east01\d2591108\Weave\__2019EX_PM_.xuf</v>
      </c>
    </row>
    <row r="272" spans="85:117" x14ac:dyDescent="0.2">
      <c r="CG272" s="18"/>
      <c r="CM272" s="18"/>
      <c r="DK272" s="31" t="str">
        <f t="shared" si="12"/>
        <v xml:space="preserve">  </v>
      </c>
      <c r="DL272" s="25" t="str">
        <f t="shared" si="13"/>
        <v/>
      </c>
      <c r="DM272" s="25" t="str">
        <f>BasicInput!$D$13&amp;$DM$2&amp;B272&amp;"_"&amp;C272&amp;D272&amp;"_"&amp;BasicInput!$D$7&amp;BasicInput!$D$8&amp;"_"&amp;DL272&amp;".xuf"</f>
        <v>C:\PWWORKING\east01\d2591108\Weave\__2019EX_PM_.xuf</v>
      </c>
    </row>
    <row r="273" spans="85:117" x14ac:dyDescent="0.2">
      <c r="CG273" s="18"/>
      <c r="CM273" s="18"/>
      <c r="DK273" s="31" t="str">
        <f t="shared" si="12"/>
        <v xml:space="preserve">  </v>
      </c>
      <c r="DL273" s="25" t="str">
        <f t="shared" si="13"/>
        <v/>
      </c>
      <c r="DM273" s="25" t="str">
        <f>BasicInput!$D$13&amp;$DM$2&amp;B273&amp;"_"&amp;C273&amp;D273&amp;"_"&amp;BasicInput!$D$7&amp;BasicInput!$D$8&amp;"_"&amp;DL273&amp;".xuf"</f>
        <v>C:\PWWORKING\east01\d2591108\Weave\__2019EX_PM_.xuf</v>
      </c>
    </row>
    <row r="274" spans="85:117" x14ac:dyDescent="0.2">
      <c r="CG274" s="18"/>
      <c r="CM274" s="18"/>
      <c r="DK274" s="31" t="str">
        <f t="shared" si="12"/>
        <v xml:space="preserve">  </v>
      </c>
      <c r="DL274" s="25" t="str">
        <f t="shared" si="13"/>
        <v/>
      </c>
      <c r="DM274" s="25" t="str">
        <f>BasicInput!$D$13&amp;$DM$2&amp;B274&amp;"_"&amp;C274&amp;D274&amp;"_"&amp;BasicInput!$D$7&amp;BasicInput!$D$8&amp;"_"&amp;DL274&amp;".xuf"</f>
        <v>C:\PWWORKING\east01\d2591108\Weave\__2019EX_PM_.xuf</v>
      </c>
    </row>
    <row r="275" spans="85:117" x14ac:dyDescent="0.2">
      <c r="CG275" s="18"/>
      <c r="CM275" s="18"/>
      <c r="DK275" s="31" t="str">
        <f t="shared" si="12"/>
        <v xml:space="preserve">  </v>
      </c>
      <c r="DL275" s="25" t="str">
        <f t="shared" si="13"/>
        <v/>
      </c>
      <c r="DM275" s="25" t="str">
        <f>BasicInput!$D$13&amp;$DM$2&amp;B275&amp;"_"&amp;C275&amp;D275&amp;"_"&amp;BasicInput!$D$7&amp;BasicInput!$D$8&amp;"_"&amp;DL275&amp;".xuf"</f>
        <v>C:\PWWORKING\east01\d2591108\Weave\__2019EX_PM_.xuf</v>
      </c>
    </row>
    <row r="276" spans="85:117" x14ac:dyDescent="0.2">
      <c r="CG276" s="18"/>
      <c r="CM276" s="18"/>
      <c r="DK276" s="31" t="str">
        <f t="shared" si="12"/>
        <v xml:space="preserve">  </v>
      </c>
      <c r="DL276" s="25" t="str">
        <f t="shared" si="13"/>
        <v/>
      </c>
      <c r="DM276" s="25" t="str">
        <f>BasicInput!$D$13&amp;$DM$2&amp;B276&amp;"_"&amp;C276&amp;D276&amp;"_"&amp;BasicInput!$D$7&amp;BasicInput!$D$8&amp;"_"&amp;DL276&amp;".xuf"</f>
        <v>C:\PWWORKING\east01\d2591108\Weave\__2019EX_PM_.xuf</v>
      </c>
    </row>
    <row r="277" spans="85:117" x14ac:dyDescent="0.2">
      <c r="CG277" s="18"/>
      <c r="CM277" s="18"/>
      <c r="DK277" s="31" t="str">
        <f t="shared" si="12"/>
        <v xml:space="preserve">  </v>
      </c>
      <c r="DL277" s="25" t="str">
        <f t="shared" si="13"/>
        <v/>
      </c>
      <c r="DM277" s="25" t="str">
        <f>BasicInput!$D$13&amp;$DM$2&amp;B277&amp;"_"&amp;C277&amp;D277&amp;"_"&amp;BasicInput!$D$7&amp;BasicInput!$D$8&amp;"_"&amp;DL277&amp;".xuf"</f>
        <v>C:\PWWORKING\east01\d2591108\Weave\__2019EX_PM_.xuf</v>
      </c>
    </row>
    <row r="278" spans="85:117" x14ac:dyDescent="0.2">
      <c r="CG278" s="18"/>
      <c r="CM278" s="18"/>
      <c r="DK278" s="31" t="str">
        <f t="shared" si="12"/>
        <v xml:space="preserve">  </v>
      </c>
      <c r="DL278" s="25" t="str">
        <f t="shared" si="13"/>
        <v/>
      </c>
      <c r="DM278" s="25" t="str">
        <f>BasicInput!$D$13&amp;$DM$2&amp;B278&amp;"_"&amp;C278&amp;D278&amp;"_"&amp;BasicInput!$D$7&amp;BasicInput!$D$8&amp;"_"&amp;DL278&amp;".xuf"</f>
        <v>C:\PWWORKING\east01\d2591108\Weave\__2019EX_PM_.xuf</v>
      </c>
    </row>
    <row r="279" spans="85:117" x14ac:dyDescent="0.2">
      <c r="CG279" s="18"/>
      <c r="CM279" s="18"/>
      <c r="DK279" s="31" t="str">
        <f t="shared" si="12"/>
        <v xml:space="preserve">  </v>
      </c>
      <c r="DL279" s="25" t="str">
        <f t="shared" si="13"/>
        <v/>
      </c>
      <c r="DM279" s="25" t="str">
        <f>BasicInput!$D$13&amp;$DM$2&amp;B279&amp;"_"&amp;C279&amp;D279&amp;"_"&amp;BasicInput!$D$7&amp;BasicInput!$D$8&amp;"_"&amp;DL279&amp;".xuf"</f>
        <v>C:\PWWORKING\east01\d2591108\Weave\__2019EX_PM_.xuf</v>
      </c>
    </row>
    <row r="280" spans="85:117" x14ac:dyDescent="0.2">
      <c r="CG280" s="18"/>
      <c r="CM280" s="18"/>
      <c r="DK280" s="31" t="str">
        <f t="shared" si="12"/>
        <v xml:space="preserve">  </v>
      </c>
      <c r="DL280" s="25" t="str">
        <f t="shared" si="13"/>
        <v/>
      </c>
      <c r="DM280" s="25" t="str">
        <f>BasicInput!$D$13&amp;$DM$2&amp;B280&amp;"_"&amp;C280&amp;D280&amp;"_"&amp;BasicInput!$D$7&amp;BasicInput!$D$8&amp;"_"&amp;DL280&amp;".xuf"</f>
        <v>C:\PWWORKING\east01\d2591108\Weave\__2019EX_PM_.xuf</v>
      </c>
    </row>
    <row r="281" spans="85:117" x14ac:dyDescent="0.2">
      <c r="CG281" s="18"/>
      <c r="CM281" s="18"/>
      <c r="DK281" s="31" t="str">
        <f t="shared" si="12"/>
        <v xml:space="preserve">  </v>
      </c>
      <c r="DL281" s="25" t="str">
        <f t="shared" si="13"/>
        <v/>
      </c>
      <c r="DM281" s="25" t="str">
        <f>BasicInput!$D$13&amp;$DM$2&amp;B281&amp;"_"&amp;C281&amp;D281&amp;"_"&amp;BasicInput!$D$7&amp;BasicInput!$D$8&amp;"_"&amp;DL281&amp;".xuf"</f>
        <v>C:\PWWORKING\east01\d2591108\Weave\__2019EX_PM_.xuf</v>
      </c>
    </row>
    <row r="282" spans="85:117" x14ac:dyDescent="0.2">
      <c r="CG282" s="18"/>
      <c r="CM282" s="18"/>
      <c r="DK282" s="31" t="str">
        <f t="shared" si="12"/>
        <v xml:space="preserve">  </v>
      </c>
      <c r="DL282" s="25" t="str">
        <f t="shared" si="13"/>
        <v/>
      </c>
      <c r="DM282" s="25" t="str">
        <f>BasicInput!$D$13&amp;$DM$2&amp;B282&amp;"_"&amp;C282&amp;D282&amp;"_"&amp;BasicInput!$D$7&amp;BasicInput!$D$8&amp;"_"&amp;DL282&amp;".xuf"</f>
        <v>C:\PWWORKING\east01\d2591108\Weave\__2019EX_PM_.xuf</v>
      </c>
    </row>
    <row r="283" spans="85:117" x14ac:dyDescent="0.2">
      <c r="CG283" s="18"/>
      <c r="CM283" s="18"/>
      <c r="DK283" s="31" t="str">
        <f t="shared" si="12"/>
        <v xml:space="preserve">  </v>
      </c>
      <c r="DL283" s="25" t="str">
        <f t="shared" si="13"/>
        <v/>
      </c>
      <c r="DM283" s="25" t="str">
        <f>BasicInput!$D$13&amp;$DM$2&amp;B283&amp;"_"&amp;C283&amp;D283&amp;"_"&amp;BasicInput!$D$7&amp;BasicInput!$D$8&amp;"_"&amp;DL283&amp;".xuf"</f>
        <v>C:\PWWORKING\east01\d2591108\Weave\__2019EX_PM_.xuf</v>
      </c>
    </row>
    <row r="284" spans="85:117" x14ac:dyDescent="0.2">
      <c r="CG284" s="18"/>
      <c r="CM284" s="18"/>
      <c r="DK284" s="31" t="str">
        <f t="shared" si="12"/>
        <v xml:space="preserve">  </v>
      </c>
      <c r="DL284" s="25" t="str">
        <f t="shared" si="13"/>
        <v/>
      </c>
      <c r="DM284" s="25" t="str">
        <f>BasicInput!$D$13&amp;$DM$2&amp;B284&amp;"_"&amp;C284&amp;D284&amp;"_"&amp;BasicInput!$D$7&amp;BasicInput!$D$8&amp;"_"&amp;DL284&amp;".xuf"</f>
        <v>C:\PWWORKING\east01\d2591108\Weave\__2019EX_PM_.xuf</v>
      </c>
    </row>
    <row r="285" spans="85:117" x14ac:dyDescent="0.2">
      <c r="CG285" s="18"/>
      <c r="CM285" s="18"/>
      <c r="DK285" s="31" t="str">
        <f t="shared" si="12"/>
        <v xml:space="preserve">  </v>
      </c>
      <c r="DL285" s="25" t="str">
        <f t="shared" si="13"/>
        <v/>
      </c>
      <c r="DM285" s="25" t="str">
        <f>BasicInput!$D$13&amp;$DM$2&amp;B285&amp;"_"&amp;C285&amp;D285&amp;"_"&amp;BasicInput!$D$7&amp;BasicInput!$D$8&amp;"_"&amp;DL285&amp;".xuf"</f>
        <v>C:\PWWORKING\east01\d2591108\Weave\__2019EX_PM_.xuf</v>
      </c>
    </row>
    <row r="286" spans="85:117" x14ac:dyDescent="0.2">
      <c r="CG286" s="18"/>
      <c r="CM286" s="18"/>
      <c r="DK286" s="31" t="str">
        <f t="shared" si="12"/>
        <v xml:space="preserve">  </v>
      </c>
      <c r="DL286" s="25" t="str">
        <f t="shared" si="13"/>
        <v/>
      </c>
      <c r="DM286" s="25" t="str">
        <f>BasicInput!$D$13&amp;$DM$2&amp;B286&amp;"_"&amp;C286&amp;D286&amp;"_"&amp;BasicInput!$D$7&amp;BasicInput!$D$8&amp;"_"&amp;DL286&amp;".xuf"</f>
        <v>C:\PWWORKING\east01\d2591108\Weave\__2019EX_PM_.xuf</v>
      </c>
    </row>
    <row r="287" spans="85:117" x14ac:dyDescent="0.2">
      <c r="CG287" s="18"/>
      <c r="CM287" s="18"/>
      <c r="DK287" s="31" t="str">
        <f t="shared" si="12"/>
        <v xml:space="preserve">  </v>
      </c>
      <c r="DL287" s="25" t="str">
        <f t="shared" si="13"/>
        <v/>
      </c>
      <c r="DM287" s="25" t="str">
        <f>BasicInput!$D$13&amp;$DM$2&amp;B287&amp;"_"&amp;C287&amp;D287&amp;"_"&amp;BasicInput!$D$7&amp;BasicInput!$D$8&amp;"_"&amp;DL287&amp;".xuf"</f>
        <v>C:\PWWORKING\east01\d2591108\Weave\__2019EX_PM_.xuf</v>
      </c>
    </row>
    <row r="288" spans="85:117" x14ac:dyDescent="0.2">
      <c r="CG288" s="18"/>
      <c r="CM288" s="18"/>
      <c r="DK288" s="31" t="str">
        <f t="shared" si="12"/>
        <v xml:space="preserve">  </v>
      </c>
      <c r="DL288" s="25" t="str">
        <f t="shared" si="13"/>
        <v/>
      </c>
      <c r="DM288" s="25" t="str">
        <f>BasicInput!$D$13&amp;$DM$2&amp;B288&amp;"_"&amp;C288&amp;D288&amp;"_"&amp;BasicInput!$D$7&amp;BasicInput!$D$8&amp;"_"&amp;DL288&amp;".xuf"</f>
        <v>C:\PWWORKING\east01\d2591108\Weave\__2019EX_PM_.xuf</v>
      </c>
    </row>
    <row r="289" spans="85:117" x14ac:dyDescent="0.2">
      <c r="CG289" s="18"/>
      <c r="CM289" s="18"/>
      <c r="DK289" s="31" t="str">
        <f t="shared" si="12"/>
        <v xml:space="preserve">  </v>
      </c>
      <c r="DL289" s="25" t="str">
        <f t="shared" si="13"/>
        <v/>
      </c>
      <c r="DM289" s="25" t="str">
        <f>BasicInput!$D$13&amp;$DM$2&amp;B289&amp;"_"&amp;C289&amp;D289&amp;"_"&amp;BasicInput!$D$7&amp;BasicInput!$D$8&amp;"_"&amp;DL289&amp;".xuf"</f>
        <v>C:\PWWORKING\east01\d2591108\Weave\__2019EX_PM_.xuf</v>
      </c>
    </row>
    <row r="290" spans="85:117" x14ac:dyDescent="0.2">
      <c r="CG290" s="18"/>
      <c r="CM290" s="18"/>
      <c r="DK290" s="31" t="str">
        <f t="shared" si="12"/>
        <v xml:space="preserve">  </v>
      </c>
      <c r="DL290" s="25" t="str">
        <f t="shared" si="13"/>
        <v/>
      </c>
      <c r="DM290" s="25" t="str">
        <f>BasicInput!$D$13&amp;$DM$2&amp;B290&amp;"_"&amp;C290&amp;D290&amp;"_"&amp;BasicInput!$D$7&amp;BasicInput!$D$8&amp;"_"&amp;DL290&amp;".xuf"</f>
        <v>C:\PWWORKING\east01\d2591108\Weave\__2019EX_PM_.xuf</v>
      </c>
    </row>
    <row r="291" spans="85:117" x14ac:dyDescent="0.2">
      <c r="CG291" s="18"/>
      <c r="CM291" s="18"/>
      <c r="DK291" s="31" t="str">
        <f t="shared" si="12"/>
        <v xml:space="preserve">  </v>
      </c>
      <c r="DL291" s="25" t="str">
        <f t="shared" si="13"/>
        <v/>
      </c>
      <c r="DM291" s="25" t="str">
        <f>BasicInput!$D$13&amp;$DM$2&amp;B291&amp;"_"&amp;C291&amp;D291&amp;"_"&amp;BasicInput!$D$7&amp;BasicInput!$D$8&amp;"_"&amp;DL291&amp;".xuf"</f>
        <v>C:\PWWORKING\east01\d2591108\Weave\__2019EX_PM_.xuf</v>
      </c>
    </row>
    <row r="292" spans="85:117" x14ac:dyDescent="0.2">
      <c r="CG292" s="18"/>
      <c r="CM292" s="18"/>
      <c r="DK292" s="31" t="str">
        <f t="shared" si="12"/>
        <v xml:space="preserve">  </v>
      </c>
      <c r="DL292" s="25" t="str">
        <f t="shared" si="13"/>
        <v/>
      </c>
      <c r="DM292" s="25" t="str">
        <f>BasicInput!$D$13&amp;$DM$2&amp;B292&amp;"_"&amp;C292&amp;D292&amp;"_"&amp;BasicInput!$D$7&amp;BasicInput!$D$8&amp;"_"&amp;DL292&amp;".xuf"</f>
        <v>C:\PWWORKING\east01\d2591108\Weave\__2019EX_PM_.xuf</v>
      </c>
    </row>
    <row r="293" spans="85:117" x14ac:dyDescent="0.2">
      <c r="CG293" s="18"/>
      <c r="CM293" s="18"/>
      <c r="DK293" s="31" t="str">
        <f t="shared" si="12"/>
        <v xml:space="preserve">  </v>
      </c>
      <c r="DL293" s="25" t="str">
        <f t="shared" si="13"/>
        <v/>
      </c>
      <c r="DM293" s="25" t="str">
        <f>BasicInput!$D$13&amp;$DM$2&amp;B293&amp;"_"&amp;C293&amp;D293&amp;"_"&amp;BasicInput!$D$7&amp;BasicInput!$D$8&amp;"_"&amp;DL293&amp;".xuf"</f>
        <v>C:\PWWORKING\east01\d2591108\Weave\__2019EX_PM_.xuf</v>
      </c>
    </row>
    <row r="294" spans="85:117" x14ac:dyDescent="0.2">
      <c r="CG294" s="18"/>
      <c r="CM294" s="18"/>
      <c r="DK294" s="31" t="str">
        <f t="shared" si="12"/>
        <v xml:space="preserve">  </v>
      </c>
      <c r="DL294" s="25" t="str">
        <f t="shared" si="13"/>
        <v/>
      </c>
      <c r="DM294" s="25" t="str">
        <f>BasicInput!$D$13&amp;$DM$2&amp;B294&amp;"_"&amp;C294&amp;D294&amp;"_"&amp;BasicInput!$D$7&amp;BasicInput!$D$8&amp;"_"&amp;DL294&amp;".xuf"</f>
        <v>C:\PWWORKING\east01\d2591108\Weave\__2019EX_PM_.xuf</v>
      </c>
    </row>
    <row r="295" spans="85:117" x14ac:dyDescent="0.2">
      <c r="CG295" s="18"/>
      <c r="CM295" s="18"/>
      <c r="DK295" s="31" t="str">
        <f t="shared" si="12"/>
        <v xml:space="preserve">  </v>
      </c>
      <c r="DL295" s="25" t="str">
        <f t="shared" si="13"/>
        <v/>
      </c>
      <c r="DM295" s="25" t="str">
        <f>BasicInput!$D$13&amp;$DM$2&amp;B295&amp;"_"&amp;C295&amp;D295&amp;"_"&amp;BasicInput!$D$7&amp;BasicInput!$D$8&amp;"_"&amp;DL295&amp;".xuf"</f>
        <v>C:\PWWORKING\east01\d2591108\Weave\__2019EX_PM_.xuf</v>
      </c>
    </row>
    <row r="296" spans="85:117" x14ac:dyDescent="0.2">
      <c r="CG296" s="18"/>
      <c r="CM296" s="18"/>
      <c r="DK296" s="31" t="str">
        <f t="shared" si="12"/>
        <v xml:space="preserve">  </v>
      </c>
      <c r="DL296" s="25" t="str">
        <f t="shared" si="13"/>
        <v/>
      </c>
      <c r="DM296" s="25" t="str">
        <f>BasicInput!$D$13&amp;$DM$2&amp;B296&amp;"_"&amp;C296&amp;D296&amp;"_"&amp;BasicInput!$D$7&amp;BasicInput!$D$8&amp;"_"&amp;DL296&amp;".xuf"</f>
        <v>C:\PWWORKING\east01\d2591108\Weave\__2019EX_PM_.xuf</v>
      </c>
    </row>
    <row r="297" spans="85:117" x14ac:dyDescent="0.2">
      <c r="CG297" s="18"/>
      <c r="CM297" s="18"/>
      <c r="DK297" s="31" t="str">
        <f t="shared" si="12"/>
        <v xml:space="preserve">  </v>
      </c>
      <c r="DL297" s="25" t="str">
        <f t="shared" si="13"/>
        <v/>
      </c>
      <c r="DM297" s="25" t="str">
        <f>BasicInput!$D$13&amp;$DM$2&amp;B297&amp;"_"&amp;C297&amp;D297&amp;"_"&amp;BasicInput!$D$7&amp;BasicInput!$D$8&amp;"_"&amp;DL297&amp;".xuf"</f>
        <v>C:\PWWORKING\east01\d2591108\Weave\__2019EX_PM_.xuf</v>
      </c>
    </row>
    <row r="298" spans="85:117" x14ac:dyDescent="0.2">
      <c r="CG298" s="18"/>
      <c r="CM298" s="18"/>
      <c r="DK298" s="31" t="str">
        <f t="shared" si="12"/>
        <v xml:space="preserve">  </v>
      </c>
      <c r="DL298" s="25" t="str">
        <f t="shared" si="13"/>
        <v/>
      </c>
      <c r="DM298" s="25" t="str">
        <f>BasicInput!$D$13&amp;$DM$2&amp;B298&amp;"_"&amp;C298&amp;D298&amp;"_"&amp;BasicInput!$D$7&amp;BasicInput!$D$8&amp;"_"&amp;DL298&amp;".xuf"</f>
        <v>C:\PWWORKING\east01\d2591108\Weave\__2019EX_PM_.xuf</v>
      </c>
    </row>
    <row r="299" spans="85:117" x14ac:dyDescent="0.2">
      <c r="CG299" s="18"/>
      <c r="CM299" s="18"/>
      <c r="DK299" s="31" t="str">
        <f t="shared" si="12"/>
        <v xml:space="preserve">  </v>
      </c>
      <c r="DL299" s="25" t="str">
        <f t="shared" si="13"/>
        <v/>
      </c>
      <c r="DM299" s="25" t="str">
        <f>BasicInput!$D$13&amp;$DM$2&amp;B299&amp;"_"&amp;C299&amp;D299&amp;"_"&amp;BasicInput!$D$7&amp;BasicInput!$D$8&amp;"_"&amp;DL299&amp;".xuf"</f>
        <v>C:\PWWORKING\east01\d2591108\Weave\__2019EX_PM_.xuf</v>
      </c>
    </row>
    <row r="300" spans="85:117" x14ac:dyDescent="0.2">
      <c r="CG300" s="18"/>
      <c r="CM300" s="18"/>
      <c r="DK300" s="31" t="str">
        <f t="shared" si="12"/>
        <v xml:space="preserve">  </v>
      </c>
      <c r="DL300" s="25" t="str">
        <f t="shared" si="13"/>
        <v/>
      </c>
      <c r="DM300" s="25" t="str">
        <f>BasicInput!$D$13&amp;$DM$2&amp;B300&amp;"_"&amp;C300&amp;D300&amp;"_"&amp;BasicInput!$D$7&amp;BasicInput!$D$8&amp;"_"&amp;DL300&amp;".xuf"</f>
        <v>C:\PWWORKING\east01\d2591108\Weave\__2019EX_PM_.xuf</v>
      </c>
    </row>
    <row r="301" spans="85:117" x14ac:dyDescent="0.2">
      <c r="CG301" s="18"/>
      <c r="CM301" s="18"/>
      <c r="DK301" s="31" t="str">
        <f t="shared" si="12"/>
        <v xml:space="preserve">  </v>
      </c>
      <c r="DL301" s="25" t="str">
        <f t="shared" si="13"/>
        <v/>
      </c>
      <c r="DM301" s="25" t="str">
        <f>BasicInput!$D$13&amp;$DM$2&amp;B301&amp;"_"&amp;C301&amp;D301&amp;"_"&amp;BasicInput!$D$7&amp;BasicInput!$D$8&amp;"_"&amp;DL301&amp;".xuf"</f>
        <v>C:\PWWORKING\east01\d2591108\Weave\__2019EX_PM_.xuf</v>
      </c>
    </row>
    <row r="302" spans="85:117" x14ac:dyDescent="0.2">
      <c r="CG302" s="18"/>
      <c r="CM302" s="18"/>
      <c r="DK302" s="31" t="str">
        <f t="shared" si="12"/>
        <v xml:space="preserve">  </v>
      </c>
      <c r="DL302" s="25" t="str">
        <f t="shared" si="13"/>
        <v/>
      </c>
      <c r="DM302" s="25" t="str">
        <f>BasicInput!$D$13&amp;$DM$2&amp;B302&amp;"_"&amp;C302&amp;D302&amp;"_"&amp;BasicInput!$D$7&amp;BasicInput!$D$8&amp;"_"&amp;DL302&amp;".xuf"</f>
        <v>C:\PWWORKING\east01\d2591108\Weave\__2019EX_PM_.xuf</v>
      </c>
    </row>
    <row r="303" spans="85:117" x14ac:dyDescent="0.2">
      <c r="CG303" s="18"/>
      <c r="CM303" s="18"/>
      <c r="DK303" s="31" t="str">
        <f t="shared" si="12"/>
        <v xml:space="preserve">  </v>
      </c>
      <c r="DL303" s="25" t="str">
        <f t="shared" si="13"/>
        <v/>
      </c>
      <c r="DM303" s="25" t="str">
        <f>BasicInput!$D$13&amp;$DM$2&amp;B303&amp;"_"&amp;C303&amp;D303&amp;"_"&amp;BasicInput!$D$7&amp;BasicInput!$D$8&amp;"_"&amp;DL303&amp;".xuf"</f>
        <v>C:\PWWORKING\east01\d2591108\Weave\__2019EX_PM_.xuf</v>
      </c>
    </row>
    <row r="304" spans="85:117" x14ac:dyDescent="0.2">
      <c r="CG304" s="18"/>
      <c r="CM304" s="18"/>
      <c r="DK304" s="31" t="str">
        <f t="shared" si="12"/>
        <v xml:space="preserve">  </v>
      </c>
      <c r="DL304" s="25" t="str">
        <f t="shared" si="13"/>
        <v/>
      </c>
      <c r="DM304" s="25" t="str">
        <f>BasicInput!$D$13&amp;$DM$2&amp;B304&amp;"_"&amp;C304&amp;D304&amp;"_"&amp;BasicInput!$D$7&amp;BasicInput!$D$8&amp;"_"&amp;DL304&amp;".xuf"</f>
        <v>C:\PWWORKING\east01\d2591108\Weave\__2019EX_PM_.xuf</v>
      </c>
    </row>
    <row r="305" spans="85:117" x14ac:dyDescent="0.2">
      <c r="CG305" s="18"/>
      <c r="CM305" s="18"/>
      <c r="DK305" s="31" t="str">
        <f t="shared" si="12"/>
        <v xml:space="preserve">  </v>
      </c>
      <c r="DL305" s="25" t="str">
        <f t="shared" si="13"/>
        <v/>
      </c>
      <c r="DM305" s="25" t="str">
        <f>BasicInput!$D$13&amp;$DM$2&amp;B305&amp;"_"&amp;C305&amp;D305&amp;"_"&amp;BasicInput!$D$7&amp;BasicInput!$D$8&amp;"_"&amp;DL305&amp;".xuf"</f>
        <v>C:\PWWORKING\east01\d2591108\Weave\__2019EX_PM_.xuf</v>
      </c>
    </row>
    <row r="306" spans="85:117" x14ac:dyDescent="0.2">
      <c r="CG306" s="18"/>
      <c r="CM306" s="18"/>
      <c r="DK306" s="31" t="str">
        <f t="shared" si="12"/>
        <v xml:space="preserve">  </v>
      </c>
      <c r="DL306" s="25" t="str">
        <f t="shared" si="13"/>
        <v/>
      </c>
      <c r="DM306" s="25" t="str">
        <f>BasicInput!$D$13&amp;$DM$2&amp;B306&amp;"_"&amp;C306&amp;D306&amp;"_"&amp;BasicInput!$D$7&amp;BasicInput!$D$8&amp;"_"&amp;DL306&amp;".xuf"</f>
        <v>C:\PWWORKING\east01\d2591108\Weave\__2019EX_PM_.xuf</v>
      </c>
    </row>
    <row r="307" spans="85:117" x14ac:dyDescent="0.2">
      <c r="CG307" s="18"/>
      <c r="CM307" s="18"/>
      <c r="DK307" s="31" t="str">
        <f t="shared" si="12"/>
        <v xml:space="preserve">  </v>
      </c>
      <c r="DL307" s="25" t="str">
        <f t="shared" si="13"/>
        <v/>
      </c>
      <c r="DM307" s="25" t="str">
        <f>BasicInput!$D$13&amp;$DM$2&amp;B307&amp;"_"&amp;C307&amp;D307&amp;"_"&amp;BasicInput!$D$7&amp;BasicInput!$D$8&amp;"_"&amp;DL307&amp;".xuf"</f>
        <v>C:\PWWORKING\east01\d2591108\Weave\__2019EX_PM_.xuf</v>
      </c>
    </row>
    <row r="308" spans="85:117" x14ac:dyDescent="0.2">
      <c r="CG308" s="18"/>
      <c r="CM308" s="18"/>
      <c r="DK308" s="31" t="str">
        <f t="shared" si="12"/>
        <v xml:space="preserve">  </v>
      </c>
      <c r="DL308" s="25" t="str">
        <f t="shared" si="13"/>
        <v/>
      </c>
      <c r="DM308" s="25" t="str">
        <f>BasicInput!$D$13&amp;$DM$2&amp;B308&amp;"_"&amp;C308&amp;D308&amp;"_"&amp;BasicInput!$D$7&amp;BasicInput!$D$8&amp;"_"&amp;DL308&amp;".xuf"</f>
        <v>C:\PWWORKING\east01\d2591108\Weave\__2019EX_PM_.xuf</v>
      </c>
    </row>
    <row r="309" spans="85:117" x14ac:dyDescent="0.2">
      <c r="CG309" s="18"/>
      <c r="CM309" s="18"/>
      <c r="DK309" s="31" t="str">
        <f t="shared" si="12"/>
        <v xml:space="preserve">  </v>
      </c>
      <c r="DL309" s="25" t="str">
        <f t="shared" si="13"/>
        <v/>
      </c>
      <c r="DM309" s="25" t="str">
        <f>BasicInput!$D$13&amp;$DM$2&amp;B309&amp;"_"&amp;C309&amp;D309&amp;"_"&amp;BasicInput!$D$7&amp;BasicInput!$D$8&amp;"_"&amp;DL309&amp;".xuf"</f>
        <v>C:\PWWORKING\east01\d2591108\Weave\__2019EX_PM_.xuf</v>
      </c>
    </row>
    <row r="310" spans="85:117" x14ac:dyDescent="0.2">
      <c r="CG310" s="18"/>
      <c r="CM310" s="18"/>
      <c r="DK310" s="31" t="str">
        <f t="shared" si="12"/>
        <v xml:space="preserve">  </v>
      </c>
      <c r="DL310" s="25" t="str">
        <f t="shared" si="13"/>
        <v/>
      </c>
      <c r="DM310" s="25" t="str">
        <f>BasicInput!$D$13&amp;$DM$2&amp;B310&amp;"_"&amp;C310&amp;D310&amp;"_"&amp;BasicInput!$D$7&amp;BasicInput!$D$8&amp;"_"&amp;DL310&amp;".xuf"</f>
        <v>C:\PWWORKING\east01\d2591108\Weave\__2019EX_PM_.xuf</v>
      </c>
    </row>
    <row r="311" spans="85:117" x14ac:dyDescent="0.2">
      <c r="CG311" s="18"/>
      <c r="CM311" s="18"/>
      <c r="DK311" s="31" t="str">
        <f t="shared" si="12"/>
        <v xml:space="preserve">  </v>
      </c>
      <c r="DL311" s="25" t="str">
        <f t="shared" si="13"/>
        <v/>
      </c>
      <c r="DM311" s="25" t="str">
        <f>BasicInput!$D$13&amp;$DM$2&amp;B311&amp;"_"&amp;C311&amp;D311&amp;"_"&amp;BasicInput!$D$7&amp;BasicInput!$D$8&amp;"_"&amp;DL311&amp;".xuf"</f>
        <v>C:\PWWORKING\east01\d2591108\Weave\__2019EX_PM_.xuf</v>
      </c>
    </row>
    <row r="312" spans="85:117" x14ac:dyDescent="0.2">
      <c r="CG312" s="18"/>
      <c r="CM312" s="18"/>
      <c r="DK312" s="31" t="str">
        <f t="shared" si="12"/>
        <v xml:space="preserve">  </v>
      </c>
      <c r="DL312" s="25" t="str">
        <f t="shared" si="13"/>
        <v/>
      </c>
      <c r="DM312" s="25" t="str">
        <f>BasicInput!$D$13&amp;$DM$2&amp;B312&amp;"_"&amp;C312&amp;D312&amp;"_"&amp;BasicInput!$D$7&amp;BasicInput!$D$8&amp;"_"&amp;DL312&amp;".xuf"</f>
        <v>C:\PWWORKING\east01\d2591108\Weave\__2019EX_PM_.xuf</v>
      </c>
    </row>
    <row r="313" spans="85:117" x14ac:dyDescent="0.2">
      <c r="CG313" s="18"/>
      <c r="CM313" s="18"/>
      <c r="DK313" s="31" t="str">
        <f t="shared" si="12"/>
        <v xml:space="preserve">  </v>
      </c>
      <c r="DL313" s="25" t="str">
        <f t="shared" si="13"/>
        <v/>
      </c>
      <c r="DM313" s="25" t="str">
        <f>BasicInput!$D$13&amp;$DM$2&amp;B313&amp;"_"&amp;C313&amp;D313&amp;"_"&amp;BasicInput!$D$7&amp;BasicInput!$D$8&amp;"_"&amp;DL313&amp;".xuf"</f>
        <v>C:\PWWORKING\east01\d2591108\Weave\__2019EX_PM_.xuf</v>
      </c>
    </row>
    <row r="314" spans="85:117" x14ac:dyDescent="0.2">
      <c r="CG314" s="18"/>
      <c r="CM314" s="18"/>
      <c r="DK314" s="31" t="str">
        <f t="shared" si="12"/>
        <v xml:space="preserve">  </v>
      </c>
      <c r="DL314" s="25" t="str">
        <f t="shared" si="13"/>
        <v/>
      </c>
      <c r="DM314" s="25" t="str">
        <f>BasicInput!$D$13&amp;$DM$2&amp;B314&amp;"_"&amp;C314&amp;D314&amp;"_"&amp;BasicInput!$D$7&amp;BasicInput!$D$8&amp;"_"&amp;DL314&amp;".xuf"</f>
        <v>C:\PWWORKING\east01\d2591108\Weave\__2019EX_PM_.xuf</v>
      </c>
    </row>
    <row r="315" spans="85:117" x14ac:dyDescent="0.2">
      <c r="CG315" s="18"/>
      <c r="CM315" s="18"/>
      <c r="DK315" s="31" t="str">
        <f t="shared" si="12"/>
        <v xml:space="preserve">  </v>
      </c>
      <c r="DL315" s="25" t="str">
        <f t="shared" si="13"/>
        <v/>
      </c>
      <c r="DM315" s="25" t="str">
        <f>BasicInput!$D$13&amp;$DM$2&amp;B315&amp;"_"&amp;C315&amp;D315&amp;"_"&amp;BasicInput!$D$7&amp;BasicInput!$D$8&amp;"_"&amp;DL315&amp;".xuf"</f>
        <v>C:\PWWORKING\east01\d2591108\Weave\__2019EX_PM_.xuf</v>
      </c>
    </row>
    <row r="316" spans="85:117" x14ac:dyDescent="0.2">
      <c r="CG316" s="18"/>
      <c r="CM316" s="18"/>
      <c r="DK316" s="31" t="str">
        <f t="shared" si="12"/>
        <v xml:space="preserve">  </v>
      </c>
      <c r="DL316" s="25" t="str">
        <f t="shared" si="13"/>
        <v/>
      </c>
      <c r="DM316" s="25" t="str">
        <f>BasicInput!$D$13&amp;$DM$2&amp;B316&amp;"_"&amp;C316&amp;D316&amp;"_"&amp;BasicInput!$D$7&amp;BasicInput!$D$8&amp;"_"&amp;DL316&amp;".xuf"</f>
        <v>C:\PWWORKING\east01\d2591108\Weave\__2019EX_PM_.xuf</v>
      </c>
    </row>
    <row r="317" spans="85:117" x14ac:dyDescent="0.2">
      <c r="CG317" s="18"/>
      <c r="CM317" s="18"/>
      <c r="DK317" s="31" t="str">
        <f t="shared" si="12"/>
        <v xml:space="preserve">  </v>
      </c>
      <c r="DL317" s="25" t="str">
        <f t="shared" si="13"/>
        <v/>
      </c>
      <c r="DM317" s="25" t="str">
        <f>BasicInput!$D$13&amp;$DM$2&amp;B317&amp;"_"&amp;C317&amp;D317&amp;"_"&amp;BasicInput!$D$7&amp;BasicInput!$D$8&amp;"_"&amp;DL317&amp;".xuf"</f>
        <v>C:\PWWORKING\east01\d2591108\Weave\__2019EX_PM_.xuf</v>
      </c>
    </row>
    <row r="318" spans="85:117" x14ac:dyDescent="0.2">
      <c r="CG318" s="18"/>
      <c r="CM318" s="18"/>
      <c r="DK318" s="31" t="str">
        <f t="shared" si="12"/>
        <v xml:space="preserve">  </v>
      </c>
      <c r="DL318" s="25" t="str">
        <f t="shared" si="13"/>
        <v/>
      </c>
      <c r="DM318" s="25" t="str">
        <f>BasicInput!$D$13&amp;$DM$2&amp;B318&amp;"_"&amp;C318&amp;D318&amp;"_"&amp;BasicInput!$D$7&amp;BasicInput!$D$8&amp;"_"&amp;DL318&amp;".xuf"</f>
        <v>C:\PWWORKING\east01\d2591108\Weave\__2019EX_PM_.xuf</v>
      </c>
    </row>
    <row r="319" spans="85:117" x14ac:dyDescent="0.2">
      <c r="CG319" s="18"/>
      <c r="CM319" s="18"/>
      <c r="DK319" s="31" t="str">
        <f t="shared" si="12"/>
        <v xml:space="preserve">  </v>
      </c>
      <c r="DL319" s="25" t="str">
        <f t="shared" si="13"/>
        <v/>
      </c>
      <c r="DM319" s="25" t="str">
        <f>BasicInput!$D$13&amp;$DM$2&amp;B319&amp;"_"&amp;C319&amp;D319&amp;"_"&amp;BasicInput!$D$7&amp;BasicInput!$D$8&amp;"_"&amp;DL319&amp;".xuf"</f>
        <v>C:\PWWORKING\east01\d2591108\Weave\__2019EX_PM_.xuf</v>
      </c>
    </row>
    <row r="320" spans="85:117" x14ac:dyDescent="0.2">
      <c r="CG320" s="18"/>
      <c r="CM320" s="18"/>
      <c r="DK320" s="31" t="str">
        <f t="shared" si="12"/>
        <v xml:space="preserve">  </v>
      </c>
      <c r="DL320" s="25" t="str">
        <f t="shared" si="13"/>
        <v/>
      </c>
      <c r="DM320" s="25" t="str">
        <f>BasicInput!$D$13&amp;$DM$2&amp;B320&amp;"_"&amp;C320&amp;D320&amp;"_"&amp;BasicInput!$D$7&amp;BasicInput!$D$8&amp;"_"&amp;DL320&amp;".xuf"</f>
        <v>C:\PWWORKING\east01\d2591108\Weave\__2019EX_PM_.xuf</v>
      </c>
    </row>
    <row r="321" spans="85:117" x14ac:dyDescent="0.2">
      <c r="CG321" s="18"/>
      <c r="CM321" s="18"/>
      <c r="DK321" s="31" t="str">
        <f t="shared" si="12"/>
        <v xml:space="preserve">  </v>
      </c>
      <c r="DL321" s="25" t="str">
        <f t="shared" si="13"/>
        <v/>
      </c>
      <c r="DM321" s="25" t="str">
        <f>BasicInput!$D$13&amp;$DM$2&amp;B321&amp;"_"&amp;C321&amp;D321&amp;"_"&amp;BasicInput!$D$7&amp;BasicInput!$D$8&amp;"_"&amp;DL321&amp;".xuf"</f>
        <v>C:\PWWORKING\east01\d2591108\Weave\__2019EX_PM_.xuf</v>
      </c>
    </row>
    <row r="322" spans="85:117" x14ac:dyDescent="0.2">
      <c r="CG322" s="18"/>
      <c r="CM322" s="18"/>
      <c r="DK322" s="31" t="str">
        <f t="shared" si="12"/>
        <v xml:space="preserve">  </v>
      </c>
      <c r="DL322" s="25" t="str">
        <f t="shared" si="13"/>
        <v/>
      </c>
      <c r="DM322" s="25" t="str">
        <f>BasicInput!$D$13&amp;$DM$2&amp;B322&amp;"_"&amp;C322&amp;D322&amp;"_"&amp;BasicInput!$D$7&amp;BasicInput!$D$8&amp;"_"&amp;DL322&amp;".xuf"</f>
        <v>C:\PWWORKING\east01\d2591108\Weave\__2019EX_PM_.xuf</v>
      </c>
    </row>
    <row r="323" spans="85:117" x14ac:dyDescent="0.2">
      <c r="CG323" s="18"/>
      <c r="CM323" s="18"/>
      <c r="DK323" s="31" t="str">
        <f t="shared" si="12"/>
        <v xml:space="preserve">  </v>
      </c>
      <c r="DL323" s="25" t="str">
        <f t="shared" si="13"/>
        <v/>
      </c>
      <c r="DM323" s="25" t="str">
        <f>BasicInput!$D$13&amp;$DM$2&amp;B323&amp;"_"&amp;C323&amp;D323&amp;"_"&amp;BasicInput!$D$7&amp;BasicInput!$D$8&amp;"_"&amp;DL323&amp;".xuf"</f>
        <v>C:\PWWORKING\east01\d2591108\Weave\__2019EX_PM_.xuf</v>
      </c>
    </row>
    <row r="324" spans="85:117" x14ac:dyDescent="0.2">
      <c r="CG324" s="18"/>
      <c r="CM324" s="18"/>
      <c r="DK324" s="31" t="str">
        <f t="shared" si="12"/>
        <v xml:space="preserve">  </v>
      </c>
      <c r="DL324" s="25" t="str">
        <f t="shared" si="13"/>
        <v/>
      </c>
      <c r="DM324" s="25" t="str">
        <f>BasicInput!$D$13&amp;$DM$2&amp;B324&amp;"_"&amp;C324&amp;D324&amp;"_"&amp;BasicInput!$D$7&amp;BasicInput!$D$8&amp;"_"&amp;DL324&amp;".xuf"</f>
        <v>C:\PWWORKING\east01\d2591108\Weave\__2019EX_PM_.xuf</v>
      </c>
    </row>
    <row r="325" spans="85:117" x14ac:dyDescent="0.2">
      <c r="CG325" s="18"/>
      <c r="CM325" s="18"/>
      <c r="DK325" s="31" t="str">
        <f t="shared" si="12"/>
        <v xml:space="preserve">  </v>
      </c>
      <c r="DL325" s="25" t="str">
        <f t="shared" si="13"/>
        <v/>
      </c>
      <c r="DM325" s="25" t="str">
        <f>BasicInput!$D$13&amp;$DM$2&amp;B325&amp;"_"&amp;C325&amp;D325&amp;"_"&amp;BasicInput!$D$7&amp;BasicInput!$D$8&amp;"_"&amp;DL325&amp;".xuf"</f>
        <v>C:\PWWORKING\east01\d2591108\Weave\__2019EX_PM_.xuf</v>
      </c>
    </row>
    <row r="326" spans="85:117" x14ac:dyDescent="0.2">
      <c r="CG326" s="18"/>
      <c r="CM326" s="18"/>
      <c r="DK326" s="31" t="str">
        <f t="shared" si="12"/>
        <v xml:space="preserve">  </v>
      </c>
      <c r="DL326" s="25" t="str">
        <f t="shared" si="13"/>
        <v/>
      </c>
      <c r="DM326" s="25" t="str">
        <f>BasicInput!$D$13&amp;$DM$2&amp;B326&amp;"_"&amp;C326&amp;D326&amp;"_"&amp;BasicInput!$D$7&amp;BasicInput!$D$8&amp;"_"&amp;DL326&amp;".xuf"</f>
        <v>C:\PWWORKING\east01\d2591108\Weave\__2019EX_PM_.xuf</v>
      </c>
    </row>
    <row r="327" spans="85:117" x14ac:dyDescent="0.2">
      <c r="CG327" s="18"/>
      <c r="CM327" s="18"/>
      <c r="DK327" s="31" t="str">
        <f t="shared" si="12"/>
        <v xml:space="preserve">  </v>
      </c>
      <c r="DL327" s="25" t="str">
        <f t="shared" si="13"/>
        <v/>
      </c>
      <c r="DM327" s="25" t="str">
        <f>BasicInput!$D$13&amp;$DM$2&amp;B327&amp;"_"&amp;C327&amp;D327&amp;"_"&amp;BasicInput!$D$7&amp;BasicInput!$D$8&amp;"_"&amp;DL327&amp;".xuf"</f>
        <v>C:\PWWORKING\east01\d2591108\Weave\__2019EX_PM_.xuf</v>
      </c>
    </row>
    <row r="328" spans="85:117" x14ac:dyDescent="0.2">
      <c r="CG328" s="18"/>
      <c r="CM328" s="18"/>
      <c r="DK328" s="31" t="str">
        <f t="shared" si="12"/>
        <v xml:space="preserve">  </v>
      </c>
      <c r="DL328" s="25" t="str">
        <f t="shared" si="13"/>
        <v/>
      </c>
      <c r="DM328" s="25" t="str">
        <f>BasicInput!$D$13&amp;$DM$2&amp;B328&amp;"_"&amp;C328&amp;D328&amp;"_"&amp;BasicInput!$D$7&amp;BasicInput!$D$8&amp;"_"&amp;DL328&amp;".xuf"</f>
        <v>C:\PWWORKING\east01\d2591108\Weave\__2019EX_PM_.xuf</v>
      </c>
    </row>
    <row r="329" spans="85:117" x14ac:dyDescent="0.2">
      <c r="CG329" s="18"/>
      <c r="CM329" s="18"/>
      <c r="DK329" s="31" t="str">
        <f t="shared" si="12"/>
        <v xml:space="preserve">  </v>
      </c>
      <c r="DL329" s="25" t="str">
        <f t="shared" si="13"/>
        <v/>
      </c>
      <c r="DM329" s="25" t="str">
        <f>BasicInput!$D$13&amp;$DM$2&amp;B329&amp;"_"&amp;C329&amp;D329&amp;"_"&amp;BasicInput!$D$7&amp;BasicInput!$D$8&amp;"_"&amp;DL329&amp;".xuf"</f>
        <v>C:\PWWORKING\east01\d2591108\Weave\__2019EX_PM_.xuf</v>
      </c>
    </row>
    <row r="330" spans="85:117" x14ac:dyDescent="0.2">
      <c r="CG330" s="18"/>
      <c r="CM330" s="18"/>
      <c r="DK330" s="31" t="str">
        <f t="shared" si="12"/>
        <v xml:space="preserve">  </v>
      </c>
      <c r="DL330" s="25" t="str">
        <f t="shared" si="13"/>
        <v/>
      </c>
      <c r="DM330" s="25" t="str">
        <f>BasicInput!$D$13&amp;$DM$2&amp;B330&amp;"_"&amp;C330&amp;D330&amp;"_"&amp;BasicInput!$D$7&amp;BasicInput!$D$8&amp;"_"&amp;DL330&amp;".xuf"</f>
        <v>C:\PWWORKING\east01\d2591108\Weave\__2019EX_PM_.xuf</v>
      </c>
    </row>
    <row r="331" spans="85:117" x14ac:dyDescent="0.2">
      <c r="CG331" s="18"/>
      <c r="CM331" s="18"/>
      <c r="DK331" s="31" t="str">
        <f t="shared" si="12"/>
        <v xml:space="preserve">  </v>
      </c>
      <c r="DL331" s="25" t="str">
        <f t="shared" si="13"/>
        <v/>
      </c>
      <c r="DM331" s="25" t="str">
        <f>BasicInput!$D$13&amp;$DM$2&amp;B331&amp;"_"&amp;C331&amp;D331&amp;"_"&amp;BasicInput!$D$7&amp;BasicInput!$D$8&amp;"_"&amp;DL331&amp;".xuf"</f>
        <v>C:\PWWORKING\east01\d2591108\Weave\__2019EX_PM_.xuf</v>
      </c>
    </row>
    <row r="332" spans="85:117" x14ac:dyDescent="0.2">
      <c r="CG332" s="18"/>
      <c r="CM332" s="18"/>
      <c r="DK332" s="31" t="str">
        <f t="shared" ref="DK332:DK395" si="14">C332&amp; " "&amp;D332&amp;" " &amp;E332</f>
        <v xml:space="preserve">  </v>
      </c>
      <c r="DL332" s="25" t="str">
        <f t="shared" ref="DL332:DL395" si="15">TRIM(LEFT(E332, 30))</f>
        <v/>
      </c>
      <c r="DM332" s="25" t="str">
        <f>BasicInput!$D$13&amp;$DM$2&amp;B332&amp;"_"&amp;C332&amp;D332&amp;"_"&amp;BasicInput!$D$7&amp;BasicInput!$D$8&amp;"_"&amp;DL332&amp;".xuf"</f>
        <v>C:\PWWORKING\east01\d2591108\Weave\__2019EX_PM_.xuf</v>
      </c>
    </row>
    <row r="333" spans="85:117" x14ac:dyDescent="0.2">
      <c r="CG333" s="18"/>
      <c r="CM333" s="18"/>
      <c r="DK333" s="31" t="str">
        <f t="shared" si="14"/>
        <v xml:space="preserve">  </v>
      </c>
      <c r="DL333" s="25" t="str">
        <f t="shared" si="15"/>
        <v/>
      </c>
      <c r="DM333" s="25" t="str">
        <f>BasicInput!$D$13&amp;$DM$2&amp;B333&amp;"_"&amp;C333&amp;D333&amp;"_"&amp;BasicInput!$D$7&amp;BasicInput!$D$8&amp;"_"&amp;DL333&amp;".xuf"</f>
        <v>C:\PWWORKING\east01\d2591108\Weave\__2019EX_PM_.xuf</v>
      </c>
    </row>
    <row r="334" spans="85:117" x14ac:dyDescent="0.2">
      <c r="CG334" s="18"/>
      <c r="CM334" s="18"/>
      <c r="DK334" s="31" t="str">
        <f t="shared" si="14"/>
        <v xml:space="preserve">  </v>
      </c>
      <c r="DL334" s="25" t="str">
        <f t="shared" si="15"/>
        <v/>
      </c>
      <c r="DM334" s="25" t="str">
        <f>BasicInput!$D$13&amp;$DM$2&amp;B334&amp;"_"&amp;C334&amp;D334&amp;"_"&amp;BasicInput!$D$7&amp;BasicInput!$D$8&amp;"_"&amp;DL334&amp;".xuf"</f>
        <v>C:\PWWORKING\east01\d2591108\Weave\__2019EX_PM_.xuf</v>
      </c>
    </row>
    <row r="335" spans="85:117" x14ac:dyDescent="0.2">
      <c r="CG335" s="18"/>
      <c r="CM335" s="18"/>
      <c r="DK335" s="31" t="str">
        <f t="shared" si="14"/>
        <v xml:space="preserve">  </v>
      </c>
      <c r="DL335" s="25" t="str">
        <f t="shared" si="15"/>
        <v/>
      </c>
      <c r="DM335" s="25" t="str">
        <f>BasicInput!$D$13&amp;$DM$2&amp;B335&amp;"_"&amp;C335&amp;D335&amp;"_"&amp;BasicInput!$D$7&amp;BasicInput!$D$8&amp;"_"&amp;DL335&amp;".xuf"</f>
        <v>C:\PWWORKING\east01\d2591108\Weave\__2019EX_PM_.xuf</v>
      </c>
    </row>
    <row r="336" spans="85:117" x14ac:dyDescent="0.2">
      <c r="CG336" s="18"/>
      <c r="CM336" s="18"/>
      <c r="DK336" s="31" t="str">
        <f t="shared" si="14"/>
        <v xml:space="preserve">  </v>
      </c>
      <c r="DL336" s="25" t="str">
        <f t="shared" si="15"/>
        <v/>
      </c>
      <c r="DM336" s="25" t="str">
        <f>BasicInput!$D$13&amp;$DM$2&amp;B336&amp;"_"&amp;C336&amp;D336&amp;"_"&amp;BasicInput!$D$7&amp;BasicInput!$D$8&amp;"_"&amp;DL336&amp;".xuf"</f>
        <v>C:\PWWORKING\east01\d2591108\Weave\__2019EX_PM_.xuf</v>
      </c>
    </row>
    <row r="337" spans="85:117" x14ac:dyDescent="0.2">
      <c r="CG337" s="18"/>
      <c r="CM337" s="18"/>
      <c r="DK337" s="31" t="str">
        <f t="shared" si="14"/>
        <v xml:space="preserve">  </v>
      </c>
      <c r="DL337" s="25" t="str">
        <f t="shared" si="15"/>
        <v/>
      </c>
      <c r="DM337" s="25" t="str">
        <f>BasicInput!$D$13&amp;$DM$2&amp;B337&amp;"_"&amp;C337&amp;D337&amp;"_"&amp;BasicInput!$D$7&amp;BasicInput!$D$8&amp;"_"&amp;DL337&amp;".xuf"</f>
        <v>C:\PWWORKING\east01\d2591108\Weave\__2019EX_PM_.xuf</v>
      </c>
    </row>
    <row r="338" spans="85:117" x14ac:dyDescent="0.2">
      <c r="CG338" s="18"/>
      <c r="CM338" s="18"/>
      <c r="DK338" s="31" t="str">
        <f t="shared" si="14"/>
        <v xml:space="preserve">  </v>
      </c>
      <c r="DL338" s="25" t="str">
        <f t="shared" si="15"/>
        <v/>
      </c>
      <c r="DM338" s="25" t="str">
        <f>BasicInput!$D$13&amp;$DM$2&amp;B338&amp;"_"&amp;C338&amp;D338&amp;"_"&amp;BasicInput!$D$7&amp;BasicInput!$D$8&amp;"_"&amp;DL338&amp;".xuf"</f>
        <v>C:\PWWORKING\east01\d2591108\Weave\__2019EX_PM_.xuf</v>
      </c>
    </row>
    <row r="339" spans="85:117" x14ac:dyDescent="0.2">
      <c r="CG339" s="18"/>
      <c r="CM339" s="18"/>
      <c r="DK339" s="31" t="str">
        <f t="shared" si="14"/>
        <v xml:space="preserve">  </v>
      </c>
      <c r="DL339" s="25" t="str">
        <f t="shared" si="15"/>
        <v/>
      </c>
      <c r="DM339" s="25" t="str">
        <f>BasicInput!$D$13&amp;$DM$2&amp;B339&amp;"_"&amp;C339&amp;D339&amp;"_"&amp;BasicInput!$D$7&amp;BasicInput!$D$8&amp;"_"&amp;DL339&amp;".xuf"</f>
        <v>C:\PWWORKING\east01\d2591108\Weave\__2019EX_PM_.xuf</v>
      </c>
    </row>
    <row r="340" spans="85:117" x14ac:dyDescent="0.2">
      <c r="CG340" s="18"/>
      <c r="CM340" s="18"/>
      <c r="DK340" s="31" t="str">
        <f t="shared" si="14"/>
        <v xml:space="preserve">  </v>
      </c>
      <c r="DL340" s="25" t="str">
        <f t="shared" si="15"/>
        <v/>
      </c>
      <c r="DM340" s="25" t="str">
        <f>BasicInput!$D$13&amp;$DM$2&amp;B340&amp;"_"&amp;C340&amp;D340&amp;"_"&amp;BasicInput!$D$7&amp;BasicInput!$D$8&amp;"_"&amp;DL340&amp;".xuf"</f>
        <v>C:\PWWORKING\east01\d2591108\Weave\__2019EX_PM_.xuf</v>
      </c>
    </row>
    <row r="341" spans="85:117" x14ac:dyDescent="0.2">
      <c r="CG341" s="18"/>
      <c r="CM341" s="18"/>
      <c r="DK341" s="31" t="str">
        <f t="shared" si="14"/>
        <v xml:space="preserve">  </v>
      </c>
      <c r="DL341" s="25" t="str">
        <f t="shared" si="15"/>
        <v/>
      </c>
      <c r="DM341" s="25" t="str">
        <f>BasicInput!$D$13&amp;$DM$2&amp;B341&amp;"_"&amp;C341&amp;D341&amp;"_"&amp;BasicInput!$D$7&amp;BasicInput!$D$8&amp;"_"&amp;DL341&amp;".xuf"</f>
        <v>C:\PWWORKING\east01\d2591108\Weave\__2019EX_PM_.xuf</v>
      </c>
    </row>
    <row r="342" spans="85:117" x14ac:dyDescent="0.2">
      <c r="CG342" s="18"/>
      <c r="CM342" s="18"/>
      <c r="DK342" s="31" t="str">
        <f t="shared" si="14"/>
        <v xml:space="preserve">  </v>
      </c>
      <c r="DL342" s="25" t="str">
        <f t="shared" si="15"/>
        <v/>
      </c>
      <c r="DM342" s="25" t="str">
        <f>BasicInput!$D$13&amp;$DM$2&amp;B342&amp;"_"&amp;C342&amp;D342&amp;"_"&amp;BasicInput!$D$7&amp;BasicInput!$D$8&amp;"_"&amp;DL342&amp;".xuf"</f>
        <v>C:\PWWORKING\east01\d2591108\Weave\__2019EX_PM_.xuf</v>
      </c>
    </row>
    <row r="343" spans="85:117" x14ac:dyDescent="0.2">
      <c r="CG343" s="18"/>
      <c r="CM343" s="18"/>
      <c r="DK343" s="31" t="str">
        <f t="shared" si="14"/>
        <v xml:space="preserve">  </v>
      </c>
      <c r="DL343" s="25" t="str">
        <f t="shared" si="15"/>
        <v/>
      </c>
      <c r="DM343" s="25" t="str">
        <f>BasicInput!$D$13&amp;$DM$2&amp;B343&amp;"_"&amp;C343&amp;D343&amp;"_"&amp;BasicInput!$D$7&amp;BasicInput!$D$8&amp;"_"&amp;DL343&amp;".xuf"</f>
        <v>C:\PWWORKING\east01\d2591108\Weave\__2019EX_PM_.xuf</v>
      </c>
    </row>
    <row r="344" spans="85:117" x14ac:dyDescent="0.2">
      <c r="CG344" s="18"/>
      <c r="CM344" s="18"/>
      <c r="DK344" s="31" t="str">
        <f t="shared" si="14"/>
        <v xml:space="preserve">  </v>
      </c>
      <c r="DL344" s="25" t="str">
        <f t="shared" si="15"/>
        <v/>
      </c>
      <c r="DM344" s="25" t="str">
        <f>BasicInput!$D$13&amp;$DM$2&amp;B344&amp;"_"&amp;C344&amp;D344&amp;"_"&amp;BasicInput!$D$7&amp;BasicInput!$D$8&amp;"_"&amp;DL344&amp;".xuf"</f>
        <v>C:\PWWORKING\east01\d2591108\Weave\__2019EX_PM_.xuf</v>
      </c>
    </row>
    <row r="345" spans="85:117" x14ac:dyDescent="0.2">
      <c r="CG345" s="18"/>
      <c r="CM345" s="18"/>
      <c r="DK345" s="31" t="str">
        <f t="shared" si="14"/>
        <v xml:space="preserve">  </v>
      </c>
      <c r="DL345" s="25" t="str">
        <f t="shared" si="15"/>
        <v/>
      </c>
      <c r="DM345" s="25" t="str">
        <f>BasicInput!$D$13&amp;$DM$2&amp;B345&amp;"_"&amp;C345&amp;D345&amp;"_"&amp;BasicInput!$D$7&amp;BasicInput!$D$8&amp;"_"&amp;DL345&amp;".xuf"</f>
        <v>C:\PWWORKING\east01\d2591108\Weave\__2019EX_PM_.xuf</v>
      </c>
    </row>
    <row r="346" spans="85:117" x14ac:dyDescent="0.2">
      <c r="CG346" s="18"/>
      <c r="CM346" s="18"/>
      <c r="DK346" s="31" t="str">
        <f t="shared" si="14"/>
        <v xml:space="preserve">  </v>
      </c>
      <c r="DL346" s="25" t="str">
        <f t="shared" si="15"/>
        <v/>
      </c>
      <c r="DM346" s="25" t="str">
        <f>BasicInput!$D$13&amp;$DM$2&amp;B346&amp;"_"&amp;C346&amp;D346&amp;"_"&amp;BasicInput!$D$7&amp;BasicInput!$D$8&amp;"_"&amp;DL346&amp;".xuf"</f>
        <v>C:\PWWORKING\east01\d2591108\Weave\__2019EX_PM_.xuf</v>
      </c>
    </row>
    <row r="347" spans="85:117" x14ac:dyDescent="0.2">
      <c r="CG347" s="18"/>
      <c r="CM347" s="18"/>
      <c r="DK347" s="31" t="str">
        <f t="shared" si="14"/>
        <v xml:space="preserve">  </v>
      </c>
      <c r="DL347" s="25" t="str">
        <f t="shared" si="15"/>
        <v/>
      </c>
      <c r="DM347" s="25" t="str">
        <f>BasicInput!$D$13&amp;$DM$2&amp;B347&amp;"_"&amp;C347&amp;D347&amp;"_"&amp;BasicInput!$D$7&amp;BasicInput!$D$8&amp;"_"&amp;DL347&amp;".xuf"</f>
        <v>C:\PWWORKING\east01\d2591108\Weave\__2019EX_PM_.xuf</v>
      </c>
    </row>
    <row r="348" spans="85:117" x14ac:dyDescent="0.2">
      <c r="CG348" s="18"/>
      <c r="CM348" s="18"/>
      <c r="DK348" s="31" t="str">
        <f t="shared" si="14"/>
        <v xml:space="preserve">  </v>
      </c>
      <c r="DL348" s="25" t="str">
        <f t="shared" si="15"/>
        <v/>
      </c>
      <c r="DM348" s="25" t="str">
        <f>BasicInput!$D$13&amp;$DM$2&amp;B348&amp;"_"&amp;C348&amp;D348&amp;"_"&amp;BasicInput!$D$7&amp;BasicInput!$D$8&amp;"_"&amp;DL348&amp;".xuf"</f>
        <v>C:\PWWORKING\east01\d2591108\Weave\__2019EX_PM_.xuf</v>
      </c>
    </row>
    <row r="349" spans="85:117" x14ac:dyDescent="0.2">
      <c r="CG349" s="18"/>
      <c r="CM349" s="18"/>
      <c r="DK349" s="31" t="str">
        <f t="shared" si="14"/>
        <v xml:space="preserve">  </v>
      </c>
      <c r="DL349" s="25" t="str">
        <f t="shared" si="15"/>
        <v/>
      </c>
      <c r="DM349" s="25" t="str">
        <f>BasicInput!$D$13&amp;$DM$2&amp;B349&amp;"_"&amp;C349&amp;D349&amp;"_"&amp;BasicInput!$D$7&amp;BasicInput!$D$8&amp;"_"&amp;DL349&amp;".xuf"</f>
        <v>C:\PWWORKING\east01\d2591108\Weave\__2019EX_PM_.xuf</v>
      </c>
    </row>
    <row r="350" spans="85:117" x14ac:dyDescent="0.2">
      <c r="CG350" s="18"/>
      <c r="CM350" s="18"/>
      <c r="DK350" s="31" t="str">
        <f t="shared" si="14"/>
        <v xml:space="preserve">  </v>
      </c>
      <c r="DL350" s="25" t="str">
        <f t="shared" si="15"/>
        <v/>
      </c>
      <c r="DM350" s="25" t="str">
        <f>BasicInput!$D$13&amp;$DM$2&amp;B350&amp;"_"&amp;C350&amp;D350&amp;"_"&amp;BasicInput!$D$7&amp;BasicInput!$D$8&amp;"_"&amp;DL350&amp;".xuf"</f>
        <v>C:\PWWORKING\east01\d2591108\Weave\__2019EX_PM_.xuf</v>
      </c>
    </row>
    <row r="351" spans="85:117" x14ac:dyDescent="0.2">
      <c r="CG351" s="18"/>
      <c r="CM351" s="18"/>
      <c r="DK351" s="31" t="str">
        <f t="shared" si="14"/>
        <v xml:space="preserve">  </v>
      </c>
      <c r="DL351" s="25" t="str">
        <f t="shared" si="15"/>
        <v/>
      </c>
      <c r="DM351" s="25" t="str">
        <f>BasicInput!$D$13&amp;$DM$2&amp;B351&amp;"_"&amp;C351&amp;D351&amp;"_"&amp;BasicInput!$D$7&amp;BasicInput!$D$8&amp;"_"&amp;DL351&amp;".xuf"</f>
        <v>C:\PWWORKING\east01\d2591108\Weave\__2019EX_PM_.xuf</v>
      </c>
    </row>
    <row r="352" spans="85:117" x14ac:dyDescent="0.2">
      <c r="CG352" s="18"/>
      <c r="CM352" s="18"/>
      <c r="DK352" s="31" t="str">
        <f t="shared" si="14"/>
        <v xml:space="preserve">  </v>
      </c>
      <c r="DL352" s="25" t="str">
        <f t="shared" si="15"/>
        <v/>
      </c>
      <c r="DM352" s="25" t="str">
        <f>BasicInput!$D$13&amp;$DM$2&amp;B352&amp;"_"&amp;C352&amp;D352&amp;"_"&amp;BasicInput!$D$7&amp;BasicInput!$D$8&amp;"_"&amp;DL352&amp;".xuf"</f>
        <v>C:\PWWORKING\east01\d2591108\Weave\__2019EX_PM_.xuf</v>
      </c>
    </row>
    <row r="353" spans="85:117" x14ac:dyDescent="0.2">
      <c r="CG353" s="18"/>
      <c r="CM353" s="18"/>
      <c r="DK353" s="31" t="str">
        <f t="shared" si="14"/>
        <v xml:space="preserve">  </v>
      </c>
      <c r="DL353" s="25" t="str">
        <f t="shared" si="15"/>
        <v/>
      </c>
      <c r="DM353" s="25" t="str">
        <f>BasicInput!$D$13&amp;$DM$2&amp;B353&amp;"_"&amp;C353&amp;D353&amp;"_"&amp;BasicInput!$D$7&amp;BasicInput!$D$8&amp;"_"&amp;DL353&amp;".xuf"</f>
        <v>C:\PWWORKING\east01\d2591108\Weave\__2019EX_PM_.xuf</v>
      </c>
    </row>
    <row r="354" spans="85:117" x14ac:dyDescent="0.2">
      <c r="CG354" s="18"/>
      <c r="CM354" s="18"/>
      <c r="DK354" s="31" t="str">
        <f t="shared" si="14"/>
        <v xml:space="preserve">  </v>
      </c>
      <c r="DL354" s="25" t="str">
        <f t="shared" si="15"/>
        <v/>
      </c>
      <c r="DM354" s="25" t="str">
        <f>BasicInput!$D$13&amp;$DM$2&amp;B354&amp;"_"&amp;C354&amp;D354&amp;"_"&amp;BasicInput!$D$7&amp;BasicInput!$D$8&amp;"_"&amp;DL354&amp;".xuf"</f>
        <v>C:\PWWORKING\east01\d2591108\Weave\__2019EX_PM_.xuf</v>
      </c>
    </row>
    <row r="355" spans="85:117" x14ac:dyDescent="0.2">
      <c r="CG355" s="18"/>
      <c r="CM355" s="18"/>
      <c r="DK355" s="31" t="str">
        <f t="shared" si="14"/>
        <v xml:space="preserve">  </v>
      </c>
      <c r="DL355" s="25" t="str">
        <f t="shared" si="15"/>
        <v/>
      </c>
      <c r="DM355" s="25" t="str">
        <f>BasicInput!$D$13&amp;$DM$2&amp;B355&amp;"_"&amp;C355&amp;D355&amp;"_"&amp;BasicInput!$D$7&amp;BasicInput!$D$8&amp;"_"&amp;DL355&amp;".xuf"</f>
        <v>C:\PWWORKING\east01\d2591108\Weave\__2019EX_PM_.xuf</v>
      </c>
    </row>
    <row r="356" spans="85:117" x14ac:dyDescent="0.2">
      <c r="CG356" s="18"/>
      <c r="CM356" s="18"/>
      <c r="DK356" s="31" t="str">
        <f t="shared" si="14"/>
        <v xml:space="preserve">  </v>
      </c>
      <c r="DL356" s="25" t="str">
        <f t="shared" si="15"/>
        <v/>
      </c>
      <c r="DM356" s="25" t="str">
        <f>BasicInput!$D$13&amp;$DM$2&amp;B356&amp;"_"&amp;C356&amp;D356&amp;"_"&amp;BasicInput!$D$7&amp;BasicInput!$D$8&amp;"_"&amp;DL356&amp;".xuf"</f>
        <v>C:\PWWORKING\east01\d2591108\Weave\__2019EX_PM_.xuf</v>
      </c>
    </row>
    <row r="357" spans="85:117" x14ac:dyDescent="0.2">
      <c r="CG357" s="18"/>
      <c r="CM357" s="18"/>
      <c r="DK357" s="31" t="str">
        <f t="shared" si="14"/>
        <v xml:space="preserve">  </v>
      </c>
      <c r="DL357" s="25" t="str">
        <f t="shared" si="15"/>
        <v/>
      </c>
      <c r="DM357" s="25" t="str">
        <f>BasicInput!$D$13&amp;$DM$2&amp;B357&amp;"_"&amp;C357&amp;D357&amp;"_"&amp;BasicInput!$D$7&amp;BasicInput!$D$8&amp;"_"&amp;DL357&amp;".xuf"</f>
        <v>C:\PWWORKING\east01\d2591108\Weave\__2019EX_PM_.xuf</v>
      </c>
    </row>
    <row r="358" spans="85:117" x14ac:dyDescent="0.2">
      <c r="CG358" s="18"/>
      <c r="CM358" s="18"/>
      <c r="DK358" s="31" t="str">
        <f t="shared" si="14"/>
        <v xml:space="preserve">  </v>
      </c>
      <c r="DL358" s="25" t="str">
        <f t="shared" si="15"/>
        <v/>
      </c>
      <c r="DM358" s="25" t="str">
        <f>BasicInput!$D$13&amp;$DM$2&amp;B358&amp;"_"&amp;C358&amp;D358&amp;"_"&amp;BasicInput!$D$7&amp;BasicInput!$D$8&amp;"_"&amp;DL358&amp;".xuf"</f>
        <v>C:\PWWORKING\east01\d2591108\Weave\__2019EX_PM_.xuf</v>
      </c>
    </row>
    <row r="359" spans="85:117" x14ac:dyDescent="0.2">
      <c r="CG359" s="18"/>
      <c r="CM359" s="18"/>
      <c r="DK359" s="31" t="str">
        <f t="shared" si="14"/>
        <v xml:space="preserve">  </v>
      </c>
      <c r="DL359" s="25" t="str">
        <f t="shared" si="15"/>
        <v/>
      </c>
      <c r="DM359" s="25" t="str">
        <f>BasicInput!$D$13&amp;$DM$2&amp;B359&amp;"_"&amp;C359&amp;D359&amp;"_"&amp;BasicInput!$D$7&amp;BasicInput!$D$8&amp;"_"&amp;DL359&amp;".xuf"</f>
        <v>C:\PWWORKING\east01\d2591108\Weave\__2019EX_PM_.xuf</v>
      </c>
    </row>
    <row r="360" spans="85:117" x14ac:dyDescent="0.2">
      <c r="CG360" s="18"/>
      <c r="CM360" s="18"/>
      <c r="DK360" s="31" t="str">
        <f t="shared" si="14"/>
        <v xml:space="preserve">  </v>
      </c>
      <c r="DL360" s="25" t="str">
        <f t="shared" si="15"/>
        <v/>
      </c>
      <c r="DM360" s="25" t="str">
        <f>BasicInput!$D$13&amp;$DM$2&amp;B360&amp;"_"&amp;C360&amp;D360&amp;"_"&amp;BasicInput!$D$7&amp;BasicInput!$D$8&amp;"_"&amp;DL360&amp;".xuf"</f>
        <v>C:\PWWORKING\east01\d2591108\Weave\__2019EX_PM_.xuf</v>
      </c>
    </row>
    <row r="361" spans="85:117" x14ac:dyDescent="0.2">
      <c r="CG361" s="18"/>
      <c r="CM361" s="18"/>
      <c r="DK361" s="31" t="str">
        <f t="shared" si="14"/>
        <v xml:space="preserve">  </v>
      </c>
      <c r="DL361" s="25" t="str">
        <f t="shared" si="15"/>
        <v/>
      </c>
      <c r="DM361" s="25" t="str">
        <f>BasicInput!$D$13&amp;$DM$2&amp;B361&amp;"_"&amp;C361&amp;D361&amp;"_"&amp;BasicInput!$D$7&amp;BasicInput!$D$8&amp;"_"&amp;DL361&amp;".xuf"</f>
        <v>C:\PWWORKING\east01\d2591108\Weave\__2019EX_PM_.xuf</v>
      </c>
    </row>
    <row r="362" spans="85:117" x14ac:dyDescent="0.2">
      <c r="CG362" s="18"/>
      <c r="CM362" s="18"/>
      <c r="DK362" s="31" t="str">
        <f t="shared" si="14"/>
        <v xml:space="preserve">  </v>
      </c>
      <c r="DL362" s="25" t="str">
        <f t="shared" si="15"/>
        <v/>
      </c>
      <c r="DM362" s="25" t="str">
        <f>BasicInput!$D$13&amp;$DM$2&amp;B362&amp;"_"&amp;C362&amp;D362&amp;"_"&amp;BasicInput!$D$7&amp;BasicInput!$D$8&amp;"_"&amp;DL362&amp;".xuf"</f>
        <v>C:\PWWORKING\east01\d2591108\Weave\__2019EX_PM_.xuf</v>
      </c>
    </row>
    <row r="363" spans="85:117" x14ac:dyDescent="0.2">
      <c r="CG363" s="18"/>
      <c r="CM363" s="18"/>
      <c r="DK363" s="31" t="str">
        <f t="shared" si="14"/>
        <v xml:space="preserve">  </v>
      </c>
      <c r="DL363" s="25" t="str">
        <f t="shared" si="15"/>
        <v/>
      </c>
      <c r="DM363" s="25" t="str">
        <f>BasicInput!$D$13&amp;$DM$2&amp;B363&amp;"_"&amp;C363&amp;D363&amp;"_"&amp;BasicInput!$D$7&amp;BasicInput!$D$8&amp;"_"&amp;DL363&amp;".xuf"</f>
        <v>C:\PWWORKING\east01\d2591108\Weave\__2019EX_PM_.xuf</v>
      </c>
    </row>
    <row r="364" spans="85:117" x14ac:dyDescent="0.2">
      <c r="CG364" s="18"/>
      <c r="CM364" s="18"/>
      <c r="DK364" s="31" t="str">
        <f t="shared" si="14"/>
        <v xml:space="preserve">  </v>
      </c>
      <c r="DL364" s="25" t="str">
        <f t="shared" si="15"/>
        <v/>
      </c>
      <c r="DM364" s="25" t="str">
        <f>BasicInput!$D$13&amp;$DM$2&amp;B364&amp;"_"&amp;C364&amp;D364&amp;"_"&amp;BasicInput!$D$7&amp;BasicInput!$D$8&amp;"_"&amp;DL364&amp;".xuf"</f>
        <v>C:\PWWORKING\east01\d2591108\Weave\__2019EX_PM_.xuf</v>
      </c>
    </row>
    <row r="365" spans="85:117" x14ac:dyDescent="0.2">
      <c r="CG365" s="18"/>
      <c r="CM365" s="18"/>
      <c r="DK365" s="31" t="str">
        <f t="shared" si="14"/>
        <v xml:space="preserve">  </v>
      </c>
      <c r="DL365" s="25" t="str">
        <f t="shared" si="15"/>
        <v/>
      </c>
      <c r="DM365" s="25" t="str">
        <f>BasicInput!$D$13&amp;$DM$2&amp;B365&amp;"_"&amp;C365&amp;D365&amp;"_"&amp;BasicInput!$D$7&amp;BasicInput!$D$8&amp;"_"&amp;DL365&amp;".xuf"</f>
        <v>C:\PWWORKING\east01\d2591108\Weave\__2019EX_PM_.xuf</v>
      </c>
    </row>
    <row r="366" spans="85:117" x14ac:dyDescent="0.2">
      <c r="CG366" s="18"/>
      <c r="CM366" s="18"/>
      <c r="DK366" s="31" t="str">
        <f t="shared" si="14"/>
        <v xml:space="preserve">  </v>
      </c>
      <c r="DL366" s="25" t="str">
        <f t="shared" si="15"/>
        <v/>
      </c>
      <c r="DM366" s="25" t="str">
        <f>BasicInput!$D$13&amp;$DM$2&amp;B366&amp;"_"&amp;C366&amp;D366&amp;"_"&amp;BasicInput!$D$7&amp;BasicInput!$D$8&amp;"_"&amp;DL366&amp;".xuf"</f>
        <v>C:\PWWORKING\east01\d2591108\Weave\__2019EX_PM_.xuf</v>
      </c>
    </row>
    <row r="367" spans="85:117" x14ac:dyDescent="0.2">
      <c r="CG367" s="18"/>
      <c r="CM367" s="18"/>
      <c r="DK367" s="31" t="str">
        <f t="shared" si="14"/>
        <v xml:space="preserve">  </v>
      </c>
      <c r="DL367" s="25" t="str">
        <f t="shared" si="15"/>
        <v/>
      </c>
      <c r="DM367" s="25" t="str">
        <f>BasicInput!$D$13&amp;$DM$2&amp;B367&amp;"_"&amp;C367&amp;D367&amp;"_"&amp;BasicInput!$D$7&amp;BasicInput!$D$8&amp;"_"&amp;DL367&amp;".xuf"</f>
        <v>C:\PWWORKING\east01\d2591108\Weave\__2019EX_PM_.xuf</v>
      </c>
    </row>
    <row r="368" spans="85:117" x14ac:dyDescent="0.2">
      <c r="CG368" s="18"/>
      <c r="CM368" s="18"/>
      <c r="DK368" s="31" t="str">
        <f t="shared" si="14"/>
        <v xml:space="preserve">  </v>
      </c>
      <c r="DL368" s="25" t="str">
        <f t="shared" si="15"/>
        <v/>
      </c>
      <c r="DM368" s="25" t="str">
        <f>BasicInput!$D$13&amp;$DM$2&amp;B368&amp;"_"&amp;C368&amp;D368&amp;"_"&amp;BasicInput!$D$7&amp;BasicInput!$D$8&amp;"_"&amp;DL368&amp;".xuf"</f>
        <v>C:\PWWORKING\east01\d2591108\Weave\__2019EX_PM_.xuf</v>
      </c>
    </row>
    <row r="369" spans="85:117" x14ac:dyDescent="0.2">
      <c r="CG369" s="18"/>
      <c r="CM369" s="18"/>
      <c r="DK369" s="31" t="str">
        <f t="shared" si="14"/>
        <v xml:space="preserve">  </v>
      </c>
      <c r="DL369" s="25" t="str">
        <f t="shared" si="15"/>
        <v/>
      </c>
      <c r="DM369" s="25" t="str">
        <f>BasicInput!$D$13&amp;$DM$2&amp;B369&amp;"_"&amp;C369&amp;D369&amp;"_"&amp;BasicInput!$D$7&amp;BasicInput!$D$8&amp;"_"&amp;DL369&amp;".xuf"</f>
        <v>C:\PWWORKING\east01\d2591108\Weave\__2019EX_PM_.xuf</v>
      </c>
    </row>
    <row r="370" spans="85:117" x14ac:dyDescent="0.2">
      <c r="CG370" s="18"/>
      <c r="CM370" s="18"/>
      <c r="DK370" s="31" t="str">
        <f t="shared" si="14"/>
        <v xml:space="preserve">  </v>
      </c>
      <c r="DL370" s="25" t="str">
        <f t="shared" si="15"/>
        <v/>
      </c>
      <c r="DM370" s="25" t="str">
        <f>BasicInput!$D$13&amp;$DM$2&amp;B370&amp;"_"&amp;C370&amp;D370&amp;"_"&amp;BasicInput!$D$7&amp;BasicInput!$D$8&amp;"_"&amp;DL370&amp;".xuf"</f>
        <v>C:\PWWORKING\east01\d2591108\Weave\__2019EX_PM_.xuf</v>
      </c>
    </row>
    <row r="371" spans="85:117" x14ac:dyDescent="0.2">
      <c r="CG371" s="18"/>
      <c r="CM371" s="18"/>
      <c r="DK371" s="31" t="str">
        <f t="shared" si="14"/>
        <v xml:space="preserve">  </v>
      </c>
      <c r="DL371" s="25" t="str">
        <f t="shared" si="15"/>
        <v/>
      </c>
      <c r="DM371" s="25" t="str">
        <f>BasicInput!$D$13&amp;$DM$2&amp;B371&amp;"_"&amp;C371&amp;D371&amp;"_"&amp;BasicInput!$D$7&amp;BasicInput!$D$8&amp;"_"&amp;DL371&amp;".xuf"</f>
        <v>C:\PWWORKING\east01\d2591108\Weave\__2019EX_PM_.xuf</v>
      </c>
    </row>
    <row r="372" spans="85:117" x14ac:dyDescent="0.2">
      <c r="CG372" s="18"/>
      <c r="CM372" s="18"/>
      <c r="DK372" s="31" t="str">
        <f t="shared" si="14"/>
        <v xml:space="preserve">  </v>
      </c>
      <c r="DL372" s="25" t="str">
        <f t="shared" si="15"/>
        <v/>
      </c>
      <c r="DM372" s="25" t="str">
        <f>BasicInput!$D$13&amp;$DM$2&amp;B372&amp;"_"&amp;C372&amp;D372&amp;"_"&amp;BasicInput!$D$7&amp;BasicInput!$D$8&amp;"_"&amp;DL372&amp;".xuf"</f>
        <v>C:\PWWORKING\east01\d2591108\Weave\__2019EX_PM_.xuf</v>
      </c>
    </row>
    <row r="373" spans="85:117" x14ac:dyDescent="0.2">
      <c r="CG373" s="18"/>
      <c r="CM373" s="18"/>
      <c r="DK373" s="31" t="str">
        <f t="shared" si="14"/>
        <v xml:space="preserve">  </v>
      </c>
      <c r="DL373" s="25" t="str">
        <f t="shared" si="15"/>
        <v/>
      </c>
      <c r="DM373" s="25" t="str">
        <f>BasicInput!$D$13&amp;$DM$2&amp;B373&amp;"_"&amp;C373&amp;D373&amp;"_"&amp;BasicInput!$D$7&amp;BasicInput!$D$8&amp;"_"&amp;DL373&amp;".xuf"</f>
        <v>C:\PWWORKING\east01\d2591108\Weave\__2019EX_PM_.xuf</v>
      </c>
    </row>
    <row r="374" spans="85:117" x14ac:dyDescent="0.2">
      <c r="CG374" s="18"/>
      <c r="CM374" s="18"/>
      <c r="DK374" s="31" t="str">
        <f t="shared" si="14"/>
        <v xml:space="preserve">  </v>
      </c>
      <c r="DL374" s="25" t="str">
        <f t="shared" si="15"/>
        <v/>
      </c>
      <c r="DM374" s="25" t="str">
        <f>BasicInput!$D$13&amp;$DM$2&amp;B374&amp;"_"&amp;C374&amp;D374&amp;"_"&amp;BasicInput!$D$7&amp;BasicInput!$D$8&amp;"_"&amp;DL374&amp;".xuf"</f>
        <v>C:\PWWORKING\east01\d2591108\Weave\__2019EX_PM_.xuf</v>
      </c>
    </row>
    <row r="375" spans="85:117" x14ac:dyDescent="0.2">
      <c r="CG375" s="18"/>
      <c r="CM375" s="18"/>
      <c r="DK375" s="31" t="str">
        <f t="shared" si="14"/>
        <v xml:space="preserve">  </v>
      </c>
      <c r="DL375" s="25" t="str">
        <f t="shared" si="15"/>
        <v/>
      </c>
      <c r="DM375" s="25" t="str">
        <f>BasicInput!$D$13&amp;$DM$2&amp;B375&amp;"_"&amp;C375&amp;D375&amp;"_"&amp;BasicInput!$D$7&amp;BasicInput!$D$8&amp;"_"&amp;DL375&amp;".xuf"</f>
        <v>C:\PWWORKING\east01\d2591108\Weave\__2019EX_PM_.xuf</v>
      </c>
    </row>
    <row r="376" spans="85:117" x14ac:dyDescent="0.2">
      <c r="CG376" s="18"/>
      <c r="CM376" s="18"/>
      <c r="DK376" s="31" t="str">
        <f t="shared" si="14"/>
        <v xml:space="preserve">  </v>
      </c>
      <c r="DL376" s="25" t="str">
        <f t="shared" si="15"/>
        <v/>
      </c>
      <c r="DM376" s="25" t="str">
        <f>BasicInput!$D$13&amp;$DM$2&amp;B376&amp;"_"&amp;C376&amp;D376&amp;"_"&amp;BasicInput!$D$7&amp;BasicInput!$D$8&amp;"_"&amp;DL376&amp;".xuf"</f>
        <v>C:\PWWORKING\east01\d2591108\Weave\__2019EX_PM_.xuf</v>
      </c>
    </row>
    <row r="377" spans="85:117" x14ac:dyDescent="0.2">
      <c r="CG377" s="18"/>
      <c r="CM377" s="18"/>
      <c r="DK377" s="31" t="str">
        <f t="shared" si="14"/>
        <v xml:space="preserve">  </v>
      </c>
      <c r="DL377" s="25" t="str">
        <f t="shared" si="15"/>
        <v/>
      </c>
      <c r="DM377" s="25" t="str">
        <f>BasicInput!$D$13&amp;$DM$2&amp;B377&amp;"_"&amp;C377&amp;D377&amp;"_"&amp;BasicInput!$D$7&amp;BasicInput!$D$8&amp;"_"&amp;DL377&amp;".xuf"</f>
        <v>C:\PWWORKING\east01\d2591108\Weave\__2019EX_PM_.xuf</v>
      </c>
    </row>
    <row r="378" spans="85:117" x14ac:dyDescent="0.2">
      <c r="CG378" s="18"/>
      <c r="CM378" s="18"/>
      <c r="DK378" s="31" t="str">
        <f t="shared" si="14"/>
        <v xml:space="preserve">  </v>
      </c>
      <c r="DL378" s="25" t="str">
        <f t="shared" si="15"/>
        <v/>
      </c>
      <c r="DM378" s="25" t="str">
        <f>BasicInput!$D$13&amp;$DM$2&amp;B378&amp;"_"&amp;C378&amp;D378&amp;"_"&amp;BasicInput!$D$7&amp;BasicInput!$D$8&amp;"_"&amp;DL378&amp;".xuf"</f>
        <v>C:\PWWORKING\east01\d2591108\Weave\__2019EX_PM_.xuf</v>
      </c>
    </row>
    <row r="379" spans="85:117" x14ac:dyDescent="0.2">
      <c r="CG379" s="18"/>
      <c r="CM379" s="18"/>
      <c r="DK379" s="31" t="str">
        <f t="shared" si="14"/>
        <v xml:space="preserve">  </v>
      </c>
      <c r="DL379" s="25" t="str">
        <f t="shared" si="15"/>
        <v/>
      </c>
      <c r="DM379" s="25" t="str">
        <f>BasicInput!$D$13&amp;$DM$2&amp;B379&amp;"_"&amp;C379&amp;D379&amp;"_"&amp;BasicInput!$D$7&amp;BasicInput!$D$8&amp;"_"&amp;DL379&amp;".xuf"</f>
        <v>C:\PWWORKING\east01\d2591108\Weave\__2019EX_PM_.xuf</v>
      </c>
    </row>
    <row r="380" spans="85:117" x14ac:dyDescent="0.2">
      <c r="CG380" s="18"/>
      <c r="CM380" s="18"/>
      <c r="DK380" s="31" t="str">
        <f t="shared" si="14"/>
        <v xml:space="preserve">  </v>
      </c>
      <c r="DL380" s="25" t="str">
        <f t="shared" si="15"/>
        <v/>
      </c>
      <c r="DM380" s="25" t="str">
        <f>BasicInput!$D$13&amp;$DM$2&amp;B380&amp;"_"&amp;C380&amp;D380&amp;"_"&amp;BasicInput!$D$7&amp;BasicInput!$D$8&amp;"_"&amp;DL380&amp;".xuf"</f>
        <v>C:\PWWORKING\east01\d2591108\Weave\__2019EX_PM_.xuf</v>
      </c>
    </row>
    <row r="381" spans="85:117" x14ac:dyDescent="0.2">
      <c r="CG381" s="18"/>
      <c r="CM381" s="18"/>
      <c r="DK381" s="31" t="str">
        <f t="shared" si="14"/>
        <v xml:space="preserve">  </v>
      </c>
      <c r="DL381" s="25" t="str">
        <f t="shared" si="15"/>
        <v/>
      </c>
      <c r="DM381" s="25" t="str">
        <f>BasicInput!$D$13&amp;$DM$2&amp;B381&amp;"_"&amp;C381&amp;D381&amp;"_"&amp;BasicInput!$D$7&amp;BasicInput!$D$8&amp;"_"&amp;DL381&amp;".xuf"</f>
        <v>C:\PWWORKING\east01\d2591108\Weave\__2019EX_PM_.xuf</v>
      </c>
    </row>
    <row r="382" spans="85:117" x14ac:dyDescent="0.2">
      <c r="CG382" s="18"/>
      <c r="CM382" s="18"/>
      <c r="DK382" s="31" t="str">
        <f t="shared" si="14"/>
        <v xml:space="preserve">  </v>
      </c>
      <c r="DL382" s="25" t="str">
        <f t="shared" si="15"/>
        <v/>
      </c>
      <c r="DM382" s="25" t="str">
        <f>BasicInput!$D$13&amp;$DM$2&amp;B382&amp;"_"&amp;C382&amp;D382&amp;"_"&amp;BasicInput!$D$7&amp;BasicInput!$D$8&amp;"_"&amp;DL382&amp;".xuf"</f>
        <v>C:\PWWORKING\east01\d2591108\Weave\__2019EX_PM_.xuf</v>
      </c>
    </row>
    <row r="383" spans="85:117" x14ac:dyDescent="0.2">
      <c r="CG383" s="18"/>
      <c r="CM383" s="18"/>
      <c r="DK383" s="31" t="str">
        <f t="shared" si="14"/>
        <v xml:space="preserve">  </v>
      </c>
      <c r="DL383" s="25" t="str">
        <f t="shared" si="15"/>
        <v/>
      </c>
      <c r="DM383" s="25" t="str">
        <f>BasicInput!$D$13&amp;$DM$2&amp;B383&amp;"_"&amp;C383&amp;D383&amp;"_"&amp;BasicInput!$D$7&amp;BasicInput!$D$8&amp;"_"&amp;DL383&amp;".xuf"</f>
        <v>C:\PWWORKING\east01\d2591108\Weave\__2019EX_PM_.xuf</v>
      </c>
    </row>
    <row r="384" spans="85:117" x14ac:dyDescent="0.2">
      <c r="CG384" s="18"/>
      <c r="CM384" s="18"/>
      <c r="DK384" s="31" t="str">
        <f t="shared" si="14"/>
        <v xml:space="preserve">  </v>
      </c>
      <c r="DL384" s="25" t="str">
        <f t="shared" si="15"/>
        <v/>
      </c>
      <c r="DM384" s="25" t="str">
        <f>BasicInput!$D$13&amp;$DM$2&amp;B384&amp;"_"&amp;C384&amp;D384&amp;"_"&amp;BasicInput!$D$7&amp;BasicInput!$D$8&amp;"_"&amp;DL384&amp;".xuf"</f>
        <v>C:\PWWORKING\east01\d2591108\Weave\__2019EX_PM_.xuf</v>
      </c>
    </row>
    <row r="385" spans="85:117" x14ac:dyDescent="0.2">
      <c r="CG385" s="18"/>
      <c r="CM385" s="18"/>
      <c r="DK385" s="31" t="str">
        <f t="shared" si="14"/>
        <v xml:space="preserve">  </v>
      </c>
      <c r="DL385" s="25" t="str">
        <f t="shared" si="15"/>
        <v/>
      </c>
      <c r="DM385" s="25" t="str">
        <f>BasicInput!$D$13&amp;$DM$2&amp;B385&amp;"_"&amp;C385&amp;D385&amp;"_"&amp;BasicInput!$D$7&amp;BasicInput!$D$8&amp;"_"&amp;DL385&amp;".xuf"</f>
        <v>C:\PWWORKING\east01\d2591108\Weave\__2019EX_PM_.xuf</v>
      </c>
    </row>
    <row r="386" spans="85:117" x14ac:dyDescent="0.2">
      <c r="CG386" s="18"/>
      <c r="CM386" s="18"/>
      <c r="DK386" s="31" t="str">
        <f t="shared" si="14"/>
        <v xml:space="preserve">  </v>
      </c>
      <c r="DL386" s="25" t="str">
        <f t="shared" si="15"/>
        <v/>
      </c>
      <c r="DM386" s="25" t="str">
        <f>BasicInput!$D$13&amp;$DM$2&amp;B386&amp;"_"&amp;C386&amp;D386&amp;"_"&amp;BasicInput!$D$7&amp;BasicInput!$D$8&amp;"_"&amp;DL386&amp;".xuf"</f>
        <v>C:\PWWORKING\east01\d2591108\Weave\__2019EX_PM_.xuf</v>
      </c>
    </row>
    <row r="387" spans="85:117" x14ac:dyDescent="0.2">
      <c r="CG387" s="18"/>
      <c r="CM387" s="18"/>
      <c r="DK387" s="31" t="str">
        <f t="shared" si="14"/>
        <v xml:space="preserve">  </v>
      </c>
      <c r="DL387" s="25" t="str">
        <f t="shared" si="15"/>
        <v/>
      </c>
      <c r="DM387" s="25" t="str">
        <f>BasicInput!$D$13&amp;$DM$2&amp;B387&amp;"_"&amp;C387&amp;D387&amp;"_"&amp;BasicInput!$D$7&amp;BasicInput!$D$8&amp;"_"&amp;DL387&amp;".xuf"</f>
        <v>C:\PWWORKING\east01\d2591108\Weave\__2019EX_PM_.xuf</v>
      </c>
    </row>
    <row r="388" spans="85:117" x14ac:dyDescent="0.2">
      <c r="CG388" s="18"/>
      <c r="CM388" s="18"/>
      <c r="DK388" s="31" t="str">
        <f t="shared" si="14"/>
        <v xml:space="preserve">  </v>
      </c>
      <c r="DL388" s="25" t="str">
        <f t="shared" si="15"/>
        <v/>
      </c>
      <c r="DM388" s="25" t="str">
        <f>BasicInput!$D$13&amp;$DM$2&amp;B388&amp;"_"&amp;C388&amp;D388&amp;"_"&amp;BasicInput!$D$7&amp;BasicInput!$D$8&amp;"_"&amp;DL388&amp;".xuf"</f>
        <v>C:\PWWORKING\east01\d2591108\Weave\__2019EX_PM_.xuf</v>
      </c>
    </row>
    <row r="389" spans="85:117" x14ac:dyDescent="0.2">
      <c r="CG389" s="18"/>
      <c r="CM389" s="18"/>
      <c r="DK389" s="31" t="str">
        <f t="shared" si="14"/>
        <v xml:space="preserve">  </v>
      </c>
      <c r="DL389" s="25" t="str">
        <f t="shared" si="15"/>
        <v/>
      </c>
      <c r="DM389" s="25" t="str">
        <f>BasicInput!$D$13&amp;$DM$2&amp;B389&amp;"_"&amp;C389&amp;D389&amp;"_"&amp;BasicInput!$D$7&amp;BasicInput!$D$8&amp;"_"&amp;DL389&amp;".xuf"</f>
        <v>C:\PWWORKING\east01\d2591108\Weave\__2019EX_PM_.xuf</v>
      </c>
    </row>
    <row r="390" spans="85:117" x14ac:dyDescent="0.2">
      <c r="CG390" s="18"/>
      <c r="CM390" s="18"/>
      <c r="DK390" s="31" t="str">
        <f t="shared" si="14"/>
        <v xml:space="preserve">  </v>
      </c>
      <c r="DL390" s="25" t="str">
        <f t="shared" si="15"/>
        <v/>
      </c>
      <c r="DM390" s="25" t="str">
        <f>BasicInput!$D$13&amp;$DM$2&amp;B390&amp;"_"&amp;C390&amp;D390&amp;"_"&amp;BasicInput!$D$7&amp;BasicInput!$D$8&amp;"_"&amp;DL390&amp;".xuf"</f>
        <v>C:\PWWORKING\east01\d2591108\Weave\__2019EX_PM_.xuf</v>
      </c>
    </row>
    <row r="391" spans="85:117" x14ac:dyDescent="0.2">
      <c r="CG391" s="18"/>
      <c r="CM391" s="18"/>
      <c r="DK391" s="31" t="str">
        <f t="shared" si="14"/>
        <v xml:space="preserve">  </v>
      </c>
      <c r="DL391" s="25" t="str">
        <f t="shared" si="15"/>
        <v/>
      </c>
      <c r="DM391" s="25" t="str">
        <f>BasicInput!$D$13&amp;$DM$2&amp;B391&amp;"_"&amp;C391&amp;D391&amp;"_"&amp;BasicInput!$D$7&amp;BasicInput!$D$8&amp;"_"&amp;DL391&amp;".xuf"</f>
        <v>C:\PWWORKING\east01\d2591108\Weave\__2019EX_PM_.xuf</v>
      </c>
    </row>
    <row r="392" spans="85:117" x14ac:dyDescent="0.2">
      <c r="CG392" s="18"/>
      <c r="CM392" s="18"/>
      <c r="DK392" s="31" t="str">
        <f t="shared" si="14"/>
        <v xml:space="preserve">  </v>
      </c>
      <c r="DL392" s="25" t="str">
        <f t="shared" si="15"/>
        <v/>
      </c>
      <c r="DM392" s="25" t="str">
        <f>BasicInput!$D$13&amp;$DM$2&amp;B392&amp;"_"&amp;C392&amp;D392&amp;"_"&amp;BasicInput!$D$7&amp;BasicInput!$D$8&amp;"_"&amp;DL392&amp;".xuf"</f>
        <v>C:\PWWORKING\east01\d2591108\Weave\__2019EX_PM_.xuf</v>
      </c>
    </row>
    <row r="393" spans="85:117" x14ac:dyDescent="0.2">
      <c r="CG393" s="18"/>
      <c r="CM393" s="18"/>
      <c r="DK393" s="31" t="str">
        <f t="shared" si="14"/>
        <v xml:space="preserve">  </v>
      </c>
      <c r="DL393" s="25" t="str">
        <f t="shared" si="15"/>
        <v/>
      </c>
      <c r="DM393" s="25" t="str">
        <f>BasicInput!$D$13&amp;$DM$2&amp;B393&amp;"_"&amp;C393&amp;D393&amp;"_"&amp;BasicInput!$D$7&amp;BasicInput!$D$8&amp;"_"&amp;DL393&amp;".xuf"</f>
        <v>C:\PWWORKING\east01\d2591108\Weave\__2019EX_PM_.xuf</v>
      </c>
    </row>
    <row r="394" spans="85:117" x14ac:dyDescent="0.2">
      <c r="CG394" s="18"/>
      <c r="CM394" s="18"/>
      <c r="DK394" s="31" t="str">
        <f t="shared" si="14"/>
        <v xml:space="preserve">  </v>
      </c>
      <c r="DL394" s="25" t="str">
        <f t="shared" si="15"/>
        <v/>
      </c>
      <c r="DM394" s="25" t="str">
        <f>BasicInput!$D$13&amp;$DM$2&amp;B394&amp;"_"&amp;C394&amp;D394&amp;"_"&amp;BasicInput!$D$7&amp;BasicInput!$D$8&amp;"_"&amp;DL394&amp;".xuf"</f>
        <v>C:\PWWORKING\east01\d2591108\Weave\__2019EX_PM_.xuf</v>
      </c>
    </row>
    <row r="395" spans="85:117" x14ac:dyDescent="0.2">
      <c r="CG395" s="18"/>
      <c r="CM395" s="18"/>
      <c r="DK395" s="31" t="str">
        <f t="shared" si="14"/>
        <v xml:space="preserve">  </v>
      </c>
      <c r="DL395" s="25" t="str">
        <f t="shared" si="15"/>
        <v/>
      </c>
      <c r="DM395" s="25" t="str">
        <f>BasicInput!$D$13&amp;$DM$2&amp;B395&amp;"_"&amp;C395&amp;D395&amp;"_"&amp;BasicInput!$D$7&amp;BasicInput!$D$8&amp;"_"&amp;DL395&amp;".xuf"</f>
        <v>C:\PWWORKING\east01\d2591108\Weave\__2019EX_PM_.xuf</v>
      </c>
    </row>
    <row r="396" spans="85:117" x14ac:dyDescent="0.2">
      <c r="CG396" s="18"/>
      <c r="CM396" s="18"/>
      <c r="DK396" s="31" t="str">
        <f t="shared" ref="DK396:DK459" si="16">C396&amp; " "&amp;D396&amp;" " &amp;E396</f>
        <v xml:space="preserve">  </v>
      </c>
      <c r="DL396" s="25" t="str">
        <f t="shared" ref="DL396:DL459" si="17">TRIM(LEFT(E396, 30))</f>
        <v/>
      </c>
      <c r="DM396" s="25" t="str">
        <f>BasicInput!$D$13&amp;$DM$2&amp;B396&amp;"_"&amp;C396&amp;D396&amp;"_"&amp;BasicInput!$D$7&amp;BasicInput!$D$8&amp;"_"&amp;DL396&amp;".xuf"</f>
        <v>C:\PWWORKING\east01\d2591108\Weave\__2019EX_PM_.xuf</v>
      </c>
    </row>
    <row r="397" spans="85:117" x14ac:dyDescent="0.2">
      <c r="CG397" s="18"/>
      <c r="CM397" s="18"/>
      <c r="DK397" s="31" t="str">
        <f t="shared" si="16"/>
        <v xml:space="preserve">  </v>
      </c>
      <c r="DL397" s="25" t="str">
        <f t="shared" si="17"/>
        <v/>
      </c>
      <c r="DM397" s="25" t="str">
        <f>BasicInput!$D$13&amp;$DM$2&amp;B397&amp;"_"&amp;C397&amp;D397&amp;"_"&amp;BasicInput!$D$7&amp;BasicInput!$D$8&amp;"_"&amp;DL397&amp;".xuf"</f>
        <v>C:\PWWORKING\east01\d2591108\Weave\__2019EX_PM_.xuf</v>
      </c>
    </row>
    <row r="398" spans="85:117" x14ac:dyDescent="0.2">
      <c r="CG398" s="18"/>
      <c r="CM398" s="18"/>
      <c r="DK398" s="31" t="str">
        <f t="shared" si="16"/>
        <v xml:space="preserve">  </v>
      </c>
      <c r="DL398" s="25" t="str">
        <f t="shared" si="17"/>
        <v/>
      </c>
      <c r="DM398" s="25" t="str">
        <f>BasicInput!$D$13&amp;$DM$2&amp;B398&amp;"_"&amp;C398&amp;D398&amp;"_"&amp;BasicInput!$D$7&amp;BasicInput!$D$8&amp;"_"&amp;DL398&amp;".xuf"</f>
        <v>C:\PWWORKING\east01\d2591108\Weave\__2019EX_PM_.xuf</v>
      </c>
    </row>
    <row r="399" spans="85:117" x14ac:dyDescent="0.2">
      <c r="CG399" s="18"/>
      <c r="CM399" s="18"/>
      <c r="DK399" s="31" t="str">
        <f t="shared" si="16"/>
        <v xml:space="preserve">  </v>
      </c>
      <c r="DL399" s="25" t="str">
        <f t="shared" si="17"/>
        <v/>
      </c>
      <c r="DM399" s="25" t="str">
        <f>BasicInput!$D$13&amp;$DM$2&amp;B399&amp;"_"&amp;C399&amp;D399&amp;"_"&amp;BasicInput!$D$7&amp;BasicInput!$D$8&amp;"_"&amp;DL399&amp;".xuf"</f>
        <v>C:\PWWORKING\east01\d2591108\Weave\__2019EX_PM_.xuf</v>
      </c>
    </row>
    <row r="400" spans="85:117" x14ac:dyDescent="0.2">
      <c r="CG400" s="18"/>
      <c r="CM400" s="18"/>
      <c r="DK400" s="31" t="str">
        <f t="shared" si="16"/>
        <v xml:space="preserve">  </v>
      </c>
      <c r="DL400" s="25" t="str">
        <f t="shared" si="17"/>
        <v/>
      </c>
      <c r="DM400" s="25" t="str">
        <f>BasicInput!$D$13&amp;$DM$2&amp;B400&amp;"_"&amp;C400&amp;D400&amp;"_"&amp;BasicInput!$D$7&amp;BasicInput!$D$8&amp;"_"&amp;DL400&amp;".xuf"</f>
        <v>C:\PWWORKING\east01\d2591108\Weave\__2019EX_PM_.xuf</v>
      </c>
    </row>
    <row r="401" spans="85:117" x14ac:dyDescent="0.2">
      <c r="CG401" s="18"/>
      <c r="CM401" s="18"/>
      <c r="DK401" s="31" t="str">
        <f t="shared" si="16"/>
        <v xml:space="preserve">  </v>
      </c>
      <c r="DL401" s="25" t="str">
        <f t="shared" si="17"/>
        <v/>
      </c>
      <c r="DM401" s="25" t="str">
        <f>BasicInput!$D$13&amp;$DM$2&amp;B401&amp;"_"&amp;C401&amp;D401&amp;"_"&amp;BasicInput!$D$7&amp;BasicInput!$D$8&amp;"_"&amp;DL401&amp;".xuf"</f>
        <v>C:\PWWORKING\east01\d2591108\Weave\__2019EX_PM_.xuf</v>
      </c>
    </row>
    <row r="402" spans="85:117" x14ac:dyDescent="0.2">
      <c r="CG402" s="18"/>
      <c r="CM402" s="18"/>
      <c r="DK402" s="31" t="str">
        <f t="shared" si="16"/>
        <v xml:space="preserve">  </v>
      </c>
      <c r="DL402" s="25" t="str">
        <f t="shared" si="17"/>
        <v/>
      </c>
      <c r="DM402" s="25" t="str">
        <f>BasicInput!$D$13&amp;$DM$2&amp;B402&amp;"_"&amp;C402&amp;D402&amp;"_"&amp;BasicInput!$D$7&amp;BasicInput!$D$8&amp;"_"&amp;DL402&amp;".xuf"</f>
        <v>C:\PWWORKING\east01\d2591108\Weave\__2019EX_PM_.xuf</v>
      </c>
    </row>
    <row r="403" spans="85:117" x14ac:dyDescent="0.2">
      <c r="CG403" s="18"/>
      <c r="CM403" s="18"/>
      <c r="DK403" s="31" t="str">
        <f t="shared" si="16"/>
        <v xml:space="preserve">  </v>
      </c>
      <c r="DL403" s="25" t="str">
        <f t="shared" si="17"/>
        <v/>
      </c>
      <c r="DM403" s="25" t="str">
        <f>BasicInput!$D$13&amp;$DM$2&amp;B403&amp;"_"&amp;C403&amp;D403&amp;"_"&amp;BasicInput!$D$7&amp;BasicInput!$D$8&amp;"_"&amp;DL403&amp;".xuf"</f>
        <v>C:\PWWORKING\east01\d2591108\Weave\__2019EX_PM_.xuf</v>
      </c>
    </row>
    <row r="404" spans="85:117" x14ac:dyDescent="0.2">
      <c r="CG404" s="18"/>
      <c r="CM404" s="18"/>
      <c r="DK404" s="31" t="str">
        <f t="shared" si="16"/>
        <v xml:space="preserve">  </v>
      </c>
      <c r="DL404" s="25" t="str">
        <f t="shared" si="17"/>
        <v/>
      </c>
      <c r="DM404" s="25" t="str">
        <f>BasicInput!$D$13&amp;$DM$2&amp;B404&amp;"_"&amp;C404&amp;D404&amp;"_"&amp;BasicInput!$D$7&amp;BasicInput!$D$8&amp;"_"&amp;DL404&amp;".xuf"</f>
        <v>C:\PWWORKING\east01\d2591108\Weave\__2019EX_PM_.xuf</v>
      </c>
    </row>
    <row r="405" spans="85:117" x14ac:dyDescent="0.2">
      <c r="CG405" s="18"/>
      <c r="CM405" s="18"/>
      <c r="DK405" s="31" t="str">
        <f t="shared" si="16"/>
        <v xml:space="preserve">  </v>
      </c>
      <c r="DL405" s="25" t="str">
        <f t="shared" si="17"/>
        <v/>
      </c>
      <c r="DM405" s="25" t="str">
        <f>BasicInput!$D$13&amp;$DM$2&amp;B405&amp;"_"&amp;C405&amp;D405&amp;"_"&amp;BasicInput!$D$7&amp;BasicInput!$D$8&amp;"_"&amp;DL405&amp;".xuf"</f>
        <v>C:\PWWORKING\east01\d2591108\Weave\__2019EX_PM_.xuf</v>
      </c>
    </row>
    <row r="406" spans="85:117" x14ac:dyDescent="0.2">
      <c r="CG406" s="18"/>
      <c r="CM406" s="18"/>
      <c r="DK406" s="31" t="str">
        <f t="shared" si="16"/>
        <v xml:space="preserve">  </v>
      </c>
      <c r="DL406" s="25" t="str">
        <f t="shared" si="17"/>
        <v/>
      </c>
      <c r="DM406" s="25" t="str">
        <f>BasicInput!$D$13&amp;$DM$2&amp;B406&amp;"_"&amp;C406&amp;D406&amp;"_"&amp;BasicInput!$D$7&amp;BasicInput!$D$8&amp;"_"&amp;DL406&amp;".xuf"</f>
        <v>C:\PWWORKING\east01\d2591108\Weave\__2019EX_PM_.xuf</v>
      </c>
    </row>
    <row r="407" spans="85:117" x14ac:dyDescent="0.2">
      <c r="CG407" s="18"/>
      <c r="CM407" s="18"/>
      <c r="DK407" s="31" t="str">
        <f t="shared" si="16"/>
        <v xml:space="preserve">  </v>
      </c>
      <c r="DL407" s="25" t="str">
        <f t="shared" si="17"/>
        <v/>
      </c>
      <c r="DM407" s="25" t="str">
        <f>BasicInput!$D$13&amp;$DM$2&amp;B407&amp;"_"&amp;C407&amp;D407&amp;"_"&amp;BasicInput!$D$7&amp;BasicInput!$D$8&amp;"_"&amp;DL407&amp;".xuf"</f>
        <v>C:\PWWORKING\east01\d2591108\Weave\__2019EX_PM_.xuf</v>
      </c>
    </row>
    <row r="408" spans="85:117" x14ac:dyDescent="0.2">
      <c r="CG408" s="18"/>
      <c r="CM408" s="18"/>
      <c r="DK408" s="31" t="str">
        <f t="shared" si="16"/>
        <v xml:space="preserve">  </v>
      </c>
      <c r="DL408" s="25" t="str">
        <f t="shared" si="17"/>
        <v/>
      </c>
      <c r="DM408" s="25" t="str">
        <f>BasicInput!$D$13&amp;$DM$2&amp;B408&amp;"_"&amp;C408&amp;D408&amp;"_"&amp;BasicInput!$D$7&amp;BasicInput!$D$8&amp;"_"&amp;DL408&amp;".xuf"</f>
        <v>C:\PWWORKING\east01\d2591108\Weave\__2019EX_PM_.xuf</v>
      </c>
    </row>
    <row r="409" spans="85:117" x14ac:dyDescent="0.2">
      <c r="CG409" s="18"/>
      <c r="CM409" s="18"/>
      <c r="DK409" s="31" t="str">
        <f t="shared" si="16"/>
        <v xml:space="preserve">  </v>
      </c>
      <c r="DL409" s="25" t="str">
        <f t="shared" si="17"/>
        <v/>
      </c>
      <c r="DM409" s="25" t="str">
        <f>BasicInput!$D$13&amp;$DM$2&amp;B409&amp;"_"&amp;C409&amp;D409&amp;"_"&amp;BasicInput!$D$7&amp;BasicInput!$D$8&amp;"_"&amp;DL409&amp;".xuf"</f>
        <v>C:\PWWORKING\east01\d2591108\Weave\__2019EX_PM_.xuf</v>
      </c>
    </row>
    <row r="410" spans="85:117" x14ac:dyDescent="0.2">
      <c r="CG410" s="18"/>
      <c r="CM410" s="18"/>
      <c r="DK410" s="31" t="str">
        <f t="shared" si="16"/>
        <v xml:space="preserve">  </v>
      </c>
      <c r="DL410" s="25" t="str">
        <f t="shared" si="17"/>
        <v/>
      </c>
      <c r="DM410" s="25" t="str">
        <f>BasicInput!$D$13&amp;$DM$2&amp;B410&amp;"_"&amp;C410&amp;D410&amp;"_"&amp;BasicInput!$D$7&amp;BasicInput!$D$8&amp;"_"&amp;DL410&amp;".xuf"</f>
        <v>C:\PWWORKING\east01\d2591108\Weave\__2019EX_PM_.xuf</v>
      </c>
    </row>
    <row r="411" spans="85:117" x14ac:dyDescent="0.2">
      <c r="CG411" s="18"/>
      <c r="CM411" s="18"/>
      <c r="DK411" s="31" t="str">
        <f t="shared" si="16"/>
        <v xml:space="preserve">  </v>
      </c>
      <c r="DL411" s="25" t="str">
        <f t="shared" si="17"/>
        <v/>
      </c>
      <c r="DM411" s="25" t="str">
        <f>BasicInput!$D$13&amp;$DM$2&amp;B411&amp;"_"&amp;C411&amp;D411&amp;"_"&amp;BasicInput!$D$7&amp;BasicInput!$D$8&amp;"_"&amp;DL411&amp;".xuf"</f>
        <v>C:\PWWORKING\east01\d2591108\Weave\__2019EX_PM_.xuf</v>
      </c>
    </row>
    <row r="412" spans="85:117" x14ac:dyDescent="0.2">
      <c r="CG412" s="18"/>
      <c r="CM412" s="18"/>
      <c r="DK412" s="31" t="str">
        <f t="shared" si="16"/>
        <v xml:space="preserve">  </v>
      </c>
      <c r="DL412" s="25" t="str">
        <f t="shared" si="17"/>
        <v/>
      </c>
      <c r="DM412" s="25" t="str">
        <f>BasicInput!$D$13&amp;$DM$2&amp;B412&amp;"_"&amp;C412&amp;D412&amp;"_"&amp;BasicInput!$D$7&amp;BasicInput!$D$8&amp;"_"&amp;DL412&amp;".xuf"</f>
        <v>C:\PWWORKING\east01\d2591108\Weave\__2019EX_PM_.xuf</v>
      </c>
    </row>
    <row r="413" spans="85:117" x14ac:dyDescent="0.2">
      <c r="CG413" s="18"/>
      <c r="CM413" s="18"/>
      <c r="DK413" s="31" t="str">
        <f t="shared" si="16"/>
        <v xml:space="preserve">  </v>
      </c>
      <c r="DL413" s="25" t="str">
        <f t="shared" si="17"/>
        <v/>
      </c>
      <c r="DM413" s="25" t="str">
        <f>BasicInput!$D$13&amp;$DM$2&amp;B413&amp;"_"&amp;C413&amp;D413&amp;"_"&amp;BasicInput!$D$7&amp;BasicInput!$D$8&amp;"_"&amp;DL413&amp;".xuf"</f>
        <v>C:\PWWORKING\east01\d2591108\Weave\__2019EX_PM_.xuf</v>
      </c>
    </row>
    <row r="414" spans="85:117" x14ac:dyDescent="0.2">
      <c r="CG414" s="18"/>
      <c r="CM414" s="18"/>
      <c r="DK414" s="31" t="str">
        <f t="shared" si="16"/>
        <v xml:space="preserve">  </v>
      </c>
      <c r="DL414" s="25" t="str">
        <f t="shared" si="17"/>
        <v/>
      </c>
      <c r="DM414" s="25" t="str">
        <f>BasicInput!$D$13&amp;$DM$2&amp;B414&amp;"_"&amp;C414&amp;D414&amp;"_"&amp;BasicInput!$D$7&amp;BasicInput!$D$8&amp;"_"&amp;DL414&amp;".xuf"</f>
        <v>C:\PWWORKING\east01\d2591108\Weave\__2019EX_PM_.xuf</v>
      </c>
    </row>
    <row r="415" spans="85:117" x14ac:dyDescent="0.2">
      <c r="CG415" s="18"/>
      <c r="CM415" s="18"/>
      <c r="DK415" s="31" t="str">
        <f t="shared" si="16"/>
        <v xml:space="preserve">  </v>
      </c>
      <c r="DL415" s="25" t="str">
        <f t="shared" si="17"/>
        <v/>
      </c>
      <c r="DM415" s="25" t="str">
        <f>BasicInput!$D$13&amp;$DM$2&amp;B415&amp;"_"&amp;C415&amp;D415&amp;"_"&amp;BasicInput!$D$7&amp;BasicInput!$D$8&amp;"_"&amp;DL415&amp;".xuf"</f>
        <v>C:\PWWORKING\east01\d2591108\Weave\__2019EX_PM_.xuf</v>
      </c>
    </row>
    <row r="416" spans="85:117" x14ac:dyDescent="0.2">
      <c r="CG416" s="18"/>
      <c r="CM416" s="18"/>
      <c r="DK416" s="31" t="str">
        <f t="shared" si="16"/>
        <v xml:space="preserve">  </v>
      </c>
      <c r="DL416" s="25" t="str">
        <f t="shared" si="17"/>
        <v/>
      </c>
      <c r="DM416" s="25" t="str">
        <f>BasicInput!$D$13&amp;$DM$2&amp;B416&amp;"_"&amp;C416&amp;D416&amp;"_"&amp;BasicInput!$D$7&amp;BasicInput!$D$8&amp;"_"&amp;DL416&amp;".xuf"</f>
        <v>C:\PWWORKING\east01\d2591108\Weave\__2019EX_PM_.xuf</v>
      </c>
    </row>
    <row r="417" spans="85:117" x14ac:dyDescent="0.2">
      <c r="CG417" s="18"/>
      <c r="CM417" s="18"/>
      <c r="DK417" s="31" t="str">
        <f t="shared" si="16"/>
        <v xml:space="preserve">  </v>
      </c>
      <c r="DL417" s="25" t="str">
        <f t="shared" si="17"/>
        <v/>
      </c>
      <c r="DM417" s="25" t="str">
        <f>BasicInput!$D$13&amp;$DM$2&amp;B417&amp;"_"&amp;C417&amp;D417&amp;"_"&amp;BasicInput!$D$7&amp;BasicInput!$D$8&amp;"_"&amp;DL417&amp;".xuf"</f>
        <v>C:\PWWORKING\east01\d2591108\Weave\__2019EX_PM_.xuf</v>
      </c>
    </row>
    <row r="418" spans="85:117" x14ac:dyDescent="0.2">
      <c r="CG418" s="18"/>
      <c r="CM418" s="18"/>
      <c r="DK418" s="31" t="str">
        <f t="shared" si="16"/>
        <v xml:space="preserve">  </v>
      </c>
      <c r="DL418" s="25" t="str">
        <f t="shared" si="17"/>
        <v/>
      </c>
      <c r="DM418" s="25" t="str">
        <f>BasicInput!$D$13&amp;$DM$2&amp;B418&amp;"_"&amp;C418&amp;D418&amp;"_"&amp;BasicInput!$D$7&amp;BasicInput!$D$8&amp;"_"&amp;DL418&amp;".xuf"</f>
        <v>C:\PWWORKING\east01\d2591108\Weave\__2019EX_PM_.xuf</v>
      </c>
    </row>
    <row r="419" spans="85:117" x14ac:dyDescent="0.2">
      <c r="CG419" s="18"/>
      <c r="CM419" s="18"/>
      <c r="DK419" s="31" t="str">
        <f t="shared" si="16"/>
        <v xml:space="preserve">  </v>
      </c>
      <c r="DL419" s="25" t="str">
        <f t="shared" si="17"/>
        <v/>
      </c>
      <c r="DM419" s="25" t="str">
        <f>BasicInput!$D$13&amp;$DM$2&amp;B419&amp;"_"&amp;C419&amp;D419&amp;"_"&amp;BasicInput!$D$7&amp;BasicInput!$D$8&amp;"_"&amp;DL419&amp;".xuf"</f>
        <v>C:\PWWORKING\east01\d2591108\Weave\__2019EX_PM_.xuf</v>
      </c>
    </row>
    <row r="420" spans="85:117" x14ac:dyDescent="0.2">
      <c r="CG420" s="18"/>
      <c r="CM420" s="18"/>
      <c r="DK420" s="31" t="str">
        <f t="shared" si="16"/>
        <v xml:space="preserve">  </v>
      </c>
      <c r="DL420" s="25" t="str">
        <f t="shared" si="17"/>
        <v/>
      </c>
      <c r="DM420" s="25" t="str">
        <f>BasicInput!$D$13&amp;$DM$2&amp;B420&amp;"_"&amp;C420&amp;D420&amp;"_"&amp;BasicInput!$D$7&amp;BasicInput!$D$8&amp;"_"&amp;DL420&amp;".xuf"</f>
        <v>C:\PWWORKING\east01\d2591108\Weave\__2019EX_PM_.xuf</v>
      </c>
    </row>
    <row r="421" spans="85:117" x14ac:dyDescent="0.2">
      <c r="CG421" s="18"/>
      <c r="CM421" s="18"/>
      <c r="DK421" s="31" t="str">
        <f t="shared" si="16"/>
        <v xml:space="preserve">  </v>
      </c>
      <c r="DL421" s="25" t="str">
        <f t="shared" si="17"/>
        <v/>
      </c>
      <c r="DM421" s="25" t="str">
        <f>BasicInput!$D$13&amp;$DM$2&amp;B421&amp;"_"&amp;C421&amp;D421&amp;"_"&amp;BasicInput!$D$7&amp;BasicInput!$D$8&amp;"_"&amp;DL421&amp;".xuf"</f>
        <v>C:\PWWORKING\east01\d2591108\Weave\__2019EX_PM_.xuf</v>
      </c>
    </row>
    <row r="422" spans="85:117" x14ac:dyDescent="0.2">
      <c r="CG422" s="18"/>
      <c r="CM422" s="18"/>
      <c r="DK422" s="31" t="str">
        <f t="shared" si="16"/>
        <v xml:space="preserve">  </v>
      </c>
      <c r="DL422" s="25" t="str">
        <f t="shared" si="17"/>
        <v/>
      </c>
      <c r="DM422" s="25" t="str">
        <f>BasicInput!$D$13&amp;$DM$2&amp;B422&amp;"_"&amp;C422&amp;D422&amp;"_"&amp;BasicInput!$D$7&amp;BasicInput!$D$8&amp;"_"&amp;DL422&amp;".xuf"</f>
        <v>C:\PWWORKING\east01\d2591108\Weave\__2019EX_PM_.xuf</v>
      </c>
    </row>
    <row r="423" spans="85:117" x14ac:dyDescent="0.2">
      <c r="CG423" s="18"/>
      <c r="CM423" s="18"/>
      <c r="DK423" s="31" t="str">
        <f t="shared" si="16"/>
        <v xml:space="preserve">  </v>
      </c>
      <c r="DL423" s="25" t="str">
        <f t="shared" si="17"/>
        <v/>
      </c>
      <c r="DM423" s="25" t="str">
        <f>BasicInput!$D$13&amp;$DM$2&amp;B423&amp;"_"&amp;C423&amp;D423&amp;"_"&amp;BasicInput!$D$7&amp;BasicInput!$D$8&amp;"_"&amp;DL423&amp;".xuf"</f>
        <v>C:\PWWORKING\east01\d2591108\Weave\__2019EX_PM_.xuf</v>
      </c>
    </row>
    <row r="424" spans="85:117" x14ac:dyDescent="0.2">
      <c r="CG424" s="18"/>
      <c r="CM424" s="18"/>
      <c r="DK424" s="31" t="str">
        <f t="shared" si="16"/>
        <v xml:space="preserve">  </v>
      </c>
      <c r="DL424" s="25" t="str">
        <f t="shared" si="17"/>
        <v/>
      </c>
      <c r="DM424" s="25" t="str">
        <f>BasicInput!$D$13&amp;$DM$2&amp;B424&amp;"_"&amp;C424&amp;D424&amp;"_"&amp;BasicInput!$D$7&amp;BasicInput!$D$8&amp;"_"&amp;DL424&amp;".xuf"</f>
        <v>C:\PWWORKING\east01\d2591108\Weave\__2019EX_PM_.xuf</v>
      </c>
    </row>
    <row r="425" spans="85:117" x14ac:dyDescent="0.2">
      <c r="CG425" s="18"/>
      <c r="CM425" s="18"/>
      <c r="DK425" s="31" t="str">
        <f t="shared" si="16"/>
        <v xml:space="preserve">  </v>
      </c>
      <c r="DL425" s="25" t="str">
        <f t="shared" si="17"/>
        <v/>
      </c>
      <c r="DM425" s="25" t="str">
        <f>BasicInput!$D$13&amp;$DM$2&amp;B425&amp;"_"&amp;C425&amp;D425&amp;"_"&amp;BasicInput!$D$7&amp;BasicInput!$D$8&amp;"_"&amp;DL425&amp;".xuf"</f>
        <v>C:\PWWORKING\east01\d2591108\Weave\__2019EX_PM_.xuf</v>
      </c>
    </row>
    <row r="426" spans="85:117" x14ac:dyDescent="0.2">
      <c r="CG426" s="18"/>
      <c r="CM426" s="18"/>
      <c r="DK426" s="31" t="str">
        <f t="shared" si="16"/>
        <v xml:space="preserve">  </v>
      </c>
      <c r="DL426" s="25" t="str">
        <f t="shared" si="17"/>
        <v/>
      </c>
      <c r="DM426" s="25" t="str">
        <f>BasicInput!$D$13&amp;$DM$2&amp;B426&amp;"_"&amp;C426&amp;D426&amp;"_"&amp;BasicInput!$D$7&amp;BasicInput!$D$8&amp;"_"&amp;DL426&amp;".xuf"</f>
        <v>C:\PWWORKING\east01\d2591108\Weave\__2019EX_PM_.xuf</v>
      </c>
    </row>
    <row r="427" spans="85:117" x14ac:dyDescent="0.2">
      <c r="CG427" s="18"/>
      <c r="CM427" s="18"/>
      <c r="DK427" s="31" t="str">
        <f t="shared" si="16"/>
        <v xml:space="preserve">  </v>
      </c>
      <c r="DL427" s="25" t="str">
        <f t="shared" si="17"/>
        <v/>
      </c>
      <c r="DM427" s="25" t="str">
        <f>BasicInput!$D$13&amp;$DM$2&amp;B427&amp;"_"&amp;C427&amp;D427&amp;"_"&amp;BasicInput!$D$7&amp;BasicInput!$D$8&amp;"_"&amp;DL427&amp;".xuf"</f>
        <v>C:\PWWORKING\east01\d2591108\Weave\__2019EX_PM_.xuf</v>
      </c>
    </row>
    <row r="428" spans="85:117" x14ac:dyDescent="0.2">
      <c r="CG428" s="18"/>
      <c r="CM428" s="18"/>
      <c r="DK428" s="31" t="str">
        <f t="shared" si="16"/>
        <v xml:space="preserve">  </v>
      </c>
      <c r="DL428" s="25" t="str">
        <f t="shared" si="17"/>
        <v/>
      </c>
      <c r="DM428" s="25" t="str">
        <f>BasicInput!$D$13&amp;$DM$2&amp;B428&amp;"_"&amp;C428&amp;D428&amp;"_"&amp;BasicInput!$D$7&amp;BasicInput!$D$8&amp;"_"&amp;DL428&amp;".xuf"</f>
        <v>C:\PWWORKING\east01\d2591108\Weave\__2019EX_PM_.xuf</v>
      </c>
    </row>
    <row r="429" spans="85:117" x14ac:dyDescent="0.2">
      <c r="CG429" s="18"/>
      <c r="CM429" s="18"/>
      <c r="DK429" s="31" t="str">
        <f t="shared" si="16"/>
        <v xml:space="preserve">  </v>
      </c>
      <c r="DL429" s="25" t="str">
        <f t="shared" si="17"/>
        <v/>
      </c>
      <c r="DM429" s="25" t="str">
        <f>BasicInput!$D$13&amp;$DM$2&amp;B429&amp;"_"&amp;C429&amp;D429&amp;"_"&amp;BasicInput!$D$7&amp;BasicInput!$D$8&amp;"_"&amp;DL429&amp;".xuf"</f>
        <v>C:\PWWORKING\east01\d2591108\Weave\__2019EX_PM_.xuf</v>
      </c>
    </row>
    <row r="430" spans="85:117" x14ac:dyDescent="0.2">
      <c r="CG430" s="18"/>
      <c r="CM430" s="18"/>
      <c r="DK430" s="31" t="str">
        <f t="shared" si="16"/>
        <v xml:space="preserve">  </v>
      </c>
      <c r="DL430" s="25" t="str">
        <f t="shared" si="17"/>
        <v/>
      </c>
      <c r="DM430" s="25" t="str">
        <f>BasicInput!$D$13&amp;$DM$2&amp;B430&amp;"_"&amp;C430&amp;D430&amp;"_"&amp;BasicInput!$D$7&amp;BasicInput!$D$8&amp;"_"&amp;DL430&amp;".xuf"</f>
        <v>C:\PWWORKING\east01\d2591108\Weave\__2019EX_PM_.xuf</v>
      </c>
    </row>
    <row r="431" spans="85:117" x14ac:dyDescent="0.2">
      <c r="CG431" s="18"/>
      <c r="CM431" s="18"/>
      <c r="DK431" s="31" t="str">
        <f t="shared" si="16"/>
        <v xml:space="preserve">  </v>
      </c>
      <c r="DL431" s="25" t="str">
        <f t="shared" si="17"/>
        <v/>
      </c>
      <c r="DM431" s="25" t="str">
        <f>BasicInput!$D$13&amp;$DM$2&amp;B431&amp;"_"&amp;C431&amp;D431&amp;"_"&amp;BasicInput!$D$7&amp;BasicInput!$D$8&amp;"_"&amp;DL431&amp;".xuf"</f>
        <v>C:\PWWORKING\east01\d2591108\Weave\__2019EX_PM_.xuf</v>
      </c>
    </row>
    <row r="432" spans="85:117" x14ac:dyDescent="0.2">
      <c r="CG432" s="18"/>
      <c r="CM432" s="18"/>
      <c r="DK432" s="31" t="str">
        <f t="shared" si="16"/>
        <v xml:space="preserve">  </v>
      </c>
      <c r="DL432" s="25" t="str">
        <f t="shared" si="17"/>
        <v/>
      </c>
      <c r="DM432" s="25" t="str">
        <f>BasicInput!$D$13&amp;$DM$2&amp;B432&amp;"_"&amp;C432&amp;D432&amp;"_"&amp;BasicInput!$D$7&amp;BasicInput!$D$8&amp;"_"&amp;DL432&amp;".xuf"</f>
        <v>C:\PWWORKING\east01\d2591108\Weave\__2019EX_PM_.xuf</v>
      </c>
    </row>
    <row r="433" spans="85:117" x14ac:dyDescent="0.2">
      <c r="CG433" s="18"/>
      <c r="CM433" s="18"/>
      <c r="DK433" s="31" t="str">
        <f t="shared" si="16"/>
        <v xml:space="preserve">  </v>
      </c>
      <c r="DL433" s="25" t="str">
        <f t="shared" si="17"/>
        <v/>
      </c>
      <c r="DM433" s="25" t="str">
        <f>BasicInput!$D$13&amp;$DM$2&amp;B433&amp;"_"&amp;C433&amp;D433&amp;"_"&amp;BasicInput!$D$7&amp;BasicInput!$D$8&amp;"_"&amp;DL433&amp;".xuf"</f>
        <v>C:\PWWORKING\east01\d2591108\Weave\__2019EX_PM_.xuf</v>
      </c>
    </row>
    <row r="434" spans="85:117" x14ac:dyDescent="0.2">
      <c r="CG434" s="18"/>
      <c r="CM434" s="18"/>
      <c r="DK434" s="31" t="str">
        <f t="shared" si="16"/>
        <v xml:space="preserve">  </v>
      </c>
      <c r="DL434" s="25" t="str">
        <f t="shared" si="17"/>
        <v/>
      </c>
      <c r="DM434" s="25" t="str">
        <f>BasicInput!$D$13&amp;$DM$2&amp;B434&amp;"_"&amp;C434&amp;D434&amp;"_"&amp;BasicInput!$D$7&amp;BasicInput!$D$8&amp;"_"&amp;DL434&amp;".xuf"</f>
        <v>C:\PWWORKING\east01\d2591108\Weave\__2019EX_PM_.xuf</v>
      </c>
    </row>
    <row r="435" spans="85:117" x14ac:dyDescent="0.2">
      <c r="CG435" s="18"/>
      <c r="CM435" s="18"/>
      <c r="DK435" s="31" t="str">
        <f t="shared" si="16"/>
        <v xml:space="preserve">  </v>
      </c>
      <c r="DL435" s="25" t="str">
        <f t="shared" si="17"/>
        <v/>
      </c>
      <c r="DM435" s="25" t="str">
        <f>BasicInput!$D$13&amp;$DM$2&amp;B435&amp;"_"&amp;C435&amp;D435&amp;"_"&amp;BasicInput!$D$7&amp;BasicInput!$D$8&amp;"_"&amp;DL435&amp;".xuf"</f>
        <v>C:\PWWORKING\east01\d2591108\Weave\__2019EX_PM_.xuf</v>
      </c>
    </row>
    <row r="436" spans="85:117" x14ac:dyDescent="0.2">
      <c r="CG436" s="18"/>
      <c r="CM436" s="18"/>
      <c r="DK436" s="31" t="str">
        <f t="shared" si="16"/>
        <v xml:space="preserve">  </v>
      </c>
      <c r="DL436" s="25" t="str">
        <f t="shared" si="17"/>
        <v/>
      </c>
      <c r="DM436" s="25" t="str">
        <f>BasicInput!$D$13&amp;$DM$2&amp;B436&amp;"_"&amp;C436&amp;D436&amp;"_"&amp;BasicInput!$D$7&amp;BasicInput!$D$8&amp;"_"&amp;DL436&amp;".xuf"</f>
        <v>C:\PWWORKING\east01\d2591108\Weave\__2019EX_PM_.xuf</v>
      </c>
    </row>
    <row r="437" spans="85:117" x14ac:dyDescent="0.2">
      <c r="CG437" s="18"/>
      <c r="CM437" s="18"/>
      <c r="DK437" s="31" t="str">
        <f t="shared" si="16"/>
        <v xml:space="preserve">  </v>
      </c>
      <c r="DL437" s="25" t="str">
        <f t="shared" si="17"/>
        <v/>
      </c>
      <c r="DM437" s="25" t="str">
        <f>BasicInput!$D$13&amp;$DM$2&amp;B437&amp;"_"&amp;C437&amp;D437&amp;"_"&amp;BasicInput!$D$7&amp;BasicInput!$D$8&amp;"_"&amp;DL437&amp;".xuf"</f>
        <v>C:\PWWORKING\east01\d2591108\Weave\__2019EX_PM_.xuf</v>
      </c>
    </row>
    <row r="438" spans="85:117" x14ac:dyDescent="0.2">
      <c r="CG438" s="18"/>
      <c r="CM438" s="18"/>
      <c r="DK438" s="31" t="str">
        <f t="shared" si="16"/>
        <v xml:space="preserve">  </v>
      </c>
      <c r="DL438" s="25" t="str">
        <f t="shared" si="17"/>
        <v/>
      </c>
      <c r="DM438" s="25" t="str">
        <f>BasicInput!$D$13&amp;$DM$2&amp;B438&amp;"_"&amp;C438&amp;D438&amp;"_"&amp;BasicInput!$D$7&amp;BasicInput!$D$8&amp;"_"&amp;DL438&amp;".xuf"</f>
        <v>C:\PWWORKING\east01\d2591108\Weave\__2019EX_PM_.xuf</v>
      </c>
    </row>
    <row r="439" spans="85:117" x14ac:dyDescent="0.2">
      <c r="CG439" s="18"/>
      <c r="CM439" s="18"/>
      <c r="DK439" s="31" t="str">
        <f t="shared" si="16"/>
        <v xml:space="preserve">  </v>
      </c>
      <c r="DL439" s="25" t="str">
        <f t="shared" si="17"/>
        <v/>
      </c>
      <c r="DM439" s="25" t="str">
        <f>BasicInput!$D$13&amp;$DM$2&amp;B439&amp;"_"&amp;C439&amp;D439&amp;"_"&amp;BasicInput!$D$7&amp;BasicInput!$D$8&amp;"_"&amp;DL439&amp;".xuf"</f>
        <v>C:\PWWORKING\east01\d2591108\Weave\__2019EX_PM_.xuf</v>
      </c>
    </row>
    <row r="440" spans="85:117" x14ac:dyDescent="0.2">
      <c r="CG440" s="18"/>
      <c r="CM440" s="18"/>
      <c r="DK440" s="31" t="str">
        <f t="shared" si="16"/>
        <v xml:space="preserve">  </v>
      </c>
      <c r="DL440" s="25" t="str">
        <f t="shared" si="17"/>
        <v/>
      </c>
      <c r="DM440" s="25" t="str">
        <f>BasicInput!$D$13&amp;$DM$2&amp;B440&amp;"_"&amp;C440&amp;D440&amp;"_"&amp;BasicInput!$D$7&amp;BasicInput!$D$8&amp;"_"&amp;DL440&amp;".xuf"</f>
        <v>C:\PWWORKING\east01\d2591108\Weave\__2019EX_PM_.xuf</v>
      </c>
    </row>
    <row r="441" spans="85:117" x14ac:dyDescent="0.2">
      <c r="CG441" s="18"/>
      <c r="CM441" s="18"/>
      <c r="DK441" s="31" t="str">
        <f t="shared" si="16"/>
        <v xml:space="preserve">  </v>
      </c>
      <c r="DL441" s="25" t="str">
        <f t="shared" si="17"/>
        <v/>
      </c>
      <c r="DM441" s="25" t="str">
        <f>BasicInput!$D$13&amp;$DM$2&amp;B441&amp;"_"&amp;C441&amp;D441&amp;"_"&amp;BasicInput!$D$7&amp;BasicInput!$D$8&amp;"_"&amp;DL441&amp;".xuf"</f>
        <v>C:\PWWORKING\east01\d2591108\Weave\__2019EX_PM_.xuf</v>
      </c>
    </row>
    <row r="442" spans="85:117" x14ac:dyDescent="0.2">
      <c r="CG442" s="18"/>
      <c r="CM442" s="18"/>
      <c r="DK442" s="31" t="str">
        <f t="shared" si="16"/>
        <v xml:space="preserve">  </v>
      </c>
      <c r="DL442" s="25" t="str">
        <f t="shared" si="17"/>
        <v/>
      </c>
      <c r="DM442" s="25" t="str">
        <f>BasicInput!$D$13&amp;$DM$2&amp;B442&amp;"_"&amp;C442&amp;D442&amp;"_"&amp;BasicInput!$D$7&amp;BasicInput!$D$8&amp;"_"&amp;DL442&amp;".xuf"</f>
        <v>C:\PWWORKING\east01\d2591108\Weave\__2019EX_PM_.xuf</v>
      </c>
    </row>
    <row r="443" spans="85:117" x14ac:dyDescent="0.2">
      <c r="CG443" s="18"/>
      <c r="CM443" s="18"/>
      <c r="DK443" s="31" t="str">
        <f t="shared" si="16"/>
        <v xml:space="preserve">  </v>
      </c>
      <c r="DL443" s="25" t="str">
        <f t="shared" si="17"/>
        <v/>
      </c>
      <c r="DM443" s="25" t="str">
        <f>BasicInput!$D$13&amp;$DM$2&amp;B443&amp;"_"&amp;C443&amp;D443&amp;"_"&amp;BasicInput!$D$7&amp;BasicInput!$D$8&amp;"_"&amp;DL443&amp;".xuf"</f>
        <v>C:\PWWORKING\east01\d2591108\Weave\__2019EX_PM_.xuf</v>
      </c>
    </row>
    <row r="444" spans="85:117" x14ac:dyDescent="0.2">
      <c r="CG444" s="18"/>
      <c r="CM444" s="18"/>
      <c r="DK444" s="31" t="str">
        <f t="shared" si="16"/>
        <v xml:space="preserve">  </v>
      </c>
      <c r="DL444" s="25" t="str">
        <f t="shared" si="17"/>
        <v/>
      </c>
      <c r="DM444" s="25" t="str">
        <f>BasicInput!$D$13&amp;$DM$2&amp;B444&amp;"_"&amp;C444&amp;D444&amp;"_"&amp;BasicInput!$D$7&amp;BasicInput!$D$8&amp;"_"&amp;DL444&amp;".xuf"</f>
        <v>C:\PWWORKING\east01\d2591108\Weave\__2019EX_PM_.xuf</v>
      </c>
    </row>
    <row r="445" spans="85:117" x14ac:dyDescent="0.2">
      <c r="CG445" s="18"/>
      <c r="CM445" s="18"/>
      <c r="DK445" s="31" t="str">
        <f t="shared" si="16"/>
        <v xml:space="preserve">  </v>
      </c>
      <c r="DL445" s="25" t="str">
        <f t="shared" si="17"/>
        <v/>
      </c>
      <c r="DM445" s="25" t="str">
        <f>BasicInput!$D$13&amp;$DM$2&amp;B445&amp;"_"&amp;C445&amp;D445&amp;"_"&amp;BasicInput!$D$7&amp;BasicInput!$D$8&amp;"_"&amp;DL445&amp;".xuf"</f>
        <v>C:\PWWORKING\east01\d2591108\Weave\__2019EX_PM_.xuf</v>
      </c>
    </row>
    <row r="446" spans="85:117" x14ac:dyDescent="0.2">
      <c r="CG446" s="18"/>
      <c r="CM446" s="18"/>
      <c r="DK446" s="31" t="str">
        <f t="shared" si="16"/>
        <v xml:space="preserve">  </v>
      </c>
      <c r="DL446" s="25" t="str">
        <f t="shared" si="17"/>
        <v/>
      </c>
      <c r="DM446" s="25" t="str">
        <f>BasicInput!$D$13&amp;$DM$2&amp;B446&amp;"_"&amp;C446&amp;D446&amp;"_"&amp;BasicInput!$D$7&amp;BasicInput!$D$8&amp;"_"&amp;DL446&amp;".xuf"</f>
        <v>C:\PWWORKING\east01\d2591108\Weave\__2019EX_PM_.xuf</v>
      </c>
    </row>
    <row r="447" spans="85:117" x14ac:dyDescent="0.2">
      <c r="CG447" s="18"/>
      <c r="CM447" s="18"/>
      <c r="DK447" s="31" t="str">
        <f t="shared" si="16"/>
        <v xml:space="preserve">  </v>
      </c>
      <c r="DL447" s="25" t="str">
        <f t="shared" si="17"/>
        <v/>
      </c>
      <c r="DM447" s="25" t="str">
        <f>BasicInput!$D$13&amp;$DM$2&amp;B447&amp;"_"&amp;C447&amp;D447&amp;"_"&amp;BasicInput!$D$7&amp;BasicInput!$D$8&amp;"_"&amp;DL447&amp;".xuf"</f>
        <v>C:\PWWORKING\east01\d2591108\Weave\__2019EX_PM_.xuf</v>
      </c>
    </row>
    <row r="448" spans="85:117" x14ac:dyDescent="0.2">
      <c r="CG448" s="18"/>
      <c r="CM448" s="18"/>
      <c r="DK448" s="31" t="str">
        <f t="shared" si="16"/>
        <v xml:space="preserve">  </v>
      </c>
      <c r="DL448" s="25" t="str">
        <f t="shared" si="17"/>
        <v/>
      </c>
      <c r="DM448" s="25" t="str">
        <f>BasicInput!$D$13&amp;$DM$2&amp;B448&amp;"_"&amp;C448&amp;D448&amp;"_"&amp;BasicInput!$D$7&amp;BasicInput!$D$8&amp;"_"&amp;DL448&amp;".xuf"</f>
        <v>C:\PWWORKING\east01\d2591108\Weave\__2019EX_PM_.xuf</v>
      </c>
    </row>
    <row r="449" spans="85:117" x14ac:dyDescent="0.2">
      <c r="CG449" s="18"/>
      <c r="CM449" s="18"/>
      <c r="DK449" s="31" t="str">
        <f t="shared" si="16"/>
        <v xml:space="preserve">  </v>
      </c>
      <c r="DL449" s="25" t="str">
        <f t="shared" si="17"/>
        <v/>
      </c>
      <c r="DM449" s="25" t="str">
        <f>BasicInput!$D$13&amp;$DM$2&amp;B449&amp;"_"&amp;C449&amp;D449&amp;"_"&amp;BasicInput!$D$7&amp;BasicInput!$D$8&amp;"_"&amp;DL449&amp;".xuf"</f>
        <v>C:\PWWORKING\east01\d2591108\Weave\__2019EX_PM_.xuf</v>
      </c>
    </row>
    <row r="450" spans="85:117" x14ac:dyDescent="0.2">
      <c r="CG450" s="18"/>
      <c r="CM450" s="18"/>
      <c r="DK450" s="31" t="str">
        <f t="shared" si="16"/>
        <v xml:space="preserve">  </v>
      </c>
      <c r="DL450" s="25" t="str">
        <f t="shared" si="17"/>
        <v/>
      </c>
      <c r="DM450" s="25" t="str">
        <f>BasicInput!$D$13&amp;$DM$2&amp;B450&amp;"_"&amp;C450&amp;D450&amp;"_"&amp;BasicInput!$D$7&amp;BasicInput!$D$8&amp;"_"&amp;DL450&amp;".xuf"</f>
        <v>C:\PWWORKING\east01\d2591108\Weave\__2019EX_PM_.xuf</v>
      </c>
    </row>
    <row r="451" spans="85:117" x14ac:dyDescent="0.2">
      <c r="CG451" s="18"/>
      <c r="CM451" s="18"/>
      <c r="DK451" s="31" t="str">
        <f t="shared" si="16"/>
        <v xml:space="preserve">  </v>
      </c>
      <c r="DL451" s="25" t="str">
        <f t="shared" si="17"/>
        <v/>
      </c>
      <c r="DM451" s="25" t="str">
        <f>BasicInput!$D$13&amp;$DM$2&amp;B451&amp;"_"&amp;C451&amp;D451&amp;"_"&amp;BasicInput!$D$7&amp;BasicInput!$D$8&amp;"_"&amp;DL451&amp;".xuf"</f>
        <v>C:\PWWORKING\east01\d2591108\Weave\__2019EX_PM_.xuf</v>
      </c>
    </row>
    <row r="452" spans="85:117" x14ac:dyDescent="0.2">
      <c r="CG452" s="18"/>
      <c r="CM452" s="18"/>
      <c r="DK452" s="31" t="str">
        <f t="shared" si="16"/>
        <v xml:space="preserve">  </v>
      </c>
      <c r="DL452" s="25" t="str">
        <f t="shared" si="17"/>
        <v/>
      </c>
      <c r="DM452" s="25" t="str">
        <f>BasicInput!$D$13&amp;$DM$2&amp;B452&amp;"_"&amp;C452&amp;D452&amp;"_"&amp;BasicInput!$D$7&amp;BasicInput!$D$8&amp;"_"&amp;DL452&amp;".xuf"</f>
        <v>C:\PWWORKING\east01\d2591108\Weave\__2019EX_PM_.xuf</v>
      </c>
    </row>
    <row r="453" spans="85:117" x14ac:dyDescent="0.2">
      <c r="CG453" s="18"/>
      <c r="CM453" s="18"/>
      <c r="DK453" s="31" t="str">
        <f t="shared" si="16"/>
        <v xml:space="preserve">  </v>
      </c>
      <c r="DL453" s="25" t="str">
        <f t="shared" si="17"/>
        <v/>
      </c>
      <c r="DM453" s="25" t="str">
        <f>BasicInput!$D$13&amp;$DM$2&amp;B453&amp;"_"&amp;C453&amp;D453&amp;"_"&amp;BasicInput!$D$7&amp;BasicInput!$D$8&amp;"_"&amp;DL453&amp;".xuf"</f>
        <v>C:\PWWORKING\east01\d2591108\Weave\__2019EX_PM_.xuf</v>
      </c>
    </row>
    <row r="454" spans="85:117" x14ac:dyDescent="0.2">
      <c r="CG454" s="18"/>
      <c r="CM454" s="18"/>
      <c r="DK454" s="31" t="str">
        <f t="shared" si="16"/>
        <v xml:space="preserve">  </v>
      </c>
      <c r="DL454" s="25" t="str">
        <f t="shared" si="17"/>
        <v/>
      </c>
      <c r="DM454" s="25" t="str">
        <f>BasicInput!$D$13&amp;$DM$2&amp;B454&amp;"_"&amp;C454&amp;D454&amp;"_"&amp;BasicInput!$D$7&amp;BasicInput!$D$8&amp;"_"&amp;DL454&amp;".xuf"</f>
        <v>C:\PWWORKING\east01\d2591108\Weave\__2019EX_PM_.xuf</v>
      </c>
    </row>
    <row r="455" spans="85:117" x14ac:dyDescent="0.2">
      <c r="CG455" s="18"/>
      <c r="CM455" s="18"/>
      <c r="DK455" s="31" t="str">
        <f t="shared" si="16"/>
        <v xml:space="preserve">  </v>
      </c>
      <c r="DL455" s="25" t="str">
        <f t="shared" si="17"/>
        <v/>
      </c>
      <c r="DM455" s="25" t="str">
        <f>BasicInput!$D$13&amp;$DM$2&amp;B455&amp;"_"&amp;C455&amp;D455&amp;"_"&amp;BasicInput!$D$7&amp;BasicInput!$D$8&amp;"_"&amp;DL455&amp;".xuf"</f>
        <v>C:\PWWORKING\east01\d2591108\Weave\__2019EX_PM_.xuf</v>
      </c>
    </row>
    <row r="456" spans="85:117" x14ac:dyDescent="0.2">
      <c r="CG456" s="18"/>
      <c r="CM456" s="18"/>
      <c r="DK456" s="31" t="str">
        <f t="shared" si="16"/>
        <v xml:space="preserve">  </v>
      </c>
      <c r="DL456" s="25" t="str">
        <f t="shared" si="17"/>
        <v/>
      </c>
      <c r="DM456" s="25" t="str">
        <f>BasicInput!$D$13&amp;$DM$2&amp;B456&amp;"_"&amp;C456&amp;D456&amp;"_"&amp;BasicInput!$D$7&amp;BasicInput!$D$8&amp;"_"&amp;DL456&amp;".xuf"</f>
        <v>C:\PWWORKING\east01\d2591108\Weave\__2019EX_PM_.xuf</v>
      </c>
    </row>
    <row r="457" spans="85:117" x14ac:dyDescent="0.2">
      <c r="CG457" s="18"/>
      <c r="CM457" s="18"/>
      <c r="DK457" s="31" t="str">
        <f t="shared" si="16"/>
        <v xml:space="preserve">  </v>
      </c>
      <c r="DL457" s="25" t="str">
        <f t="shared" si="17"/>
        <v/>
      </c>
      <c r="DM457" s="25" t="str">
        <f>BasicInput!$D$13&amp;$DM$2&amp;B457&amp;"_"&amp;C457&amp;D457&amp;"_"&amp;BasicInput!$D$7&amp;BasicInput!$D$8&amp;"_"&amp;DL457&amp;".xuf"</f>
        <v>C:\PWWORKING\east01\d2591108\Weave\__2019EX_PM_.xuf</v>
      </c>
    </row>
    <row r="458" spans="85:117" x14ac:dyDescent="0.2">
      <c r="CG458" s="18"/>
      <c r="CM458" s="18"/>
      <c r="DK458" s="31" t="str">
        <f t="shared" si="16"/>
        <v xml:space="preserve">  </v>
      </c>
      <c r="DL458" s="25" t="str">
        <f t="shared" si="17"/>
        <v/>
      </c>
      <c r="DM458" s="25" t="str">
        <f>BasicInput!$D$13&amp;$DM$2&amp;B458&amp;"_"&amp;C458&amp;D458&amp;"_"&amp;BasicInput!$D$7&amp;BasicInput!$D$8&amp;"_"&amp;DL458&amp;".xuf"</f>
        <v>C:\PWWORKING\east01\d2591108\Weave\__2019EX_PM_.xuf</v>
      </c>
    </row>
    <row r="459" spans="85:117" x14ac:dyDescent="0.2">
      <c r="CG459" s="18"/>
      <c r="CM459" s="18"/>
      <c r="DK459" s="31" t="str">
        <f t="shared" si="16"/>
        <v xml:space="preserve">  </v>
      </c>
      <c r="DL459" s="25" t="str">
        <f t="shared" si="17"/>
        <v/>
      </c>
      <c r="DM459" s="25" t="str">
        <f>BasicInput!$D$13&amp;$DM$2&amp;B459&amp;"_"&amp;C459&amp;D459&amp;"_"&amp;BasicInput!$D$7&amp;BasicInput!$D$8&amp;"_"&amp;DL459&amp;".xuf"</f>
        <v>C:\PWWORKING\east01\d2591108\Weave\__2019EX_PM_.xuf</v>
      </c>
    </row>
    <row r="460" spans="85:117" x14ac:dyDescent="0.2">
      <c r="CG460" s="18"/>
      <c r="CM460" s="18"/>
      <c r="DK460" s="31" t="str">
        <f t="shared" ref="DK460:DK523" si="18">C460&amp; " "&amp;D460&amp;" " &amp;E460</f>
        <v xml:space="preserve">  </v>
      </c>
      <c r="DL460" s="25" t="str">
        <f t="shared" ref="DL460:DL523" si="19">TRIM(LEFT(E460, 30))</f>
        <v/>
      </c>
      <c r="DM460" s="25" t="str">
        <f>BasicInput!$D$13&amp;$DM$2&amp;B460&amp;"_"&amp;C460&amp;D460&amp;"_"&amp;BasicInput!$D$7&amp;BasicInput!$D$8&amp;"_"&amp;DL460&amp;".xuf"</f>
        <v>C:\PWWORKING\east01\d2591108\Weave\__2019EX_PM_.xuf</v>
      </c>
    </row>
    <row r="461" spans="85:117" x14ac:dyDescent="0.2">
      <c r="CG461" s="18"/>
      <c r="CM461" s="18"/>
      <c r="DK461" s="31" t="str">
        <f t="shared" si="18"/>
        <v xml:space="preserve">  </v>
      </c>
      <c r="DL461" s="25" t="str">
        <f t="shared" si="19"/>
        <v/>
      </c>
      <c r="DM461" s="25" t="str">
        <f>BasicInput!$D$13&amp;$DM$2&amp;B461&amp;"_"&amp;C461&amp;D461&amp;"_"&amp;BasicInput!$D$7&amp;BasicInput!$D$8&amp;"_"&amp;DL461&amp;".xuf"</f>
        <v>C:\PWWORKING\east01\d2591108\Weave\__2019EX_PM_.xuf</v>
      </c>
    </row>
    <row r="462" spans="85:117" x14ac:dyDescent="0.2">
      <c r="CG462" s="18"/>
      <c r="CM462" s="18"/>
      <c r="DK462" s="31" t="str">
        <f t="shared" si="18"/>
        <v xml:space="preserve">  </v>
      </c>
      <c r="DL462" s="25" t="str">
        <f t="shared" si="19"/>
        <v/>
      </c>
      <c r="DM462" s="25" t="str">
        <f>BasicInput!$D$13&amp;$DM$2&amp;B462&amp;"_"&amp;C462&amp;D462&amp;"_"&amp;BasicInput!$D$7&amp;BasicInput!$D$8&amp;"_"&amp;DL462&amp;".xuf"</f>
        <v>C:\PWWORKING\east01\d2591108\Weave\__2019EX_PM_.xuf</v>
      </c>
    </row>
    <row r="463" spans="85:117" x14ac:dyDescent="0.2">
      <c r="CG463" s="18"/>
      <c r="CM463" s="18"/>
      <c r="DK463" s="31" t="str">
        <f t="shared" si="18"/>
        <v xml:space="preserve">  </v>
      </c>
      <c r="DL463" s="25" t="str">
        <f t="shared" si="19"/>
        <v/>
      </c>
      <c r="DM463" s="25" t="str">
        <f>BasicInput!$D$13&amp;$DM$2&amp;B463&amp;"_"&amp;C463&amp;D463&amp;"_"&amp;BasicInput!$D$7&amp;BasicInput!$D$8&amp;"_"&amp;DL463&amp;".xuf"</f>
        <v>C:\PWWORKING\east01\d2591108\Weave\__2019EX_PM_.xuf</v>
      </c>
    </row>
    <row r="464" spans="85:117" x14ac:dyDescent="0.2">
      <c r="CG464" s="18"/>
      <c r="CM464" s="18"/>
      <c r="DK464" s="31" t="str">
        <f t="shared" si="18"/>
        <v xml:space="preserve">  </v>
      </c>
      <c r="DL464" s="25" t="str">
        <f t="shared" si="19"/>
        <v/>
      </c>
      <c r="DM464" s="25" t="str">
        <f>BasicInput!$D$13&amp;$DM$2&amp;B464&amp;"_"&amp;C464&amp;D464&amp;"_"&amp;BasicInput!$D$7&amp;BasicInput!$D$8&amp;"_"&amp;DL464&amp;".xuf"</f>
        <v>C:\PWWORKING\east01\d2591108\Weave\__2019EX_PM_.xuf</v>
      </c>
    </row>
    <row r="465" spans="85:117" x14ac:dyDescent="0.2">
      <c r="CG465" s="18"/>
      <c r="CM465" s="18"/>
      <c r="DK465" s="31" t="str">
        <f t="shared" si="18"/>
        <v xml:space="preserve">  </v>
      </c>
      <c r="DL465" s="25" t="str">
        <f t="shared" si="19"/>
        <v/>
      </c>
      <c r="DM465" s="25" t="str">
        <f>BasicInput!$D$13&amp;$DM$2&amp;B465&amp;"_"&amp;C465&amp;D465&amp;"_"&amp;BasicInput!$D$7&amp;BasicInput!$D$8&amp;"_"&amp;DL465&amp;".xuf"</f>
        <v>C:\PWWORKING\east01\d2591108\Weave\__2019EX_PM_.xuf</v>
      </c>
    </row>
    <row r="466" spans="85:117" x14ac:dyDescent="0.2">
      <c r="CG466" s="18"/>
      <c r="CM466" s="18"/>
      <c r="DK466" s="31" t="str">
        <f t="shared" si="18"/>
        <v xml:space="preserve">  </v>
      </c>
      <c r="DL466" s="25" t="str">
        <f t="shared" si="19"/>
        <v/>
      </c>
      <c r="DM466" s="25" t="str">
        <f>BasicInput!$D$13&amp;$DM$2&amp;B466&amp;"_"&amp;C466&amp;D466&amp;"_"&amp;BasicInput!$D$7&amp;BasicInput!$D$8&amp;"_"&amp;DL466&amp;".xuf"</f>
        <v>C:\PWWORKING\east01\d2591108\Weave\__2019EX_PM_.xuf</v>
      </c>
    </row>
    <row r="467" spans="85:117" x14ac:dyDescent="0.2">
      <c r="CG467" s="18"/>
      <c r="CM467" s="18"/>
      <c r="DK467" s="31" t="str">
        <f t="shared" si="18"/>
        <v xml:space="preserve">  </v>
      </c>
      <c r="DL467" s="25" t="str">
        <f t="shared" si="19"/>
        <v/>
      </c>
      <c r="DM467" s="25" t="str">
        <f>BasicInput!$D$13&amp;$DM$2&amp;B467&amp;"_"&amp;C467&amp;D467&amp;"_"&amp;BasicInput!$D$7&amp;BasicInput!$D$8&amp;"_"&amp;DL467&amp;".xuf"</f>
        <v>C:\PWWORKING\east01\d2591108\Weave\__2019EX_PM_.xuf</v>
      </c>
    </row>
    <row r="468" spans="85:117" x14ac:dyDescent="0.2">
      <c r="CG468" s="18"/>
      <c r="CM468" s="18"/>
      <c r="DK468" s="31" t="str">
        <f t="shared" si="18"/>
        <v xml:space="preserve">  </v>
      </c>
      <c r="DL468" s="25" t="str">
        <f t="shared" si="19"/>
        <v/>
      </c>
      <c r="DM468" s="25" t="str">
        <f>BasicInput!$D$13&amp;$DM$2&amp;B468&amp;"_"&amp;C468&amp;D468&amp;"_"&amp;BasicInput!$D$7&amp;BasicInput!$D$8&amp;"_"&amp;DL468&amp;".xuf"</f>
        <v>C:\PWWORKING\east01\d2591108\Weave\__2019EX_PM_.xuf</v>
      </c>
    </row>
    <row r="469" spans="85:117" x14ac:dyDescent="0.2">
      <c r="CG469" s="18"/>
      <c r="CM469" s="18"/>
      <c r="DK469" s="31" t="str">
        <f t="shared" si="18"/>
        <v xml:space="preserve">  </v>
      </c>
      <c r="DL469" s="25" t="str">
        <f t="shared" si="19"/>
        <v/>
      </c>
      <c r="DM469" s="25" t="str">
        <f>BasicInput!$D$13&amp;$DM$2&amp;B469&amp;"_"&amp;C469&amp;D469&amp;"_"&amp;BasicInput!$D$7&amp;BasicInput!$D$8&amp;"_"&amp;DL469&amp;".xuf"</f>
        <v>C:\PWWORKING\east01\d2591108\Weave\__2019EX_PM_.xuf</v>
      </c>
    </row>
    <row r="470" spans="85:117" x14ac:dyDescent="0.2">
      <c r="CG470" s="18"/>
      <c r="CM470" s="18"/>
      <c r="DK470" s="31" t="str">
        <f t="shared" si="18"/>
        <v xml:space="preserve">  </v>
      </c>
      <c r="DL470" s="25" t="str">
        <f t="shared" si="19"/>
        <v/>
      </c>
      <c r="DM470" s="25" t="str">
        <f>BasicInput!$D$13&amp;$DM$2&amp;B470&amp;"_"&amp;C470&amp;D470&amp;"_"&amp;BasicInput!$D$7&amp;BasicInput!$D$8&amp;"_"&amp;DL470&amp;".xuf"</f>
        <v>C:\PWWORKING\east01\d2591108\Weave\__2019EX_PM_.xuf</v>
      </c>
    </row>
    <row r="471" spans="85:117" x14ac:dyDescent="0.2">
      <c r="CG471" s="18"/>
      <c r="CM471" s="18"/>
      <c r="DK471" s="31" t="str">
        <f t="shared" si="18"/>
        <v xml:space="preserve">  </v>
      </c>
      <c r="DL471" s="25" t="str">
        <f t="shared" si="19"/>
        <v/>
      </c>
      <c r="DM471" s="25" t="str">
        <f>BasicInput!$D$13&amp;$DM$2&amp;B471&amp;"_"&amp;C471&amp;D471&amp;"_"&amp;BasicInput!$D$7&amp;BasicInput!$D$8&amp;"_"&amp;DL471&amp;".xuf"</f>
        <v>C:\PWWORKING\east01\d2591108\Weave\__2019EX_PM_.xuf</v>
      </c>
    </row>
    <row r="472" spans="85:117" x14ac:dyDescent="0.2">
      <c r="CG472" s="18"/>
      <c r="CM472" s="18"/>
      <c r="DK472" s="31" t="str">
        <f t="shared" si="18"/>
        <v xml:space="preserve">  </v>
      </c>
      <c r="DL472" s="25" t="str">
        <f t="shared" si="19"/>
        <v/>
      </c>
      <c r="DM472" s="25" t="str">
        <f>BasicInput!$D$13&amp;$DM$2&amp;B472&amp;"_"&amp;C472&amp;D472&amp;"_"&amp;BasicInput!$D$7&amp;BasicInput!$D$8&amp;"_"&amp;DL472&amp;".xuf"</f>
        <v>C:\PWWORKING\east01\d2591108\Weave\__2019EX_PM_.xuf</v>
      </c>
    </row>
    <row r="473" spans="85:117" x14ac:dyDescent="0.2">
      <c r="CG473" s="18"/>
      <c r="CM473" s="18"/>
      <c r="DK473" s="31" t="str">
        <f t="shared" si="18"/>
        <v xml:space="preserve">  </v>
      </c>
      <c r="DL473" s="25" t="str">
        <f t="shared" si="19"/>
        <v/>
      </c>
      <c r="DM473" s="25" t="str">
        <f>BasicInput!$D$13&amp;$DM$2&amp;B473&amp;"_"&amp;C473&amp;D473&amp;"_"&amp;BasicInput!$D$7&amp;BasicInput!$D$8&amp;"_"&amp;DL473&amp;".xuf"</f>
        <v>C:\PWWORKING\east01\d2591108\Weave\__2019EX_PM_.xuf</v>
      </c>
    </row>
    <row r="474" spans="85:117" x14ac:dyDescent="0.2">
      <c r="CG474" s="18"/>
      <c r="CM474" s="18"/>
      <c r="DK474" s="31" t="str">
        <f t="shared" si="18"/>
        <v xml:space="preserve">  </v>
      </c>
      <c r="DL474" s="25" t="str">
        <f t="shared" si="19"/>
        <v/>
      </c>
      <c r="DM474" s="25" t="str">
        <f>BasicInput!$D$13&amp;$DM$2&amp;B474&amp;"_"&amp;C474&amp;D474&amp;"_"&amp;BasicInput!$D$7&amp;BasicInput!$D$8&amp;"_"&amp;DL474&amp;".xuf"</f>
        <v>C:\PWWORKING\east01\d2591108\Weave\__2019EX_PM_.xuf</v>
      </c>
    </row>
    <row r="475" spans="85:117" x14ac:dyDescent="0.2">
      <c r="CG475" s="18"/>
      <c r="CM475" s="18"/>
      <c r="DK475" s="31" t="str">
        <f t="shared" si="18"/>
        <v xml:space="preserve">  </v>
      </c>
      <c r="DL475" s="25" t="str">
        <f t="shared" si="19"/>
        <v/>
      </c>
      <c r="DM475" s="25" t="str">
        <f>BasicInput!$D$13&amp;$DM$2&amp;B475&amp;"_"&amp;C475&amp;D475&amp;"_"&amp;BasicInput!$D$7&amp;BasicInput!$D$8&amp;"_"&amp;DL475&amp;".xuf"</f>
        <v>C:\PWWORKING\east01\d2591108\Weave\__2019EX_PM_.xuf</v>
      </c>
    </row>
    <row r="476" spans="85:117" x14ac:dyDescent="0.2">
      <c r="CG476" s="18"/>
      <c r="CM476" s="18"/>
      <c r="DK476" s="31" t="str">
        <f t="shared" si="18"/>
        <v xml:space="preserve">  </v>
      </c>
      <c r="DL476" s="25" t="str">
        <f t="shared" si="19"/>
        <v/>
      </c>
      <c r="DM476" s="25" t="str">
        <f>BasicInput!$D$13&amp;$DM$2&amp;B476&amp;"_"&amp;C476&amp;D476&amp;"_"&amp;BasicInput!$D$7&amp;BasicInput!$D$8&amp;"_"&amp;DL476&amp;".xuf"</f>
        <v>C:\PWWORKING\east01\d2591108\Weave\__2019EX_PM_.xuf</v>
      </c>
    </row>
    <row r="477" spans="85:117" x14ac:dyDescent="0.2">
      <c r="CG477" s="18"/>
      <c r="CM477" s="18"/>
      <c r="DK477" s="31" t="str">
        <f t="shared" si="18"/>
        <v xml:space="preserve">  </v>
      </c>
      <c r="DL477" s="25" t="str">
        <f t="shared" si="19"/>
        <v/>
      </c>
      <c r="DM477" s="25" t="str">
        <f>BasicInput!$D$13&amp;$DM$2&amp;B477&amp;"_"&amp;C477&amp;D477&amp;"_"&amp;BasicInput!$D$7&amp;BasicInput!$D$8&amp;"_"&amp;DL477&amp;".xuf"</f>
        <v>C:\PWWORKING\east01\d2591108\Weave\__2019EX_PM_.xuf</v>
      </c>
    </row>
    <row r="478" spans="85:117" x14ac:dyDescent="0.2">
      <c r="CG478" s="18"/>
      <c r="CM478" s="18"/>
      <c r="DK478" s="31" t="str">
        <f t="shared" si="18"/>
        <v xml:space="preserve">  </v>
      </c>
      <c r="DL478" s="25" t="str">
        <f t="shared" si="19"/>
        <v/>
      </c>
      <c r="DM478" s="25" t="str">
        <f>BasicInput!$D$13&amp;$DM$2&amp;B478&amp;"_"&amp;C478&amp;D478&amp;"_"&amp;BasicInput!$D$7&amp;BasicInput!$D$8&amp;"_"&amp;DL478&amp;".xuf"</f>
        <v>C:\PWWORKING\east01\d2591108\Weave\__2019EX_PM_.xuf</v>
      </c>
    </row>
    <row r="479" spans="85:117" x14ac:dyDescent="0.2">
      <c r="CG479" s="18"/>
      <c r="CM479" s="18"/>
      <c r="DK479" s="31" t="str">
        <f t="shared" si="18"/>
        <v xml:space="preserve">  </v>
      </c>
      <c r="DL479" s="25" t="str">
        <f t="shared" si="19"/>
        <v/>
      </c>
      <c r="DM479" s="25" t="str">
        <f>BasicInput!$D$13&amp;$DM$2&amp;B479&amp;"_"&amp;C479&amp;D479&amp;"_"&amp;BasicInput!$D$7&amp;BasicInput!$D$8&amp;"_"&amp;DL479&amp;".xuf"</f>
        <v>C:\PWWORKING\east01\d2591108\Weave\__2019EX_PM_.xuf</v>
      </c>
    </row>
    <row r="480" spans="85:117" x14ac:dyDescent="0.2">
      <c r="CG480" s="18"/>
      <c r="CM480" s="18"/>
      <c r="DK480" s="31" t="str">
        <f t="shared" si="18"/>
        <v xml:space="preserve">  </v>
      </c>
      <c r="DL480" s="25" t="str">
        <f t="shared" si="19"/>
        <v/>
      </c>
      <c r="DM480" s="25" t="str">
        <f>BasicInput!$D$13&amp;$DM$2&amp;B480&amp;"_"&amp;C480&amp;D480&amp;"_"&amp;BasicInput!$D$7&amp;BasicInput!$D$8&amp;"_"&amp;DL480&amp;".xuf"</f>
        <v>C:\PWWORKING\east01\d2591108\Weave\__2019EX_PM_.xuf</v>
      </c>
    </row>
    <row r="481" spans="85:117" x14ac:dyDescent="0.2">
      <c r="CG481" s="18"/>
      <c r="CM481" s="18"/>
      <c r="DK481" s="31" t="str">
        <f t="shared" si="18"/>
        <v xml:space="preserve">  </v>
      </c>
      <c r="DL481" s="25" t="str">
        <f t="shared" si="19"/>
        <v/>
      </c>
      <c r="DM481" s="25" t="str">
        <f>BasicInput!$D$13&amp;$DM$2&amp;B481&amp;"_"&amp;C481&amp;D481&amp;"_"&amp;BasicInput!$D$7&amp;BasicInput!$D$8&amp;"_"&amp;DL481&amp;".xuf"</f>
        <v>C:\PWWORKING\east01\d2591108\Weave\__2019EX_PM_.xuf</v>
      </c>
    </row>
    <row r="482" spans="85:117" x14ac:dyDescent="0.2">
      <c r="CG482" s="18"/>
      <c r="CM482" s="18"/>
      <c r="DK482" s="31" t="str">
        <f t="shared" si="18"/>
        <v xml:space="preserve">  </v>
      </c>
      <c r="DL482" s="25" t="str">
        <f t="shared" si="19"/>
        <v/>
      </c>
      <c r="DM482" s="25" t="str">
        <f>BasicInput!$D$13&amp;$DM$2&amp;B482&amp;"_"&amp;C482&amp;D482&amp;"_"&amp;BasicInput!$D$7&amp;BasicInput!$D$8&amp;"_"&amp;DL482&amp;".xuf"</f>
        <v>C:\PWWORKING\east01\d2591108\Weave\__2019EX_PM_.xuf</v>
      </c>
    </row>
    <row r="483" spans="85:117" x14ac:dyDescent="0.2">
      <c r="CG483" s="18"/>
      <c r="CM483" s="18"/>
      <c r="DK483" s="31" t="str">
        <f t="shared" si="18"/>
        <v xml:space="preserve">  </v>
      </c>
      <c r="DL483" s="25" t="str">
        <f t="shared" si="19"/>
        <v/>
      </c>
      <c r="DM483" s="25" t="str">
        <f>BasicInput!$D$13&amp;$DM$2&amp;B483&amp;"_"&amp;C483&amp;D483&amp;"_"&amp;BasicInput!$D$7&amp;BasicInput!$D$8&amp;"_"&amp;DL483&amp;".xuf"</f>
        <v>C:\PWWORKING\east01\d2591108\Weave\__2019EX_PM_.xuf</v>
      </c>
    </row>
    <row r="484" spans="85:117" x14ac:dyDescent="0.2">
      <c r="CG484" s="18"/>
      <c r="CM484" s="18"/>
      <c r="DK484" s="31" t="str">
        <f t="shared" si="18"/>
        <v xml:space="preserve">  </v>
      </c>
      <c r="DL484" s="25" t="str">
        <f t="shared" si="19"/>
        <v/>
      </c>
      <c r="DM484" s="25" t="str">
        <f>BasicInput!$D$13&amp;$DM$2&amp;B484&amp;"_"&amp;C484&amp;D484&amp;"_"&amp;BasicInput!$D$7&amp;BasicInput!$D$8&amp;"_"&amp;DL484&amp;".xuf"</f>
        <v>C:\PWWORKING\east01\d2591108\Weave\__2019EX_PM_.xuf</v>
      </c>
    </row>
    <row r="485" spans="85:117" x14ac:dyDescent="0.2">
      <c r="CG485" s="18"/>
      <c r="CM485" s="18"/>
      <c r="DK485" s="31" t="str">
        <f t="shared" si="18"/>
        <v xml:space="preserve">  </v>
      </c>
      <c r="DL485" s="25" t="str">
        <f t="shared" si="19"/>
        <v/>
      </c>
      <c r="DM485" s="25" t="str">
        <f>BasicInput!$D$13&amp;$DM$2&amp;B485&amp;"_"&amp;C485&amp;D485&amp;"_"&amp;BasicInput!$D$7&amp;BasicInput!$D$8&amp;"_"&amp;DL485&amp;".xuf"</f>
        <v>C:\PWWORKING\east01\d2591108\Weave\__2019EX_PM_.xuf</v>
      </c>
    </row>
    <row r="486" spans="85:117" x14ac:dyDescent="0.2">
      <c r="CG486" s="18"/>
      <c r="CM486" s="18"/>
      <c r="DK486" s="31" t="str">
        <f t="shared" si="18"/>
        <v xml:space="preserve">  </v>
      </c>
      <c r="DL486" s="25" t="str">
        <f t="shared" si="19"/>
        <v/>
      </c>
      <c r="DM486" s="25" t="str">
        <f>BasicInput!$D$13&amp;$DM$2&amp;B486&amp;"_"&amp;C486&amp;D486&amp;"_"&amp;BasicInput!$D$7&amp;BasicInput!$D$8&amp;"_"&amp;DL486&amp;".xuf"</f>
        <v>C:\PWWORKING\east01\d2591108\Weave\__2019EX_PM_.xuf</v>
      </c>
    </row>
    <row r="487" spans="85:117" x14ac:dyDescent="0.2">
      <c r="CG487" s="18"/>
      <c r="CM487" s="18"/>
      <c r="DK487" s="31" t="str">
        <f t="shared" si="18"/>
        <v xml:space="preserve">  </v>
      </c>
      <c r="DL487" s="25" t="str">
        <f t="shared" si="19"/>
        <v/>
      </c>
      <c r="DM487" s="25" t="str">
        <f>BasicInput!$D$13&amp;$DM$2&amp;B487&amp;"_"&amp;C487&amp;D487&amp;"_"&amp;BasicInput!$D$7&amp;BasicInput!$D$8&amp;"_"&amp;DL487&amp;".xuf"</f>
        <v>C:\PWWORKING\east01\d2591108\Weave\__2019EX_PM_.xuf</v>
      </c>
    </row>
    <row r="488" spans="85:117" x14ac:dyDescent="0.2">
      <c r="CG488" s="18"/>
      <c r="CM488" s="18"/>
      <c r="DK488" s="31" t="str">
        <f t="shared" si="18"/>
        <v xml:space="preserve">  </v>
      </c>
      <c r="DL488" s="25" t="str">
        <f t="shared" si="19"/>
        <v/>
      </c>
      <c r="DM488" s="25" t="str">
        <f>BasicInput!$D$13&amp;$DM$2&amp;B488&amp;"_"&amp;C488&amp;D488&amp;"_"&amp;BasicInput!$D$7&amp;BasicInput!$D$8&amp;"_"&amp;DL488&amp;".xuf"</f>
        <v>C:\PWWORKING\east01\d2591108\Weave\__2019EX_PM_.xuf</v>
      </c>
    </row>
    <row r="489" spans="85:117" x14ac:dyDescent="0.2">
      <c r="CG489" s="18"/>
      <c r="CM489" s="18"/>
      <c r="DK489" s="31" t="str">
        <f t="shared" si="18"/>
        <v xml:space="preserve">  </v>
      </c>
      <c r="DL489" s="25" t="str">
        <f t="shared" si="19"/>
        <v/>
      </c>
      <c r="DM489" s="25" t="str">
        <f>BasicInput!$D$13&amp;$DM$2&amp;B489&amp;"_"&amp;C489&amp;D489&amp;"_"&amp;BasicInput!$D$7&amp;BasicInput!$D$8&amp;"_"&amp;DL489&amp;".xuf"</f>
        <v>C:\PWWORKING\east01\d2591108\Weave\__2019EX_PM_.xuf</v>
      </c>
    </row>
    <row r="490" spans="85:117" x14ac:dyDescent="0.2">
      <c r="CG490" s="18"/>
      <c r="CM490" s="18"/>
      <c r="DK490" s="31" t="str">
        <f t="shared" si="18"/>
        <v xml:space="preserve">  </v>
      </c>
      <c r="DL490" s="25" t="str">
        <f t="shared" si="19"/>
        <v/>
      </c>
      <c r="DM490" s="25" t="str">
        <f>BasicInput!$D$13&amp;$DM$2&amp;B490&amp;"_"&amp;C490&amp;D490&amp;"_"&amp;BasicInput!$D$7&amp;BasicInput!$D$8&amp;"_"&amp;DL490&amp;".xuf"</f>
        <v>C:\PWWORKING\east01\d2591108\Weave\__2019EX_PM_.xuf</v>
      </c>
    </row>
    <row r="491" spans="85:117" x14ac:dyDescent="0.2">
      <c r="CG491" s="18"/>
      <c r="CM491" s="18"/>
      <c r="DK491" s="31" t="str">
        <f t="shared" si="18"/>
        <v xml:space="preserve">  </v>
      </c>
      <c r="DL491" s="25" t="str">
        <f t="shared" si="19"/>
        <v/>
      </c>
      <c r="DM491" s="25" t="str">
        <f>BasicInput!$D$13&amp;$DM$2&amp;B491&amp;"_"&amp;C491&amp;D491&amp;"_"&amp;BasicInput!$D$7&amp;BasicInput!$D$8&amp;"_"&amp;DL491&amp;".xuf"</f>
        <v>C:\PWWORKING\east01\d2591108\Weave\__2019EX_PM_.xuf</v>
      </c>
    </row>
    <row r="492" spans="85:117" x14ac:dyDescent="0.2">
      <c r="CG492" s="18"/>
      <c r="CM492" s="18"/>
      <c r="DK492" s="31" t="str">
        <f t="shared" si="18"/>
        <v xml:space="preserve">  </v>
      </c>
      <c r="DL492" s="25" t="str">
        <f t="shared" si="19"/>
        <v/>
      </c>
      <c r="DM492" s="25" t="str">
        <f>BasicInput!$D$13&amp;$DM$2&amp;B492&amp;"_"&amp;C492&amp;D492&amp;"_"&amp;BasicInput!$D$7&amp;BasicInput!$D$8&amp;"_"&amp;DL492&amp;".xuf"</f>
        <v>C:\PWWORKING\east01\d2591108\Weave\__2019EX_PM_.xuf</v>
      </c>
    </row>
    <row r="493" spans="85:117" x14ac:dyDescent="0.2">
      <c r="CG493" s="18"/>
      <c r="CM493" s="18"/>
      <c r="DK493" s="31" t="str">
        <f t="shared" si="18"/>
        <v xml:space="preserve">  </v>
      </c>
      <c r="DL493" s="25" t="str">
        <f t="shared" si="19"/>
        <v/>
      </c>
      <c r="DM493" s="25" t="str">
        <f>BasicInput!$D$13&amp;$DM$2&amp;B493&amp;"_"&amp;C493&amp;D493&amp;"_"&amp;BasicInput!$D$7&amp;BasicInput!$D$8&amp;"_"&amp;DL493&amp;".xuf"</f>
        <v>C:\PWWORKING\east01\d2591108\Weave\__2019EX_PM_.xuf</v>
      </c>
    </row>
    <row r="494" spans="85:117" x14ac:dyDescent="0.2">
      <c r="CG494" s="18"/>
      <c r="CM494" s="18"/>
      <c r="DK494" s="31" t="str">
        <f t="shared" si="18"/>
        <v xml:space="preserve">  </v>
      </c>
      <c r="DL494" s="25" t="str">
        <f t="shared" si="19"/>
        <v/>
      </c>
      <c r="DM494" s="25" t="str">
        <f>BasicInput!$D$13&amp;$DM$2&amp;B494&amp;"_"&amp;C494&amp;D494&amp;"_"&amp;BasicInput!$D$7&amp;BasicInput!$D$8&amp;"_"&amp;DL494&amp;".xuf"</f>
        <v>C:\PWWORKING\east01\d2591108\Weave\__2019EX_PM_.xuf</v>
      </c>
    </row>
    <row r="495" spans="85:117" x14ac:dyDescent="0.2">
      <c r="CG495" s="18"/>
      <c r="CM495" s="18"/>
      <c r="DK495" s="31" t="str">
        <f t="shared" si="18"/>
        <v xml:space="preserve">  </v>
      </c>
      <c r="DL495" s="25" t="str">
        <f t="shared" si="19"/>
        <v/>
      </c>
      <c r="DM495" s="25" t="str">
        <f>BasicInput!$D$13&amp;$DM$2&amp;B495&amp;"_"&amp;C495&amp;D495&amp;"_"&amp;BasicInput!$D$7&amp;BasicInput!$D$8&amp;"_"&amp;DL495&amp;".xuf"</f>
        <v>C:\PWWORKING\east01\d2591108\Weave\__2019EX_PM_.xuf</v>
      </c>
    </row>
    <row r="496" spans="85:117" x14ac:dyDescent="0.2">
      <c r="CG496" s="18"/>
      <c r="CM496" s="18"/>
      <c r="DK496" s="31" t="str">
        <f t="shared" si="18"/>
        <v xml:space="preserve">  </v>
      </c>
      <c r="DL496" s="25" t="str">
        <f t="shared" si="19"/>
        <v/>
      </c>
      <c r="DM496" s="25" t="str">
        <f>BasicInput!$D$13&amp;$DM$2&amp;B496&amp;"_"&amp;C496&amp;D496&amp;"_"&amp;BasicInput!$D$7&amp;BasicInput!$D$8&amp;"_"&amp;DL496&amp;".xuf"</f>
        <v>C:\PWWORKING\east01\d2591108\Weave\__2019EX_PM_.xuf</v>
      </c>
    </row>
    <row r="497" spans="85:117" x14ac:dyDescent="0.2">
      <c r="CG497" s="18"/>
      <c r="CM497" s="18"/>
      <c r="DK497" s="31" t="str">
        <f t="shared" si="18"/>
        <v xml:space="preserve">  </v>
      </c>
      <c r="DL497" s="25" t="str">
        <f t="shared" si="19"/>
        <v/>
      </c>
      <c r="DM497" s="25" t="str">
        <f>BasicInput!$D$13&amp;$DM$2&amp;B497&amp;"_"&amp;C497&amp;D497&amp;"_"&amp;BasicInput!$D$7&amp;BasicInput!$D$8&amp;"_"&amp;DL497&amp;".xuf"</f>
        <v>C:\PWWORKING\east01\d2591108\Weave\__2019EX_PM_.xuf</v>
      </c>
    </row>
    <row r="498" spans="85:117" x14ac:dyDescent="0.2">
      <c r="CG498" s="18"/>
      <c r="CM498" s="18"/>
      <c r="DK498" s="31" t="str">
        <f t="shared" si="18"/>
        <v xml:space="preserve">  </v>
      </c>
      <c r="DL498" s="25" t="str">
        <f t="shared" si="19"/>
        <v/>
      </c>
      <c r="DM498" s="25" t="str">
        <f>BasicInput!$D$13&amp;$DM$2&amp;B498&amp;"_"&amp;C498&amp;D498&amp;"_"&amp;BasicInput!$D$7&amp;BasicInput!$D$8&amp;"_"&amp;DL498&amp;".xuf"</f>
        <v>C:\PWWORKING\east01\d2591108\Weave\__2019EX_PM_.xuf</v>
      </c>
    </row>
    <row r="499" spans="85:117" x14ac:dyDescent="0.2">
      <c r="CG499" s="18"/>
      <c r="CM499" s="18"/>
      <c r="DK499" s="31" t="str">
        <f t="shared" si="18"/>
        <v xml:space="preserve">  </v>
      </c>
      <c r="DL499" s="25" t="str">
        <f t="shared" si="19"/>
        <v/>
      </c>
      <c r="DM499" s="25" t="str">
        <f>BasicInput!$D$13&amp;$DM$2&amp;B499&amp;"_"&amp;C499&amp;D499&amp;"_"&amp;BasicInput!$D$7&amp;BasicInput!$D$8&amp;"_"&amp;DL499&amp;".xuf"</f>
        <v>C:\PWWORKING\east01\d2591108\Weave\__2019EX_PM_.xuf</v>
      </c>
    </row>
    <row r="500" spans="85:117" x14ac:dyDescent="0.2">
      <c r="CG500" s="18"/>
      <c r="CM500" s="18"/>
      <c r="DK500" s="31" t="str">
        <f t="shared" si="18"/>
        <v xml:space="preserve">  </v>
      </c>
      <c r="DL500" s="25" t="str">
        <f t="shared" si="19"/>
        <v/>
      </c>
      <c r="DM500" s="25" t="str">
        <f>BasicInput!$D$13&amp;$DM$2&amp;B500&amp;"_"&amp;C500&amp;D500&amp;"_"&amp;BasicInput!$D$7&amp;BasicInput!$D$8&amp;"_"&amp;DL500&amp;".xuf"</f>
        <v>C:\PWWORKING\east01\d2591108\Weave\__2019EX_PM_.xuf</v>
      </c>
    </row>
    <row r="501" spans="85:117" x14ac:dyDescent="0.2">
      <c r="CG501" s="18"/>
      <c r="CM501" s="18"/>
      <c r="DK501" s="31" t="str">
        <f t="shared" si="18"/>
        <v xml:space="preserve">  </v>
      </c>
      <c r="DL501" s="25" t="str">
        <f t="shared" si="19"/>
        <v/>
      </c>
      <c r="DM501" s="25" t="str">
        <f>BasicInput!$D$13&amp;$DM$2&amp;B501&amp;"_"&amp;C501&amp;D501&amp;"_"&amp;BasicInput!$D$7&amp;BasicInput!$D$8&amp;"_"&amp;DL501&amp;".xuf"</f>
        <v>C:\PWWORKING\east01\d2591108\Weave\__2019EX_PM_.xuf</v>
      </c>
    </row>
    <row r="502" spans="85:117" x14ac:dyDescent="0.2">
      <c r="CG502" s="18"/>
      <c r="CM502" s="18"/>
      <c r="DK502" s="31" t="str">
        <f t="shared" si="18"/>
        <v xml:space="preserve">  </v>
      </c>
      <c r="DL502" s="25" t="str">
        <f t="shared" si="19"/>
        <v/>
      </c>
      <c r="DM502" s="25" t="str">
        <f>BasicInput!$D$13&amp;$DM$2&amp;B502&amp;"_"&amp;C502&amp;D502&amp;"_"&amp;BasicInput!$D$7&amp;BasicInput!$D$8&amp;"_"&amp;DL502&amp;".xuf"</f>
        <v>C:\PWWORKING\east01\d2591108\Weave\__2019EX_PM_.xuf</v>
      </c>
    </row>
    <row r="503" spans="85:117" x14ac:dyDescent="0.2">
      <c r="CG503" s="18"/>
      <c r="CM503" s="18"/>
      <c r="DK503" s="31" t="str">
        <f t="shared" si="18"/>
        <v xml:space="preserve">  </v>
      </c>
      <c r="DL503" s="25" t="str">
        <f t="shared" si="19"/>
        <v/>
      </c>
      <c r="DM503" s="25" t="str">
        <f>BasicInput!$D$13&amp;$DM$2&amp;B503&amp;"_"&amp;C503&amp;D503&amp;"_"&amp;BasicInput!$D$7&amp;BasicInput!$D$8&amp;"_"&amp;DL503&amp;".xuf"</f>
        <v>C:\PWWORKING\east01\d2591108\Weave\__2019EX_PM_.xuf</v>
      </c>
    </row>
    <row r="504" spans="85:117" x14ac:dyDescent="0.2">
      <c r="CG504" s="18"/>
      <c r="CM504" s="18"/>
      <c r="DK504" s="31" t="str">
        <f t="shared" si="18"/>
        <v xml:space="preserve">  </v>
      </c>
      <c r="DL504" s="25" t="str">
        <f t="shared" si="19"/>
        <v/>
      </c>
      <c r="DM504" s="25" t="str">
        <f>BasicInput!$D$13&amp;$DM$2&amp;B504&amp;"_"&amp;C504&amp;D504&amp;"_"&amp;BasicInput!$D$7&amp;BasicInput!$D$8&amp;"_"&amp;DL504&amp;".xuf"</f>
        <v>C:\PWWORKING\east01\d2591108\Weave\__2019EX_PM_.xuf</v>
      </c>
    </row>
    <row r="505" spans="85:117" x14ac:dyDescent="0.2">
      <c r="CG505" s="18"/>
      <c r="CM505" s="18"/>
      <c r="DK505" s="31" t="str">
        <f t="shared" si="18"/>
        <v xml:space="preserve">  </v>
      </c>
      <c r="DL505" s="25" t="str">
        <f t="shared" si="19"/>
        <v/>
      </c>
      <c r="DM505" s="25" t="str">
        <f>BasicInput!$D$13&amp;$DM$2&amp;B505&amp;"_"&amp;C505&amp;D505&amp;"_"&amp;BasicInput!$D$7&amp;BasicInput!$D$8&amp;"_"&amp;DL505&amp;".xuf"</f>
        <v>C:\PWWORKING\east01\d2591108\Weave\__2019EX_PM_.xuf</v>
      </c>
    </row>
    <row r="506" spans="85:117" x14ac:dyDescent="0.2">
      <c r="CG506" s="18"/>
      <c r="CM506" s="18"/>
      <c r="DK506" s="31" t="str">
        <f t="shared" si="18"/>
        <v xml:space="preserve">  </v>
      </c>
      <c r="DL506" s="25" t="str">
        <f t="shared" si="19"/>
        <v/>
      </c>
      <c r="DM506" s="25" t="str">
        <f>BasicInput!$D$13&amp;$DM$2&amp;B506&amp;"_"&amp;C506&amp;D506&amp;"_"&amp;BasicInput!$D$7&amp;BasicInput!$D$8&amp;"_"&amp;DL506&amp;".xuf"</f>
        <v>C:\PWWORKING\east01\d2591108\Weave\__2019EX_PM_.xuf</v>
      </c>
    </row>
    <row r="507" spans="85:117" x14ac:dyDescent="0.2">
      <c r="CG507" s="18"/>
      <c r="CM507" s="18"/>
      <c r="DK507" s="31" t="str">
        <f t="shared" si="18"/>
        <v xml:space="preserve">  </v>
      </c>
      <c r="DL507" s="25" t="str">
        <f t="shared" si="19"/>
        <v/>
      </c>
      <c r="DM507" s="25" t="str">
        <f>BasicInput!$D$13&amp;$DM$2&amp;B507&amp;"_"&amp;C507&amp;D507&amp;"_"&amp;BasicInput!$D$7&amp;BasicInput!$D$8&amp;"_"&amp;DL507&amp;".xuf"</f>
        <v>C:\PWWORKING\east01\d2591108\Weave\__2019EX_PM_.xuf</v>
      </c>
    </row>
    <row r="508" spans="85:117" x14ac:dyDescent="0.2">
      <c r="CG508" s="18"/>
      <c r="CM508" s="18"/>
      <c r="DK508" s="31" t="str">
        <f t="shared" si="18"/>
        <v xml:space="preserve">  </v>
      </c>
      <c r="DL508" s="25" t="str">
        <f t="shared" si="19"/>
        <v/>
      </c>
      <c r="DM508" s="25" t="str">
        <f>BasicInput!$D$13&amp;$DM$2&amp;B508&amp;"_"&amp;C508&amp;D508&amp;"_"&amp;BasicInput!$D$7&amp;BasicInput!$D$8&amp;"_"&amp;DL508&amp;".xuf"</f>
        <v>C:\PWWORKING\east01\d2591108\Weave\__2019EX_PM_.xuf</v>
      </c>
    </row>
    <row r="509" spans="85:117" x14ac:dyDescent="0.2">
      <c r="CG509" s="18"/>
      <c r="CM509" s="18"/>
      <c r="DK509" s="31" t="str">
        <f t="shared" si="18"/>
        <v xml:space="preserve">  </v>
      </c>
      <c r="DL509" s="25" t="str">
        <f t="shared" si="19"/>
        <v/>
      </c>
      <c r="DM509" s="25" t="str">
        <f>BasicInput!$D$13&amp;$DM$2&amp;B509&amp;"_"&amp;C509&amp;D509&amp;"_"&amp;BasicInput!$D$7&amp;BasicInput!$D$8&amp;"_"&amp;DL509&amp;".xuf"</f>
        <v>C:\PWWORKING\east01\d2591108\Weave\__2019EX_PM_.xuf</v>
      </c>
    </row>
    <row r="510" spans="85:117" x14ac:dyDescent="0.2">
      <c r="CG510" s="18"/>
      <c r="CM510" s="18"/>
      <c r="DK510" s="31" t="str">
        <f t="shared" si="18"/>
        <v xml:space="preserve">  </v>
      </c>
      <c r="DL510" s="25" t="str">
        <f t="shared" si="19"/>
        <v/>
      </c>
      <c r="DM510" s="25" t="str">
        <f>BasicInput!$D$13&amp;$DM$2&amp;B510&amp;"_"&amp;C510&amp;D510&amp;"_"&amp;BasicInput!$D$7&amp;BasicInput!$D$8&amp;"_"&amp;DL510&amp;".xuf"</f>
        <v>C:\PWWORKING\east01\d2591108\Weave\__2019EX_PM_.xuf</v>
      </c>
    </row>
    <row r="511" spans="85:117" x14ac:dyDescent="0.2">
      <c r="CG511" s="18"/>
      <c r="CM511" s="18"/>
      <c r="DK511" s="31" t="str">
        <f t="shared" si="18"/>
        <v xml:space="preserve">  </v>
      </c>
      <c r="DL511" s="25" t="str">
        <f t="shared" si="19"/>
        <v/>
      </c>
      <c r="DM511" s="25" t="str">
        <f>BasicInput!$D$13&amp;$DM$2&amp;B511&amp;"_"&amp;C511&amp;D511&amp;"_"&amp;BasicInput!$D$7&amp;BasicInput!$D$8&amp;"_"&amp;DL511&amp;".xuf"</f>
        <v>C:\PWWORKING\east01\d2591108\Weave\__2019EX_PM_.xuf</v>
      </c>
    </row>
    <row r="512" spans="85:117" x14ac:dyDescent="0.2">
      <c r="CG512" s="18"/>
      <c r="CM512" s="18"/>
      <c r="DK512" s="31" t="str">
        <f t="shared" si="18"/>
        <v xml:space="preserve">  </v>
      </c>
      <c r="DL512" s="25" t="str">
        <f t="shared" si="19"/>
        <v/>
      </c>
      <c r="DM512" s="25" t="str">
        <f>BasicInput!$D$13&amp;$DM$2&amp;B512&amp;"_"&amp;C512&amp;D512&amp;"_"&amp;BasicInput!$D$7&amp;BasicInput!$D$8&amp;"_"&amp;DL512&amp;".xuf"</f>
        <v>C:\PWWORKING\east01\d2591108\Weave\__2019EX_PM_.xuf</v>
      </c>
    </row>
    <row r="513" spans="85:117" x14ac:dyDescent="0.2">
      <c r="CG513" s="18"/>
      <c r="CM513" s="18"/>
      <c r="DK513" s="31" t="str">
        <f t="shared" si="18"/>
        <v xml:space="preserve">  </v>
      </c>
      <c r="DL513" s="25" t="str">
        <f t="shared" si="19"/>
        <v/>
      </c>
      <c r="DM513" s="25" t="str">
        <f>BasicInput!$D$13&amp;$DM$2&amp;B513&amp;"_"&amp;C513&amp;D513&amp;"_"&amp;BasicInput!$D$7&amp;BasicInput!$D$8&amp;"_"&amp;DL513&amp;".xuf"</f>
        <v>C:\PWWORKING\east01\d2591108\Weave\__2019EX_PM_.xuf</v>
      </c>
    </row>
    <row r="514" spans="85:117" x14ac:dyDescent="0.2">
      <c r="CG514" s="18"/>
      <c r="CM514" s="18"/>
      <c r="DK514" s="31" t="str">
        <f t="shared" si="18"/>
        <v xml:space="preserve">  </v>
      </c>
      <c r="DL514" s="25" t="str">
        <f t="shared" si="19"/>
        <v/>
      </c>
      <c r="DM514" s="25" t="str">
        <f>BasicInput!$D$13&amp;$DM$2&amp;B514&amp;"_"&amp;C514&amp;D514&amp;"_"&amp;BasicInput!$D$7&amp;BasicInput!$D$8&amp;"_"&amp;DL514&amp;".xuf"</f>
        <v>C:\PWWORKING\east01\d2591108\Weave\__2019EX_PM_.xuf</v>
      </c>
    </row>
    <row r="515" spans="85:117" x14ac:dyDescent="0.2">
      <c r="CG515" s="18"/>
      <c r="CM515" s="18"/>
      <c r="DK515" s="31" t="str">
        <f t="shared" si="18"/>
        <v xml:space="preserve">  </v>
      </c>
      <c r="DL515" s="25" t="str">
        <f t="shared" si="19"/>
        <v/>
      </c>
      <c r="DM515" s="25" t="str">
        <f>BasicInput!$D$13&amp;$DM$2&amp;B515&amp;"_"&amp;C515&amp;D515&amp;"_"&amp;BasicInput!$D$7&amp;BasicInput!$D$8&amp;"_"&amp;DL515&amp;".xuf"</f>
        <v>C:\PWWORKING\east01\d2591108\Weave\__2019EX_PM_.xuf</v>
      </c>
    </row>
    <row r="516" spans="85:117" x14ac:dyDescent="0.2">
      <c r="CG516" s="18"/>
      <c r="CM516" s="18"/>
      <c r="DK516" s="31" t="str">
        <f t="shared" si="18"/>
        <v xml:space="preserve">  </v>
      </c>
      <c r="DL516" s="25" t="str">
        <f t="shared" si="19"/>
        <v/>
      </c>
      <c r="DM516" s="25" t="str">
        <f>BasicInput!$D$13&amp;$DM$2&amp;B516&amp;"_"&amp;C516&amp;D516&amp;"_"&amp;BasicInput!$D$7&amp;BasicInput!$D$8&amp;"_"&amp;DL516&amp;".xuf"</f>
        <v>C:\PWWORKING\east01\d2591108\Weave\__2019EX_PM_.xuf</v>
      </c>
    </row>
    <row r="517" spans="85:117" x14ac:dyDescent="0.2">
      <c r="CG517" s="18"/>
      <c r="CM517" s="18"/>
      <c r="DK517" s="31" t="str">
        <f t="shared" si="18"/>
        <v xml:space="preserve">  </v>
      </c>
      <c r="DL517" s="25" t="str">
        <f t="shared" si="19"/>
        <v/>
      </c>
      <c r="DM517" s="25" t="str">
        <f>BasicInput!$D$13&amp;$DM$2&amp;B517&amp;"_"&amp;C517&amp;D517&amp;"_"&amp;BasicInput!$D$7&amp;BasicInput!$D$8&amp;"_"&amp;DL517&amp;".xuf"</f>
        <v>C:\PWWORKING\east01\d2591108\Weave\__2019EX_PM_.xuf</v>
      </c>
    </row>
    <row r="518" spans="85:117" x14ac:dyDescent="0.2">
      <c r="CG518" s="18"/>
      <c r="CM518" s="18"/>
      <c r="DK518" s="31" t="str">
        <f t="shared" si="18"/>
        <v xml:space="preserve">  </v>
      </c>
      <c r="DL518" s="25" t="str">
        <f t="shared" si="19"/>
        <v/>
      </c>
      <c r="DM518" s="25" t="str">
        <f>BasicInput!$D$13&amp;$DM$2&amp;B518&amp;"_"&amp;C518&amp;D518&amp;"_"&amp;BasicInput!$D$7&amp;BasicInput!$D$8&amp;"_"&amp;DL518&amp;".xuf"</f>
        <v>C:\PWWORKING\east01\d2591108\Weave\__2019EX_PM_.xuf</v>
      </c>
    </row>
    <row r="519" spans="85:117" x14ac:dyDescent="0.2">
      <c r="CG519" s="18"/>
      <c r="CM519" s="18"/>
      <c r="DK519" s="31" t="str">
        <f t="shared" si="18"/>
        <v xml:space="preserve">  </v>
      </c>
      <c r="DL519" s="25" t="str">
        <f t="shared" si="19"/>
        <v/>
      </c>
      <c r="DM519" s="25" t="str">
        <f>BasicInput!$D$13&amp;$DM$2&amp;B519&amp;"_"&amp;C519&amp;D519&amp;"_"&amp;BasicInput!$D$7&amp;BasicInput!$D$8&amp;"_"&amp;DL519&amp;".xuf"</f>
        <v>C:\PWWORKING\east01\d2591108\Weave\__2019EX_PM_.xuf</v>
      </c>
    </row>
    <row r="520" spans="85:117" x14ac:dyDescent="0.2">
      <c r="CG520" s="18"/>
      <c r="CM520" s="18"/>
      <c r="DK520" s="31" t="str">
        <f t="shared" si="18"/>
        <v xml:space="preserve">  </v>
      </c>
      <c r="DL520" s="25" t="str">
        <f t="shared" si="19"/>
        <v/>
      </c>
      <c r="DM520" s="25" t="str">
        <f>BasicInput!$D$13&amp;$DM$2&amp;B520&amp;"_"&amp;C520&amp;D520&amp;"_"&amp;BasicInput!$D$7&amp;BasicInput!$D$8&amp;"_"&amp;DL520&amp;".xuf"</f>
        <v>C:\PWWORKING\east01\d2591108\Weave\__2019EX_PM_.xuf</v>
      </c>
    </row>
    <row r="521" spans="85:117" x14ac:dyDescent="0.2">
      <c r="CG521" s="18"/>
      <c r="CM521" s="18"/>
      <c r="DK521" s="31" t="str">
        <f t="shared" si="18"/>
        <v xml:space="preserve">  </v>
      </c>
      <c r="DL521" s="25" t="str">
        <f t="shared" si="19"/>
        <v/>
      </c>
      <c r="DM521" s="25" t="str">
        <f>BasicInput!$D$13&amp;$DM$2&amp;B521&amp;"_"&amp;C521&amp;D521&amp;"_"&amp;BasicInput!$D$7&amp;BasicInput!$D$8&amp;"_"&amp;DL521&amp;".xuf"</f>
        <v>C:\PWWORKING\east01\d2591108\Weave\__2019EX_PM_.xuf</v>
      </c>
    </row>
    <row r="522" spans="85:117" x14ac:dyDescent="0.2">
      <c r="CG522" s="18"/>
      <c r="CM522" s="18"/>
      <c r="DK522" s="31" t="str">
        <f t="shared" si="18"/>
        <v xml:space="preserve">  </v>
      </c>
      <c r="DL522" s="25" t="str">
        <f t="shared" si="19"/>
        <v/>
      </c>
      <c r="DM522" s="25" t="str">
        <f>BasicInput!$D$13&amp;$DM$2&amp;B522&amp;"_"&amp;C522&amp;D522&amp;"_"&amp;BasicInput!$D$7&amp;BasicInput!$D$8&amp;"_"&amp;DL522&amp;".xuf"</f>
        <v>C:\PWWORKING\east01\d2591108\Weave\__2019EX_PM_.xuf</v>
      </c>
    </row>
    <row r="523" spans="85:117" x14ac:dyDescent="0.2">
      <c r="CG523" s="18"/>
      <c r="CM523" s="18"/>
      <c r="DK523" s="31" t="str">
        <f t="shared" si="18"/>
        <v xml:space="preserve">  </v>
      </c>
      <c r="DL523" s="25" t="str">
        <f t="shared" si="19"/>
        <v/>
      </c>
      <c r="DM523" s="25" t="str">
        <f>BasicInput!$D$13&amp;$DM$2&amp;B523&amp;"_"&amp;C523&amp;D523&amp;"_"&amp;BasicInput!$D$7&amp;BasicInput!$D$8&amp;"_"&amp;DL523&amp;".xuf"</f>
        <v>C:\PWWORKING\east01\d2591108\Weave\__2019EX_PM_.xuf</v>
      </c>
    </row>
    <row r="524" spans="85:117" x14ac:dyDescent="0.2">
      <c r="CG524" s="18"/>
      <c r="CM524" s="18"/>
      <c r="DK524" s="31" t="str">
        <f t="shared" ref="DK524:DK587" si="20">C524&amp; " "&amp;D524&amp;" " &amp;E524</f>
        <v xml:space="preserve">  </v>
      </c>
      <c r="DL524" s="25" t="str">
        <f t="shared" ref="DL524:DL587" si="21">TRIM(LEFT(E524, 30))</f>
        <v/>
      </c>
      <c r="DM524" s="25" t="str">
        <f>BasicInput!$D$13&amp;$DM$2&amp;B524&amp;"_"&amp;C524&amp;D524&amp;"_"&amp;BasicInput!$D$7&amp;BasicInput!$D$8&amp;"_"&amp;DL524&amp;".xuf"</f>
        <v>C:\PWWORKING\east01\d2591108\Weave\__2019EX_PM_.xuf</v>
      </c>
    </row>
    <row r="525" spans="85:117" x14ac:dyDescent="0.2">
      <c r="CG525" s="18"/>
      <c r="CM525" s="18"/>
      <c r="DK525" s="31" t="str">
        <f t="shared" si="20"/>
        <v xml:space="preserve">  </v>
      </c>
      <c r="DL525" s="25" t="str">
        <f t="shared" si="21"/>
        <v/>
      </c>
      <c r="DM525" s="25" t="str">
        <f>BasicInput!$D$13&amp;$DM$2&amp;B525&amp;"_"&amp;C525&amp;D525&amp;"_"&amp;BasicInput!$D$7&amp;BasicInput!$D$8&amp;"_"&amp;DL525&amp;".xuf"</f>
        <v>C:\PWWORKING\east01\d2591108\Weave\__2019EX_PM_.xuf</v>
      </c>
    </row>
    <row r="526" spans="85:117" x14ac:dyDescent="0.2">
      <c r="CG526" s="18"/>
      <c r="CM526" s="18"/>
      <c r="DK526" s="31" t="str">
        <f t="shared" si="20"/>
        <v xml:space="preserve">  </v>
      </c>
      <c r="DL526" s="25" t="str">
        <f t="shared" si="21"/>
        <v/>
      </c>
      <c r="DM526" s="25" t="str">
        <f>BasicInput!$D$13&amp;$DM$2&amp;B526&amp;"_"&amp;C526&amp;D526&amp;"_"&amp;BasicInput!$D$7&amp;BasicInput!$D$8&amp;"_"&amp;DL526&amp;".xuf"</f>
        <v>C:\PWWORKING\east01\d2591108\Weave\__2019EX_PM_.xuf</v>
      </c>
    </row>
    <row r="527" spans="85:117" x14ac:dyDescent="0.2">
      <c r="CG527" s="18"/>
      <c r="CM527" s="18"/>
      <c r="DK527" s="31" t="str">
        <f t="shared" si="20"/>
        <v xml:space="preserve">  </v>
      </c>
      <c r="DL527" s="25" t="str">
        <f t="shared" si="21"/>
        <v/>
      </c>
      <c r="DM527" s="25" t="str">
        <f>BasicInput!$D$13&amp;$DM$2&amp;B527&amp;"_"&amp;C527&amp;D527&amp;"_"&amp;BasicInput!$D$7&amp;BasicInput!$D$8&amp;"_"&amp;DL527&amp;".xuf"</f>
        <v>C:\PWWORKING\east01\d2591108\Weave\__2019EX_PM_.xuf</v>
      </c>
    </row>
    <row r="528" spans="85:117" x14ac:dyDescent="0.2">
      <c r="CG528" s="18"/>
      <c r="CM528" s="18"/>
      <c r="DK528" s="31" t="str">
        <f t="shared" si="20"/>
        <v xml:space="preserve">  </v>
      </c>
      <c r="DL528" s="25" t="str">
        <f t="shared" si="21"/>
        <v/>
      </c>
      <c r="DM528" s="25" t="str">
        <f>BasicInput!$D$13&amp;$DM$2&amp;B528&amp;"_"&amp;C528&amp;D528&amp;"_"&amp;BasicInput!$D$7&amp;BasicInput!$D$8&amp;"_"&amp;DL528&amp;".xuf"</f>
        <v>C:\PWWORKING\east01\d2591108\Weave\__2019EX_PM_.xuf</v>
      </c>
    </row>
    <row r="529" spans="85:117" x14ac:dyDescent="0.2">
      <c r="CG529" s="18"/>
      <c r="CM529" s="18"/>
      <c r="DK529" s="31" t="str">
        <f t="shared" si="20"/>
        <v xml:space="preserve">  </v>
      </c>
      <c r="DL529" s="25" t="str">
        <f t="shared" si="21"/>
        <v/>
      </c>
      <c r="DM529" s="25" t="str">
        <f>BasicInput!$D$13&amp;$DM$2&amp;B529&amp;"_"&amp;C529&amp;D529&amp;"_"&amp;BasicInput!$D$7&amp;BasicInput!$D$8&amp;"_"&amp;DL529&amp;".xuf"</f>
        <v>C:\PWWORKING\east01\d2591108\Weave\__2019EX_PM_.xuf</v>
      </c>
    </row>
    <row r="530" spans="85:117" x14ac:dyDescent="0.2">
      <c r="CG530" s="18"/>
      <c r="CM530" s="18"/>
      <c r="DK530" s="31" t="str">
        <f t="shared" si="20"/>
        <v xml:space="preserve">  </v>
      </c>
      <c r="DL530" s="25" t="str">
        <f t="shared" si="21"/>
        <v/>
      </c>
      <c r="DM530" s="25" t="str">
        <f>BasicInput!$D$13&amp;$DM$2&amp;B530&amp;"_"&amp;C530&amp;D530&amp;"_"&amp;BasicInput!$D$7&amp;BasicInput!$D$8&amp;"_"&amp;DL530&amp;".xuf"</f>
        <v>C:\PWWORKING\east01\d2591108\Weave\__2019EX_PM_.xuf</v>
      </c>
    </row>
    <row r="531" spans="85:117" x14ac:dyDescent="0.2">
      <c r="CG531" s="18"/>
      <c r="CM531" s="18"/>
      <c r="DK531" s="31" t="str">
        <f t="shared" si="20"/>
        <v xml:space="preserve">  </v>
      </c>
      <c r="DL531" s="25" t="str">
        <f t="shared" si="21"/>
        <v/>
      </c>
      <c r="DM531" s="25" t="str">
        <f>BasicInput!$D$13&amp;$DM$2&amp;B531&amp;"_"&amp;C531&amp;D531&amp;"_"&amp;BasicInput!$D$7&amp;BasicInput!$D$8&amp;"_"&amp;DL531&amp;".xuf"</f>
        <v>C:\PWWORKING\east01\d2591108\Weave\__2019EX_PM_.xuf</v>
      </c>
    </row>
    <row r="532" spans="85:117" x14ac:dyDescent="0.2">
      <c r="CG532" s="18"/>
      <c r="CM532" s="18"/>
      <c r="DK532" s="31" t="str">
        <f t="shared" si="20"/>
        <v xml:space="preserve">  </v>
      </c>
      <c r="DL532" s="25" t="str">
        <f t="shared" si="21"/>
        <v/>
      </c>
      <c r="DM532" s="25" t="str">
        <f>BasicInput!$D$13&amp;$DM$2&amp;B532&amp;"_"&amp;C532&amp;D532&amp;"_"&amp;BasicInput!$D$7&amp;BasicInput!$D$8&amp;"_"&amp;DL532&amp;".xuf"</f>
        <v>C:\PWWORKING\east01\d2591108\Weave\__2019EX_PM_.xuf</v>
      </c>
    </row>
    <row r="533" spans="85:117" x14ac:dyDescent="0.2">
      <c r="CG533" s="18"/>
      <c r="CM533" s="18"/>
      <c r="DK533" s="31" t="str">
        <f t="shared" si="20"/>
        <v xml:space="preserve">  </v>
      </c>
      <c r="DL533" s="25" t="str">
        <f t="shared" si="21"/>
        <v/>
      </c>
      <c r="DM533" s="25" t="str">
        <f>BasicInput!$D$13&amp;$DM$2&amp;B533&amp;"_"&amp;C533&amp;D533&amp;"_"&amp;BasicInput!$D$7&amp;BasicInput!$D$8&amp;"_"&amp;DL533&amp;".xuf"</f>
        <v>C:\PWWORKING\east01\d2591108\Weave\__2019EX_PM_.xuf</v>
      </c>
    </row>
    <row r="534" spans="85:117" x14ac:dyDescent="0.2">
      <c r="CG534" s="18"/>
      <c r="CM534" s="18"/>
      <c r="DK534" s="31" t="str">
        <f t="shared" si="20"/>
        <v xml:space="preserve">  </v>
      </c>
      <c r="DL534" s="25" t="str">
        <f t="shared" si="21"/>
        <v/>
      </c>
      <c r="DM534" s="25" t="str">
        <f>BasicInput!$D$13&amp;$DM$2&amp;B534&amp;"_"&amp;C534&amp;D534&amp;"_"&amp;BasicInput!$D$7&amp;BasicInput!$D$8&amp;"_"&amp;DL534&amp;".xuf"</f>
        <v>C:\PWWORKING\east01\d2591108\Weave\__2019EX_PM_.xuf</v>
      </c>
    </row>
    <row r="535" spans="85:117" x14ac:dyDescent="0.2">
      <c r="CG535" s="18"/>
      <c r="CM535" s="18"/>
      <c r="DK535" s="31" t="str">
        <f t="shared" si="20"/>
        <v xml:space="preserve">  </v>
      </c>
      <c r="DL535" s="25" t="str">
        <f t="shared" si="21"/>
        <v/>
      </c>
      <c r="DM535" s="25" t="str">
        <f>BasicInput!$D$13&amp;$DM$2&amp;B535&amp;"_"&amp;C535&amp;D535&amp;"_"&amp;BasicInput!$D$7&amp;BasicInput!$D$8&amp;"_"&amp;DL535&amp;".xuf"</f>
        <v>C:\PWWORKING\east01\d2591108\Weave\__2019EX_PM_.xuf</v>
      </c>
    </row>
    <row r="536" spans="85:117" x14ac:dyDescent="0.2">
      <c r="CG536" s="18"/>
      <c r="CM536" s="18"/>
      <c r="DK536" s="31" t="str">
        <f t="shared" si="20"/>
        <v xml:space="preserve">  </v>
      </c>
      <c r="DL536" s="25" t="str">
        <f t="shared" si="21"/>
        <v/>
      </c>
      <c r="DM536" s="25" t="str">
        <f>BasicInput!$D$13&amp;$DM$2&amp;B536&amp;"_"&amp;C536&amp;D536&amp;"_"&amp;BasicInput!$D$7&amp;BasicInput!$D$8&amp;"_"&amp;DL536&amp;".xuf"</f>
        <v>C:\PWWORKING\east01\d2591108\Weave\__2019EX_PM_.xuf</v>
      </c>
    </row>
    <row r="537" spans="85:117" x14ac:dyDescent="0.2">
      <c r="CG537" s="18"/>
      <c r="CM537" s="18"/>
      <c r="DK537" s="31" t="str">
        <f t="shared" si="20"/>
        <v xml:space="preserve">  </v>
      </c>
      <c r="DL537" s="25" t="str">
        <f t="shared" si="21"/>
        <v/>
      </c>
      <c r="DM537" s="25" t="str">
        <f>BasicInput!$D$13&amp;$DM$2&amp;B537&amp;"_"&amp;C537&amp;D537&amp;"_"&amp;BasicInput!$D$7&amp;BasicInput!$D$8&amp;"_"&amp;DL537&amp;".xuf"</f>
        <v>C:\PWWORKING\east01\d2591108\Weave\__2019EX_PM_.xuf</v>
      </c>
    </row>
    <row r="538" spans="85:117" x14ac:dyDescent="0.2">
      <c r="CG538" s="18"/>
      <c r="CM538" s="18"/>
      <c r="DK538" s="31" t="str">
        <f t="shared" si="20"/>
        <v xml:space="preserve">  </v>
      </c>
      <c r="DL538" s="25" t="str">
        <f t="shared" si="21"/>
        <v/>
      </c>
      <c r="DM538" s="25" t="str">
        <f>BasicInput!$D$13&amp;$DM$2&amp;B538&amp;"_"&amp;C538&amp;D538&amp;"_"&amp;BasicInput!$D$7&amp;BasicInput!$D$8&amp;"_"&amp;DL538&amp;".xuf"</f>
        <v>C:\PWWORKING\east01\d2591108\Weave\__2019EX_PM_.xuf</v>
      </c>
    </row>
    <row r="539" spans="85:117" x14ac:dyDescent="0.2">
      <c r="CG539" s="18"/>
      <c r="CM539" s="18"/>
      <c r="DK539" s="31" t="str">
        <f t="shared" si="20"/>
        <v xml:space="preserve">  </v>
      </c>
      <c r="DL539" s="25" t="str">
        <f t="shared" si="21"/>
        <v/>
      </c>
      <c r="DM539" s="25" t="str">
        <f>BasicInput!$D$13&amp;$DM$2&amp;B539&amp;"_"&amp;C539&amp;D539&amp;"_"&amp;BasicInput!$D$7&amp;BasicInput!$D$8&amp;"_"&amp;DL539&amp;".xuf"</f>
        <v>C:\PWWORKING\east01\d2591108\Weave\__2019EX_PM_.xuf</v>
      </c>
    </row>
    <row r="540" spans="85:117" x14ac:dyDescent="0.2">
      <c r="CG540" s="18"/>
      <c r="CM540" s="18"/>
      <c r="DK540" s="31" t="str">
        <f t="shared" si="20"/>
        <v xml:space="preserve">  </v>
      </c>
      <c r="DL540" s="25" t="str">
        <f t="shared" si="21"/>
        <v/>
      </c>
      <c r="DM540" s="25" t="str">
        <f>BasicInput!$D$13&amp;$DM$2&amp;B540&amp;"_"&amp;C540&amp;D540&amp;"_"&amp;BasicInput!$D$7&amp;BasicInput!$D$8&amp;"_"&amp;DL540&amp;".xuf"</f>
        <v>C:\PWWORKING\east01\d2591108\Weave\__2019EX_PM_.xuf</v>
      </c>
    </row>
    <row r="541" spans="85:117" x14ac:dyDescent="0.2">
      <c r="CG541" s="18"/>
      <c r="CM541" s="18"/>
      <c r="DK541" s="31" t="str">
        <f t="shared" si="20"/>
        <v xml:space="preserve">  </v>
      </c>
      <c r="DL541" s="25" t="str">
        <f t="shared" si="21"/>
        <v/>
      </c>
      <c r="DM541" s="25" t="str">
        <f>BasicInput!$D$13&amp;$DM$2&amp;B541&amp;"_"&amp;C541&amp;D541&amp;"_"&amp;BasicInput!$D$7&amp;BasicInput!$D$8&amp;"_"&amp;DL541&amp;".xuf"</f>
        <v>C:\PWWORKING\east01\d2591108\Weave\__2019EX_PM_.xuf</v>
      </c>
    </row>
    <row r="542" spans="85:117" x14ac:dyDescent="0.2">
      <c r="CG542" s="18"/>
      <c r="CM542" s="18"/>
      <c r="DK542" s="31" t="str">
        <f t="shared" si="20"/>
        <v xml:space="preserve">  </v>
      </c>
      <c r="DL542" s="25" t="str">
        <f t="shared" si="21"/>
        <v/>
      </c>
      <c r="DM542" s="25" t="str">
        <f>BasicInput!$D$13&amp;$DM$2&amp;B542&amp;"_"&amp;C542&amp;D542&amp;"_"&amp;BasicInput!$D$7&amp;BasicInput!$D$8&amp;"_"&amp;DL542&amp;".xuf"</f>
        <v>C:\PWWORKING\east01\d2591108\Weave\__2019EX_PM_.xuf</v>
      </c>
    </row>
    <row r="543" spans="85:117" x14ac:dyDescent="0.2">
      <c r="CG543" s="18"/>
      <c r="CM543" s="18"/>
      <c r="DK543" s="31" t="str">
        <f t="shared" si="20"/>
        <v xml:space="preserve">  </v>
      </c>
      <c r="DL543" s="25" t="str">
        <f t="shared" si="21"/>
        <v/>
      </c>
      <c r="DM543" s="25" t="str">
        <f>BasicInput!$D$13&amp;$DM$2&amp;B543&amp;"_"&amp;C543&amp;D543&amp;"_"&amp;BasicInput!$D$7&amp;BasicInput!$D$8&amp;"_"&amp;DL543&amp;".xuf"</f>
        <v>C:\PWWORKING\east01\d2591108\Weave\__2019EX_PM_.xuf</v>
      </c>
    </row>
    <row r="544" spans="85:117" x14ac:dyDescent="0.2">
      <c r="CG544" s="18"/>
      <c r="CM544" s="18"/>
      <c r="DK544" s="31" t="str">
        <f t="shared" si="20"/>
        <v xml:space="preserve">  </v>
      </c>
      <c r="DL544" s="25" t="str">
        <f t="shared" si="21"/>
        <v/>
      </c>
      <c r="DM544" s="25" t="str">
        <f>BasicInput!$D$13&amp;$DM$2&amp;B544&amp;"_"&amp;C544&amp;D544&amp;"_"&amp;BasicInput!$D$7&amp;BasicInput!$D$8&amp;"_"&amp;DL544&amp;".xuf"</f>
        <v>C:\PWWORKING\east01\d2591108\Weave\__2019EX_PM_.xuf</v>
      </c>
    </row>
    <row r="545" spans="85:117" x14ac:dyDescent="0.2">
      <c r="CG545" s="18"/>
      <c r="CM545" s="18"/>
      <c r="DK545" s="31" t="str">
        <f t="shared" si="20"/>
        <v xml:space="preserve">  </v>
      </c>
      <c r="DL545" s="25" t="str">
        <f t="shared" si="21"/>
        <v/>
      </c>
      <c r="DM545" s="25" t="str">
        <f>BasicInput!$D$13&amp;$DM$2&amp;B545&amp;"_"&amp;C545&amp;D545&amp;"_"&amp;BasicInput!$D$7&amp;BasicInput!$D$8&amp;"_"&amp;DL545&amp;".xuf"</f>
        <v>C:\PWWORKING\east01\d2591108\Weave\__2019EX_PM_.xuf</v>
      </c>
    </row>
    <row r="546" spans="85:117" x14ac:dyDescent="0.2">
      <c r="CG546" s="18"/>
      <c r="CM546" s="18"/>
      <c r="DK546" s="31" t="str">
        <f t="shared" si="20"/>
        <v xml:space="preserve">  </v>
      </c>
      <c r="DL546" s="25" t="str">
        <f t="shared" si="21"/>
        <v/>
      </c>
      <c r="DM546" s="25" t="str">
        <f>BasicInput!$D$13&amp;$DM$2&amp;B546&amp;"_"&amp;C546&amp;D546&amp;"_"&amp;BasicInput!$D$7&amp;BasicInput!$D$8&amp;"_"&amp;DL546&amp;".xuf"</f>
        <v>C:\PWWORKING\east01\d2591108\Weave\__2019EX_PM_.xuf</v>
      </c>
    </row>
    <row r="547" spans="85:117" x14ac:dyDescent="0.2">
      <c r="CG547" s="18"/>
      <c r="CM547" s="18"/>
      <c r="DK547" s="31" t="str">
        <f t="shared" si="20"/>
        <v xml:space="preserve">  </v>
      </c>
      <c r="DL547" s="25" t="str">
        <f t="shared" si="21"/>
        <v/>
      </c>
      <c r="DM547" s="25" t="str">
        <f>BasicInput!$D$13&amp;$DM$2&amp;B547&amp;"_"&amp;C547&amp;D547&amp;"_"&amp;BasicInput!$D$7&amp;BasicInput!$D$8&amp;"_"&amp;DL547&amp;".xuf"</f>
        <v>C:\PWWORKING\east01\d2591108\Weave\__2019EX_PM_.xuf</v>
      </c>
    </row>
    <row r="548" spans="85:117" x14ac:dyDescent="0.2">
      <c r="CG548" s="18"/>
      <c r="CM548" s="18"/>
      <c r="DK548" s="31" t="str">
        <f t="shared" si="20"/>
        <v xml:space="preserve">  </v>
      </c>
      <c r="DL548" s="25" t="str">
        <f t="shared" si="21"/>
        <v/>
      </c>
      <c r="DM548" s="25" t="str">
        <f>BasicInput!$D$13&amp;$DM$2&amp;B548&amp;"_"&amp;C548&amp;D548&amp;"_"&amp;BasicInput!$D$7&amp;BasicInput!$D$8&amp;"_"&amp;DL548&amp;".xuf"</f>
        <v>C:\PWWORKING\east01\d2591108\Weave\__2019EX_PM_.xuf</v>
      </c>
    </row>
    <row r="549" spans="85:117" x14ac:dyDescent="0.2">
      <c r="CG549" s="18"/>
      <c r="CM549" s="18"/>
      <c r="DK549" s="31" t="str">
        <f t="shared" si="20"/>
        <v xml:space="preserve">  </v>
      </c>
      <c r="DL549" s="25" t="str">
        <f t="shared" si="21"/>
        <v/>
      </c>
      <c r="DM549" s="25" t="str">
        <f>BasicInput!$D$13&amp;$DM$2&amp;B549&amp;"_"&amp;C549&amp;D549&amp;"_"&amp;BasicInput!$D$7&amp;BasicInput!$D$8&amp;"_"&amp;DL549&amp;".xuf"</f>
        <v>C:\PWWORKING\east01\d2591108\Weave\__2019EX_PM_.xuf</v>
      </c>
    </row>
    <row r="550" spans="85:117" x14ac:dyDescent="0.2">
      <c r="CG550" s="18"/>
      <c r="CM550" s="18"/>
      <c r="DK550" s="31" t="str">
        <f t="shared" si="20"/>
        <v xml:space="preserve">  </v>
      </c>
      <c r="DL550" s="25" t="str">
        <f t="shared" si="21"/>
        <v/>
      </c>
      <c r="DM550" s="25" t="str">
        <f>BasicInput!$D$13&amp;$DM$2&amp;B550&amp;"_"&amp;C550&amp;D550&amp;"_"&amp;BasicInput!$D$7&amp;BasicInput!$D$8&amp;"_"&amp;DL550&amp;".xuf"</f>
        <v>C:\PWWORKING\east01\d2591108\Weave\__2019EX_PM_.xuf</v>
      </c>
    </row>
    <row r="551" spans="85:117" x14ac:dyDescent="0.2">
      <c r="CG551" s="18"/>
      <c r="CM551" s="18"/>
      <c r="DK551" s="31" t="str">
        <f t="shared" si="20"/>
        <v xml:space="preserve">  </v>
      </c>
      <c r="DL551" s="25" t="str">
        <f t="shared" si="21"/>
        <v/>
      </c>
      <c r="DM551" s="25" t="str">
        <f>BasicInput!$D$13&amp;$DM$2&amp;B551&amp;"_"&amp;C551&amp;D551&amp;"_"&amp;BasicInput!$D$7&amp;BasicInput!$D$8&amp;"_"&amp;DL551&amp;".xuf"</f>
        <v>C:\PWWORKING\east01\d2591108\Weave\__2019EX_PM_.xuf</v>
      </c>
    </row>
    <row r="552" spans="85:117" x14ac:dyDescent="0.2">
      <c r="CG552" s="18"/>
      <c r="CM552" s="18"/>
      <c r="DK552" s="31" t="str">
        <f t="shared" si="20"/>
        <v xml:space="preserve">  </v>
      </c>
      <c r="DL552" s="25" t="str">
        <f t="shared" si="21"/>
        <v/>
      </c>
      <c r="DM552" s="25" t="str">
        <f>BasicInput!$D$13&amp;$DM$2&amp;B552&amp;"_"&amp;C552&amp;D552&amp;"_"&amp;BasicInput!$D$7&amp;BasicInput!$D$8&amp;"_"&amp;DL552&amp;".xuf"</f>
        <v>C:\PWWORKING\east01\d2591108\Weave\__2019EX_PM_.xuf</v>
      </c>
    </row>
    <row r="553" spans="85:117" x14ac:dyDescent="0.2">
      <c r="CG553" s="18"/>
      <c r="CM553" s="18"/>
      <c r="DK553" s="31" t="str">
        <f t="shared" si="20"/>
        <v xml:space="preserve">  </v>
      </c>
      <c r="DL553" s="25" t="str">
        <f t="shared" si="21"/>
        <v/>
      </c>
      <c r="DM553" s="25" t="str">
        <f>BasicInput!$D$13&amp;$DM$2&amp;B553&amp;"_"&amp;C553&amp;D553&amp;"_"&amp;BasicInput!$D$7&amp;BasicInput!$D$8&amp;"_"&amp;DL553&amp;".xuf"</f>
        <v>C:\PWWORKING\east01\d2591108\Weave\__2019EX_PM_.xuf</v>
      </c>
    </row>
    <row r="554" spans="85:117" x14ac:dyDescent="0.2">
      <c r="CG554" s="18"/>
      <c r="CM554" s="18"/>
      <c r="DK554" s="31" t="str">
        <f t="shared" si="20"/>
        <v xml:space="preserve">  </v>
      </c>
      <c r="DL554" s="25" t="str">
        <f t="shared" si="21"/>
        <v/>
      </c>
      <c r="DM554" s="25" t="str">
        <f>BasicInput!$D$13&amp;$DM$2&amp;B554&amp;"_"&amp;C554&amp;D554&amp;"_"&amp;BasicInput!$D$7&amp;BasicInput!$D$8&amp;"_"&amp;DL554&amp;".xuf"</f>
        <v>C:\PWWORKING\east01\d2591108\Weave\__2019EX_PM_.xuf</v>
      </c>
    </row>
    <row r="555" spans="85:117" x14ac:dyDescent="0.2">
      <c r="CG555" s="18"/>
      <c r="CM555" s="18"/>
      <c r="DK555" s="31" t="str">
        <f t="shared" si="20"/>
        <v xml:space="preserve">  </v>
      </c>
      <c r="DL555" s="25" t="str">
        <f t="shared" si="21"/>
        <v/>
      </c>
      <c r="DM555" s="25" t="str">
        <f>BasicInput!$D$13&amp;$DM$2&amp;B555&amp;"_"&amp;C555&amp;D555&amp;"_"&amp;BasicInput!$D$7&amp;BasicInput!$D$8&amp;"_"&amp;DL555&amp;".xuf"</f>
        <v>C:\PWWORKING\east01\d2591108\Weave\__2019EX_PM_.xuf</v>
      </c>
    </row>
    <row r="556" spans="85:117" x14ac:dyDescent="0.2">
      <c r="CG556" s="18"/>
      <c r="CM556" s="18"/>
      <c r="DK556" s="31" t="str">
        <f t="shared" si="20"/>
        <v xml:space="preserve">  </v>
      </c>
      <c r="DL556" s="25" t="str">
        <f t="shared" si="21"/>
        <v/>
      </c>
      <c r="DM556" s="25" t="str">
        <f>BasicInput!$D$13&amp;$DM$2&amp;B556&amp;"_"&amp;C556&amp;D556&amp;"_"&amp;BasicInput!$D$7&amp;BasicInput!$D$8&amp;"_"&amp;DL556&amp;".xuf"</f>
        <v>C:\PWWORKING\east01\d2591108\Weave\__2019EX_PM_.xuf</v>
      </c>
    </row>
    <row r="557" spans="85:117" x14ac:dyDescent="0.2">
      <c r="CG557" s="18"/>
      <c r="CM557" s="18"/>
      <c r="DK557" s="31" t="str">
        <f t="shared" si="20"/>
        <v xml:space="preserve">  </v>
      </c>
      <c r="DL557" s="25" t="str">
        <f t="shared" si="21"/>
        <v/>
      </c>
      <c r="DM557" s="25" t="str">
        <f>BasicInput!$D$13&amp;$DM$2&amp;B557&amp;"_"&amp;C557&amp;D557&amp;"_"&amp;BasicInput!$D$7&amp;BasicInput!$D$8&amp;"_"&amp;DL557&amp;".xuf"</f>
        <v>C:\PWWORKING\east01\d2591108\Weave\__2019EX_PM_.xuf</v>
      </c>
    </row>
    <row r="558" spans="85:117" x14ac:dyDescent="0.2">
      <c r="CG558" s="18"/>
      <c r="CM558" s="18"/>
      <c r="DK558" s="31" t="str">
        <f t="shared" si="20"/>
        <v xml:space="preserve">  </v>
      </c>
      <c r="DL558" s="25" t="str">
        <f t="shared" si="21"/>
        <v/>
      </c>
      <c r="DM558" s="25" t="str">
        <f>BasicInput!$D$13&amp;$DM$2&amp;B558&amp;"_"&amp;C558&amp;D558&amp;"_"&amp;BasicInput!$D$7&amp;BasicInput!$D$8&amp;"_"&amp;DL558&amp;".xuf"</f>
        <v>C:\PWWORKING\east01\d2591108\Weave\__2019EX_PM_.xuf</v>
      </c>
    </row>
    <row r="559" spans="85:117" x14ac:dyDescent="0.2">
      <c r="CG559" s="18"/>
      <c r="CM559" s="18"/>
      <c r="DK559" s="31" t="str">
        <f t="shared" si="20"/>
        <v xml:space="preserve">  </v>
      </c>
      <c r="DL559" s="25" t="str">
        <f t="shared" si="21"/>
        <v/>
      </c>
      <c r="DM559" s="25" t="str">
        <f>BasicInput!$D$13&amp;$DM$2&amp;B559&amp;"_"&amp;C559&amp;D559&amp;"_"&amp;BasicInput!$D$7&amp;BasicInput!$D$8&amp;"_"&amp;DL559&amp;".xuf"</f>
        <v>C:\PWWORKING\east01\d2591108\Weave\__2019EX_PM_.xuf</v>
      </c>
    </row>
    <row r="560" spans="85:117" x14ac:dyDescent="0.2">
      <c r="CG560" s="18"/>
      <c r="CM560" s="18"/>
      <c r="DK560" s="31" t="str">
        <f t="shared" si="20"/>
        <v xml:space="preserve">  </v>
      </c>
      <c r="DL560" s="25" t="str">
        <f t="shared" si="21"/>
        <v/>
      </c>
      <c r="DM560" s="25" t="str">
        <f>BasicInput!$D$13&amp;$DM$2&amp;B560&amp;"_"&amp;C560&amp;D560&amp;"_"&amp;BasicInput!$D$7&amp;BasicInput!$D$8&amp;"_"&amp;DL560&amp;".xuf"</f>
        <v>C:\PWWORKING\east01\d2591108\Weave\__2019EX_PM_.xuf</v>
      </c>
    </row>
    <row r="561" spans="85:117" x14ac:dyDescent="0.2">
      <c r="CG561" s="18"/>
      <c r="CM561" s="18"/>
      <c r="DK561" s="31" t="str">
        <f t="shared" si="20"/>
        <v xml:space="preserve">  </v>
      </c>
      <c r="DL561" s="25" t="str">
        <f t="shared" si="21"/>
        <v/>
      </c>
      <c r="DM561" s="25" t="str">
        <f>BasicInput!$D$13&amp;$DM$2&amp;B561&amp;"_"&amp;C561&amp;D561&amp;"_"&amp;BasicInput!$D$7&amp;BasicInput!$D$8&amp;"_"&amp;DL561&amp;".xuf"</f>
        <v>C:\PWWORKING\east01\d2591108\Weave\__2019EX_PM_.xuf</v>
      </c>
    </row>
    <row r="562" spans="85:117" x14ac:dyDescent="0.2">
      <c r="CG562" s="18"/>
      <c r="CM562" s="18"/>
      <c r="DK562" s="31" t="str">
        <f t="shared" si="20"/>
        <v xml:space="preserve">  </v>
      </c>
      <c r="DL562" s="25" t="str">
        <f t="shared" si="21"/>
        <v/>
      </c>
      <c r="DM562" s="25" t="str">
        <f>BasicInput!$D$13&amp;$DM$2&amp;B562&amp;"_"&amp;C562&amp;D562&amp;"_"&amp;BasicInput!$D$7&amp;BasicInput!$D$8&amp;"_"&amp;DL562&amp;".xuf"</f>
        <v>C:\PWWORKING\east01\d2591108\Weave\__2019EX_PM_.xuf</v>
      </c>
    </row>
    <row r="563" spans="85:117" x14ac:dyDescent="0.2">
      <c r="CG563" s="18"/>
      <c r="CM563" s="18"/>
      <c r="DK563" s="31" t="str">
        <f t="shared" si="20"/>
        <v xml:space="preserve">  </v>
      </c>
      <c r="DL563" s="25" t="str">
        <f t="shared" si="21"/>
        <v/>
      </c>
      <c r="DM563" s="25" t="str">
        <f>BasicInput!$D$13&amp;$DM$2&amp;B563&amp;"_"&amp;C563&amp;D563&amp;"_"&amp;BasicInput!$D$7&amp;BasicInput!$D$8&amp;"_"&amp;DL563&amp;".xuf"</f>
        <v>C:\PWWORKING\east01\d2591108\Weave\__2019EX_PM_.xuf</v>
      </c>
    </row>
    <row r="564" spans="85:117" x14ac:dyDescent="0.2">
      <c r="CG564" s="18"/>
      <c r="CM564" s="18"/>
      <c r="DK564" s="31" t="str">
        <f t="shared" si="20"/>
        <v xml:space="preserve">  </v>
      </c>
      <c r="DL564" s="25" t="str">
        <f t="shared" si="21"/>
        <v/>
      </c>
      <c r="DM564" s="25" t="str">
        <f>BasicInput!$D$13&amp;$DM$2&amp;B564&amp;"_"&amp;C564&amp;D564&amp;"_"&amp;BasicInput!$D$7&amp;BasicInput!$D$8&amp;"_"&amp;DL564&amp;".xuf"</f>
        <v>C:\PWWORKING\east01\d2591108\Weave\__2019EX_PM_.xuf</v>
      </c>
    </row>
    <row r="565" spans="85:117" x14ac:dyDescent="0.2">
      <c r="CG565" s="18"/>
      <c r="CM565" s="18"/>
      <c r="DK565" s="31" t="str">
        <f t="shared" si="20"/>
        <v xml:space="preserve">  </v>
      </c>
      <c r="DL565" s="25" t="str">
        <f t="shared" si="21"/>
        <v/>
      </c>
      <c r="DM565" s="25" t="str">
        <f>BasicInput!$D$13&amp;$DM$2&amp;B565&amp;"_"&amp;C565&amp;D565&amp;"_"&amp;BasicInput!$D$7&amp;BasicInput!$D$8&amp;"_"&amp;DL565&amp;".xuf"</f>
        <v>C:\PWWORKING\east01\d2591108\Weave\__2019EX_PM_.xuf</v>
      </c>
    </row>
    <row r="566" spans="85:117" x14ac:dyDescent="0.2">
      <c r="CG566" s="18"/>
      <c r="CM566" s="18"/>
      <c r="DK566" s="31" t="str">
        <f t="shared" si="20"/>
        <v xml:space="preserve">  </v>
      </c>
      <c r="DL566" s="25" t="str">
        <f t="shared" si="21"/>
        <v/>
      </c>
      <c r="DM566" s="25" t="str">
        <f>BasicInput!$D$13&amp;$DM$2&amp;B566&amp;"_"&amp;C566&amp;D566&amp;"_"&amp;BasicInput!$D$7&amp;BasicInput!$D$8&amp;"_"&amp;DL566&amp;".xuf"</f>
        <v>C:\PWWORKING\east01\d2591108\Weave\__2019EX_PM_.xuf</v>
      </c>
    </row>
    <row r="567" spans="85:117" x14ac:dyDescent="0.2">
      <c r="CG567" s="18"/>
      <c r="CM567" s="18"/>
      <c r="DK567" s="31" t="str">
        <f t="shared" si="20"/>
        <v xml:space="preserve">  </v>
      </c>
      <c r="DL567" s="25" t="str">
        <f t="shared" si="21"/>
        <v/>
      </c>
      <c r="DM567" s="25" t="str">
        <f>BasicInput!$D$13&amp;$DM$2&amp;B567&amp;"_"&amp;C567&amp;D567&amp;"_"&amp;BasicInput!$D$7&amp;BasicInput!$D$8&amp;"_"&amp;DL567&amp;".xuf"</f>
        <v>C:\PWWORKING\east01\d2591108\Weave\__2019EX_PM_.xuf</v>
      </c>
    </row>
    <row r="568" spans="85:117" x14ac:dyDescent="0.2">
      <c r="CG568" s="18"/>
      <c r="CM568" s="18"/>
      <c r="DK568" s="31" t="str">
        <f t="shared" si="20"/>
        <v xml:space="preserve">  </v>
      </c>
      <c r="DL568" s="25" t="str">
        <f t="shared" si="21"/>
        <v/>
      </c>
      <c r="DM568" s="25" t="str">
        <f>BasicInput!$D$13&amp;$DM$2&amp;B568&amp;"_"&amp;C568&amp;D568&amp;"_"&amp;BasicInput!$D$7&amp;BasicInput!$D$8&amp;"_"&amp;DL568&amp;".xuf"</f>
        <v>C:\PWWORKING\east01\d2591108\Weave\__2019EX_PM_.xuf</v>
      </c>
    </row>
    <row r="569" spans="85:117" x14ac:dyDescent="0.2">
      <c r="CG569" s="18"/>
      <c r="CM569" s="18"/>
      <c r="DK569" s="31" t="str">
        <f t="shared" si="20"/>
        <v xml:space="preserve">  </v>
      </c>
      <c r="DL569" s="25" t="str">
        <f t="shared" si="21"/>
        <v/>
      </c>
      <c r="DM569" s="25" t="str">
        <f>BasicInput!$D$13&amp;$DM$2&amp;B569&amp;"_"&amp;C569&amp;D569&amp;"_"&amp;BasicInput!$D$7&amp;BasicInput!$D$8&amp;"_"&amp;DL569&amp;".xuf"</f>
        <v>C:\PWWORKING\east01\d2591108\Weave\__2019EX_PM_.xuf</v>
      </c>
    </row>
    <row r="570" spans="85:117" x14ac:dyDescent="0.2">
      <c r="CG570" s="18"/>
      <c r="CM570" s="18"/>
      <c r="DK570" s="31" t="str">
        <f t="shared" si="20"/>
        <v xml:space="preserve">  </v>
      </c>
      <c r="DL570" s="25" t="str">
        <f t="shared" si="21"/>
        <v/>
      </c>
      <c r="DM570" s="25" t="str">
        <f>BasicInput!$D$13&amp;$DM$2&amp;B570&amp;"_"&amp;C570&amp;D570&amp;"_"&amp;BasicInput!$D$7&amp;BasicInput!$D$8&amp;"_"&amp;DL570&amp;".xuf"</f>
        <v>C:\PWWORKING\east01\d2591108\Weave\__2019EX_PM_.xuf</v>
      </c>
    </row>
    <row r="571" spans="85:117" x14ac:dyDescent="0.2">
      <c r="CG571" s="18"/>
      <c r="CM571" s="18"/>
      <c r="DK571" s="31" t="str">
        <f t="shared" si="20"/>
        <v xml:space="preserve">  </v>
      </c>
      <c r="DL571" s="25" t="str">
        <f t="shared" si="21"/>
        <v/>
      </c>
      <c r="DM571" s="25" t="str">
        <f>BasicInput!$D$13&amp;$DM$2&amp;B571&amp;"_"&amp;C571&amp;D571&amp;"_"&amp;BasicInput!$D$7&amp;BasicInput!$D$8&amp;"_"&amp;DL571&amp;".xuf"</f>
        <v>C:\PWWORKING\east01\d2591108\Weave\__2019EX_PM_.xuf</v>
      </c>
    </row>
    <row r="572" spans="85:117" x14ac:dyDescent="0.2">
      <c r="CG572" s="18"/>
      <c r="CM572" s="18"/>
      <c r="DK572" s="31" t="str">
        <f t="shared" si="20"/>
        <v xml:space="preserve">  </v>
      </c>
      <c r="DL572" s="25" t="str">
        <f t="shared" si="21"/>
        <v/>
      </c>
      <c r="DM572" s="25" t="str">
        <f>BasicInput!$D$13&amp;$DM$2&amp;B572&amp;"_"&amp;C572&amp;D572&amp;"_"&amp;BasicInput!$D$7&amp;BasicInput!$D$8&amp;"_"&amp;DL572&amp;".xuf"</f>
        <v>C:\PWWORKING\east01\d2591108\Weave\__2019EX_PM_.xuf</v>
      </c>
    </row>
    <row r="573" spans="85:117" x14ac:dyDescent="0.2">
      <c r="CG573" s="18"/>
      <c r="CM573" s="18"/>
      <c r="DK573" s="31" t="str">
        <f t="shared" si="20"/>
        <v xml:space="preserve">  </v>
      </c>
      <c r="DL573" s="25" t="str">
        <f t="shared" si="21"/>
        <v/>
      </c>
      <c r="DM573" s="25" t="str">
        <f>BasicInput!$D$13&amp;$DM$2&amp;B573&amp;"_"&amp;C573&amp;D573&amp;"_"&amp;BasicInput!$D$7&amp;BasicInput!$D$8&amp;"_"&amp;DL573&amp;".xuf"</f>
        <v>C:\PWWORKING\east01\d2591108\Weave\__2019EX_PM_.xuf</v>
      </c>
    </row>
    <row r="574" spans="85:117" x14ac:dyDescent="0.2">
      <c r="CG574" s="18"/>
      <c r="CM574" s="18"/>
      <c r="DK574" s="31" t="str">
        <f t="shared" si="20"/>
        <v xml:space="preserve">  </v>
      </c>
      <c r="DL574" s="25" t="str">
        <f t="shared" si="21"/>
        <v/>
      </c>
      <c r="DM574" s="25" t="str">
        <f>BasicInput!$D$13&amp;$DM$2&amp;B574&amp;"_"&amp;C574&amp;D574&amp;"_"&amp;BasicInput!$D$7&amp;BasicInput!$D$8&amp;"_"&amp;DL574&amp;".xuf"</f>
        <v>C:\PWWORKING\east01\d2591108\Weave\__2019EX_PM_.xuf</v>
      </c>
    </row>
    <row r="575" spans="85:117" x14ac:dyDescent="0.2">
      <c r="CG575" s="18"/>
      <c r="CM575" s="18"/>
      <c r="DK575" s="31" t="str">
        <f t="shared" si="20"/>
        <v xml:space="preserve">  </v>
      </c>
      <c r="DL575" s="25" t="str">
        <f t="shared" si="21"/>
        <v/>
      </c>
      <c r="DM575" s="25" t="str">
        <f>BasicInput!$D$13&amp;$DM$2&amp;B575&amp;"_"&amp;C575&amp;D575&amp;"_"&amp;BasicInput!$D$7&amp;BasicInput!$D$8&amp;"_"&amp;DL575&amp;".xuf"</f>
        <v>C:\PWWORKING\east01\d2591108\Weave\__2019EX_PM_.xuf</v>
      </c>
    </row>
    <row r="576" spans="85:117" x14ac:dyDescent="0.2">
      <c r="CG576" s="18"/>
      <c r="CM576" s="18"/>
      <c r="DK576" s="31" t="str">
        <f t="shared" si="20"/>
        <v xml:space="preserve">  </v>
      </c>
      <c r="DL576" s="25" t="str">
        <f t="shared" si="21"/>
        <v/>
      </c>
      <c r="DM576" s="25" t="str">
        <f>BasicInput!$D$13&amp;$DM$2&amp;B576&amp;"_"&amp;C576&amp;D576&amp;"_"&amp;BasicInput!$D$7&amp;BasicInput!$D$8&amp;"_"&amp;DL576&amp;".xuf"</f>
        <v>C:\PWWORKING\east01\d2591108\Weave\__2019EX_PM_.xuf</v>
      </c>
    </row>
    <row r="577" spans="85:117" x14ac:dyDescent="0.2">
      <c r="CG577" s="18"/>
      <c r="CM577" s="18"/>
      <c r="DK577" s="31" t="str">
        <f t="shared" si="20"/>
        <v xml:space="preserve">  </v>
      </c>
      <c r="DL577" s="25" t="str">
        <f t="shared" si="21"/>
        <v/>
      </c>
      <c r="DM577" s="25" t="str">
        <f>BasicInput!$D$13&amp;$DM$2&amp;B577&amp;"_"&amp;C577&amp;D577&amp;"_"&amp;BasicInput!$D$7&amp;BasicInput!$D$8&amp;"_"&amp;DL577&amp;".xuf"</f>
        <v>C:\PWWORKING\east01\d2591108\Weave\__2019EX_PM_.xuf</v>
      </c>
    </row>
    <row r="578" spans="85:117" x14ac:dyDescent="0.2">
      <c r="CG578" s="18"/>
      <c r="CM578" s="18"/>
      <c r="DK578" s="31" t="str">
        <f t="shared" si="20"/>
        <v xml:space="preserve">  </v>
      </c>
      <c r="DL578" s="25" t="str">
        <f t="shared" si="21"/>
        <v/>
      </c>
      <c r="DM578" s="25" t="str">
        <f>BasicInput!$D$13&amp;$DM$2&amp;B578&amp;"_"&amp;C578&amp;D578&amp;"_"&amp;BasicInput!$D$7&amp;BasicInput!$D$8&amp;"_"&amp;DL578&amp;".xuf"</f>
        <v>C:\PWWORKING\east01\d2591108\Weave\__2019EX_PM_.xuf</v>
      </c>
    </row>
    <row r="579" spans="85:117" x14ac:dyDescent="0.2">
      <c r="CG579" s="18"/>
      <c r="CM579" s="18"/>
      <c r="DK579" s="31" t="str">
        <f t="shared" si="20"/>
        <v xml:space="preserve">  </v>
      </c>
      <c r="DL579" s="25" t="str">
        <f t="shared" si="21"/>
        <v/>
      </c>
      <c r="DM579" s="25" t="str">
        <f>BasicInput!$D$13&amp;$DM$2&amp;B579&amp;"_"&amp;C579&amp;D579&amp;"_"&amp;BasicInput!$D$7&amp;BasicInput!$D$8&amp;"_"&amp;DL579&amp;".xuf"</f>
        <v>C:\PWWORKING\east01\d2591108\Weave\__2019EX_PM_.xuf</v>
      </c>
    </row>
    <row r="580" spans="85:117" x14ac:dyDescent="0.2">
      <c r="CG580" s="18"/>
      <c r="CM580" s="18"/>
      <c r="DK580" s="31" t="str">
        <f t="shared" si="20"/>
        <v xml:space="preserve">  </v>
      </c>
      <c r="DL580" s="25" t="str">
        <f t="shared" si="21"/>
        <v/>
      </c>
      <c r="DM580" s="25" t="str">
        <f>BasicInput!$D$13&amp;$DM$2&amp;B580&amp;"_"&amp;C580&amp;D580&amp;"_"&amp;BasicInput!$D$7&amp;BasicInput!$D$8&amp;"_"&amp;DL580&amp;".xuf"</f>
        <v>C:\PWWORKING\east01\d2591108\Weave\__2019EX_PM_.xuf</v>
      </c>
    </row>
    <row r="581" spans="85:117" x14ac:dyDescent="0.2">
      <c r="CG581" s="18"/>
      <c r="CM581" s="18"/>
      <c r="DK581" s="31" t="str">
        <f t="shared" si="20"/>
        <v xml:space="preserve">  </v>
      </c>
      <c r="DL581" s="25" t="str">
        <f t="shared" si="21"/>
        <v/>
      </c>
      <c r="DM581" s="25" t="str">
        <f>BasicInput!$D$13&amp;$DM$2&amp;B581&amp;"_"&amp;C581&amp;D581&amp;"_"&amp;BasicInput!$D$7&amp;BasicInput!$D$8&amp;"_"&amp;DL581&amp;".xuf"</f>
        <v>C:\PWWORKING\east01\d2591108\Weave\__2019EX_PM_.xuf</v>
      </c>
    </row>
    <row r="582" spans="85:117" x14ac:dyDescent="0.2">
      <c r="CG582" s="18"/>
      <c r="CM582" s="18"/>
      <c r="DK582" s="31" t="str">
        <f t="shared" si="20"/>
        <v xml:space="preserve">  </v>
      </c>
      <c r="DL582" s="25" t="str">
        <f t="shared" si="21"/>
        <v/>
      </c>
      <c r="DM582" s="25" t="str">
        <f>BasicInput!$D$13&amp;$DM$2&amp;B582&amp;"_"&amp;C582&amp;D582&amp;"_"&amp;BasicInput!$D$7&amp;BasicInput!$D$8&amp;"_"&amp;DL582&amp;".xuf"</f>
        <v>C:\PWWORKING\east01\d2591108\Weave\__2019EX_PM_.xuf</v>
      </c>
    </row>
    <row r="583" spans="85:117" x14ac:dyDescent="0.2">
      <c r="CG583" s="18"/>
      <c r="CM583" s="18"/>
      <c r="DK583" s="31" t="str">
        <f t="shared" si="20"/>
        <v xml:space="preserve">  </v>
      </c>
      <c r="DL583" s="25" t="str">
        <f t="shared" si="21"/>
        <v/>
      </c>
      <c r="DM583" s="25" t="str">
        <f>BasicInput!$D$13&amp;$DM$2&amp;B583&amp;"_"&amp;C583&amp;D583&amp;"_"&amp;BasicInput!$D$7&amp;BasicInput!$D$8&amp;"_"&amp;DL583&amp;".xuf"</f>
        <v>C:\PWWORKING\east01\d2591108\Weave\__2019EX_PM_.xuf</v>
      </c>
    </row>
    <row r="584" spans="85:117" x14ac:dyDescent="0.2">
      <c r="CG584" s="18"/>
      <c r="CM584" s="18"/>
      <c r="DK584" s="31" t="str">
        <f t="shared" si="20"/>
        <v xml:space="preserve">  </v>
      </c>
      <c r="DL584" s="25" t="str">
        <f t="shared" si="21"/>
        <v/>
      </c>
      <c r="DM584" s="25" t="str">
        <f>BasicInput!$D$13&amp;$DM$2&amp;B584&amp;"_"&amp;C584&amp;D584&amp;"_"&amp;BasicInput!$D$7&amp;BasicInput!$D$8&amp;"_"&amp;DL584&amp;".xuf"</f>
        <v>C:\PWWORKING\east01\d2591108\Weave\__2019EX_PM_.xuf</v>
      </c>
    </row>
    <row r="585" spans="85:117" x14ac:dyDescent="0.2">
      <c r="CG585" s="18"/>
      <c r="CM585" s="18"/>
      <c r="DK585" s="31" t="str">
        <f t="shared" si="20"/>
        <v xml:space="preserve">  </v>
      </c>
      <c r="DL585" s="25" t="str">
        <f t="shared" si="21"/>
        <v/>
      </c>
      <c r="DM585" s="25" t="str">
        <f>BasicInput!$D$13&amp;$DM$2&amp;B585&amp;"_"&amp;C585&amp;D585&amp;"_"&amp;BasicInput!$D$7&amp;BasicInput!$D$8&amp;"_"&amp;DL585&amp;".xuf"</f>
        <v>C:\PWWORKING\east01\d2591108\Weave\__2019EX_PM_.xuf</v>
      </c>
    </row>
    <row r="586" spans="85:117" x14ac:dyDescent="0.2">
      <c r="CG586" s="18"/>
      <c r="CM586" s="18"/>
      <c r="DK586" s="31" t="str">
        <f t="shared" si="20"/>
        <v xml:space="preserve">  </v>
      </c>
      <c r="DL586" s="25" t="str">
        <f t="shared" si="21"/>
        <v/>
      </c>
      <c r="DM586" s="25" t="str">
        <f>BasicInput!$D$13&amp;$DM$2&amp;B586&amp;"_"&amp;C586&amp;D586&amp;"_"&amp;BasicInput!$D$7&amp;BasicInput!$D$8&amp;"_"&amp;DL586&amp;".xuf"</f>
        <v>C:\PWWORKING\east01\d2591108\Weave\__2019EX_PM_.xuf</v>
      </c>
    </row>
    <row r="587" spans="85:117" x14ac:dyDescent="0.2">
      <c r="CG587" s="18"/>
      <c r="CM587" s="18"/>
      <c r="DK587" s="31" t="str">
        <f t="shared" si="20"/>
        <v xml:space="preserve">  </v>
      </c>
      <c r="DL587" s="25" t="str">
        <f t="shared" si="21"/>
        <v/>
      </c>
      <c r="DM587" s="25" t="str">
        <f>BasicInput!$D$13&amp;$DM$2&amp;B587&amp;"_"&amp;C587&amp;D587&amp;"_"&amp;BasicInput!$D$7&amp;BasicInput!$D$8&amp;"_"&amp;DL587&amp;".xuf"</f>
        <v>C:\PWWORKING\east01\d2591108\Weave\__2019EX_PM_.xuf</v>
      </c>
    </row>
    <row r="588" spans="85:117" x14ac:dyDescent="0.2">
      <c r="CG588" s="18"/>
      <c r="CM588" s="18"/>
      <c r="DK588" s="31" t="str">
        <f t="shared" ref="DK588:DK651" si="22">C588&amp; " "&amp;D588&amp;" " &amp;E588</f>
        <v xml:space="preserve">  </v>
      </c>
      <c r="DL588" s="25" t="str">
        <f t="shared" ref="DL588:DL651" si="23">TRIM(LEFT(E588, 30))</f>
        <v/>
      </c>
      <c r="DM588" s="25" t="str">
        <f>BasicInput!$D$13&amp;$DM$2&amp;B588&amp;"_"&amp;C588&amp;D588&amp;"_"&amp;BasicInput!$D$7&amp;BasicInput!$D$8&amp;"_"&amp;DL588&amp;".xuf"</f>
        <v>C:\PWWORKING\east01\d2591108\Weave\__2019EX_PM_.xuf</v>
      </c>
    </row>
    <row r="589" spans="85:117" x14ac:dyDescent="0.2">
      <c r="CG589" s="18"/>
      <c r="CM589" s="18"/>
      <c r="DK589" s="31" t="str">
        <f t="shared" si="22"/>
        <v xml:space="preserve">  </v>
      </c>
      <c r="DL589" s="25" t="str">
        <f t="shared" si="23"/>
        <v/>
      </c>
      <c r="DM589" s="25" t="str">
        <f>BasicInput!$D$13&amp;$DM$2&amp;B589&amp;"_"&amp;C589&amp;D589&amp;"_"&amp;BasicInput!$D$7&amp;BasicInput!$D$8&amp;"_"&amp;DL589&amp;".xuf"</f>
        <v>C:\PWWORKING\east01\d2591108\Weave\__2019EX_PM_.xuf</v>
      </c>
    </row>
    <row r="590" spans="85:117" x14ac:dyDescent="0.2">
      <c r="CG590" s="18"/>
      <c r="CM590" s="18"/>
      <c r="DK590" s="31" t="str">
        <f t="shared" si="22"/>
        <v xml:space="preserve">  </v>
      </c>
      <c r="DL590" s="25" t="str">
        <f t="shared" si="23"/>
        <v/>
      </c>
      <c r="DM590" s="25" t="str">
        <f>BasicInput!$D$13&amp;$DM$2&amp;B590&amp;"_"&amp;C590&amp;D590&amp;"_"&amp;BasicInput!$D$7&amp;BasicInput!$D$8&amp;"_"&amp;DL590&amp;".xuf"</f>
        <v>C:\PWWORKING\east01\d2591108\Weave\__2019EX_PM_.xuf</v>
      </c>
    </row>
    <row r="591" spans="85:117" x14ac:dyDescent="0.2">
      <c r="CG591" s="18"/>
      <c r="CM591" s="18"/>
      <c r="DK591" s="31" t="str">
        <f t="shared" si="22"/>
        <v xml:space="preserve">  </v>
      </c>
      <c r="DL591" s="25" t="str">
        <f t="shared" si="23"/>
        <v/>
      </c>
      <c r="DM591" s="25" t="str">
        <f>BasicInput!$D$13&amp;$DM$2&amp;B591&amp;"_"&amp;C591&amp;D591&amp;"_"&amp;BasicInput!$D$7&amp;BasicInput!$D$8&amp;"_"&amp;DL591&amp;".xuf"</f>
        <v>C:\PWWORKING\east01\d2591108\Weave\__2019EX_PM_.xuf</v>
      </c>
    </row>
    <row r="592" spans="85:117" x14ac:dyDescent="0.2">
      <c r="CG592" s="18"/>
      <c r="CM592" s="18"/>
      <c r="DK592" s="31" t="str">
        <f t="shared" si="22"/>
        <v xml:space="preserve">  </v>
      </c>
      <c r="DL592" s="25" t="str">
        <f t="shared" si="23"/>
        <v/>
      </c>
      <c r="DM592" s="25" t="str">
        <f>BasicInput!$D$13&amp;$DM$2&amp;B592&amp;"_"&amp;C592&amp;D592&amp;"_"&amp;BasicInput!$D$7&amp;BasicInput!$D$8&amp;"_"&amp;DL592&amp;".xuf"</f>
        <v>C:\PWWORKING\east01\d2591108\Weave\__2019EX_PM_.xuf</v>
      </c>
    </row>
    <row r="593" spans="85:117" x14ac:dyDescent="0.2">
      <c r="CG593" s="18"/>
      <c r="CM593" s="18"/>
      <c r="DK593" s="31" t="str">
        <f t="shared" si="22"/>
        <v xml:space="preserve">  </v>
      </c>
      <c r="DL593" s="25" t="str">
        <f t="shared" si="23"/>
        <v/>
      </c>
      <c r="DM593" s="25" t="str">
        <f>BasicInput!$D$13&amp;$DM$2&amp;B593&amp;"_"&amp;C593&amp;D593&amp;"_"&amp;BasicInput!$D$7&amp;BasicInput!$D$8&amp;"_"&amp;DL593&amp;".xuf"</f>
        <v>C:\PWWORKING\east01\d2591108\Weave\__2019EX_PM_.xuf</v>
      </c>
    </row>
    <row r="594" spans="85:117" x14ac:dyDescent="0.2">
      <c r="CG594" s="18"/>
      <c r="CM594" s="18"/>
      <c r="DK594" s="31" t="str">
        <f t="shared" si="22"/>
        <v xml:space="preserve">  </v>
      </c>
      <c r="DL594" s="25" t="str">
        <f t="shared" si="23"/>
        <v/>
      </c>
      <c r="DM594" s="25" t="str">
        <f>BasicInput!$D$13&amp;$DM$2&amp;B594&amp;"_"&amp;C594&amp;D594&amp;"_"&amp;BasicInput!$D$7&amp;BasicInput!$D$8&amp;"_"&amp;DL594&amp;".xuf"</f>
        <v>C:\PWWORKING\east01\d2591108\Weave\__2019EX_PM_.xuf</v>
      </c>
    </row>
    <row r="595" spans="85:117" x14ac:dyDescent="0.2">
      <c r="CG595" s="18"/>
      <c r="CM595" s="18"/>
      <c r="DK595" s="31" t="str">
        <f t="shared" si="22"/>
        <v xml:space="preserve">  </v>
      </c>
      <c r="DL595" s="25" t="str">
        <f t="shared" si="23"/>
        <v/>
      </c>
      <c r="DM595" s="25" t="str">
        <f>BasicInput!$D$13&amp;$DM$2&amp;B595&amp;"_"&amp;C595&amp;D595&amp;"_"&amp;BasicInput!$D$7&amp;BasicInput!$D$8&amp;"_"&amp;DL595&amp;".xuf"</f>
        <v>C:\PWWORKING\east01\d2591108\Weave\__2019EX_PM_.xuf</v>
      </c>
    </row>
    <row r="596" spans="85:117" x14ac:dyDescent="0.2">
      <c r="CG596" s="18"/>
      <c r="CM596" s="18"/>
      <c r="DK596" s="31" t="str">
        <f t="shared" si="22"/>
        <v xml:space="preserve">  </v>
      </c>
      <c r="DL596" s="25" t="str">
        <f t="shared" si="23"/>
        <v/>
      </c>
      <c r="DM596" s="25" t="str">
        <f>BasicInput!$D$13&amp;$DM$2&amp;B596&amp;"_"&amp;C596&amp;D596&amp;"_"&amp;BasicInput!$D$7&amp;BasicInput!$D$8&amp;"_"&amp;DL596&amp;".xuf"</f>
        <v>C:\PWWORKING\east01\d2591108\Weave\__2019EX_PM_.xuf</v>
      </c>
    </row>
    <row r="597" spans="85:117" x14ac:dyDescent="0.2">
      <c r="CG597" s="18"/>
      <c r="CM597" s="18"/>
      <c r="DK597" s="31" t="str">
        <f t="shared" si="22"/>
        <v xml:space="preserve">  </v>
      </c>
      <c r="DL597" s="25" t="str">
        <f t="shared" si="23"/>
        <v/>
      </c>
      <c r="DM597" s="25" t="str">
        <f>BasicInput!$D$13&amp;$DM$2&amp;B597&amp;"_"&amp;C597&amp;D597&amp;"_"&amp;BasicInput!$D$7&amp;BasicInput!$D$8&amp;"_"&amp;DL597&amp;".xuf"</f>
        <v>C:\PWWORKING\east01\d2591108\Weave\__2019EX_PM_.xuf</v>
      </c>
    </row>
    <row r="598" spans="85:117" x14ac:dyDescent="0.2">
      <c r="CG598" s="18"/>
      <c r="CM598" s="18"/>
      <c r="DK598" s="31" t="str">
        <f t="shared" si="22"/>
        <v xml:space="preserve">  </v>
      </c>
      <c r="DL598" s="25" t="str">
        <f t="shared" si="23"/>
        <v/>
      </c>
      <c r="DM598" s="25" t="str">
        <f>BasicInput!$D$13&amp;$DM$2&amp;B598&amp;"_"&amp;C598&amp;D598&amp;"_"&amp;BasicInput!$D$7&amp;BasicInput!$D$8&amp;"_"&amp;DL598&amp;".xuf"</f>
        <v>C:\PWWORKING\east01\d2591108\Weave\__2019EX_PM_.xuf</v>
      </c>
    </row>
    <row r="599" spans="85:117" x14ac:dyDescent="0.2">
      <c r="CG599" s="18"/>
      <c r="CM599" s="18"/>
      <c r="DK599" s="31" t="str">
        <f t="shared" si="22"/>
        <v xml:space="preserve">  </v>
      </c>
      <c r="DL599" s="25" t="str">
        <f t="shared" si="23"/>
        <v/>
      </c>
      <c r="DM599" s="25" t="str">
        <f>BasicInput!$D$13&amp;$DM$2&amp;B599&amp;"_"&amp;C599&amp;D599&amp;"_"&amp;BasicInput!$D$7&amp;BasicInput!$D$8&amp;"_"&amp;DL599&amp;".xuf"</f>
        <v>C:\PWWORKING\east01\d2591108\Weave\__2019EX_PM_.xuf</v>
      </c>
    </row>
    <row r="600" spans="85:117" x14ac:dyDescent="0.2">
      <c r="CG600" s="18"/>
      <c r="CM600" s="18"/>
      <c r="DK600" s="31" t="str">
        <f t="shared" si="22"/>
        <v xml:space="preserve">  </v>
      </c>
      <c r="DL600" s="25" t="str">
        <f t="shared" si="23"/>
        <v/>
      </c>
      <c r="DM600" s="25" t="str">
        <f>BasicInput!$D$13&amp;$DM$2&amp;B600&amp;"_"&amp;C600&amp;D600&amp;"_"&amp;BasicInput!$D$7&amp;BasicInput!$D$8&amp;"_"&amp;DL600&amp;".xuf"</f>
        <v>C:\PWWORKING\east01\d2591108\Weave\__2019EX_PM_.xuf</v>
      </c>
    </row>
    <row r="601" spans="85:117" x14ac:dyDescent="0.2">
      <c r="CG601" s="18"/>
      <c r="CM601" s="18"/>
      <c r="DK601" s="31" t="str">
        <f t="shared" si="22"/>
        <v xml:space="preserve">  </v>
      </c>
      <c r="DL601" s="25" t="str">
        <f t="shared" si="23"/>
        <v/>
      </c>
      <c r="DM601" s="25" t="str">
        <f>BasicInput!$D$13&amp;$DM$2&amp;B601&amp;"_"&amp;C601&amp;D601&amp;"_"&amp;BasicInput!$D$7&amp;BasicInput!$D$8&amp;"_"&amp;DL601&amp;".xuf"</f>
        <v>C:\PWWORKING\east01\d2591108\Weave\__2019EX_PM_.xuf</v>
      </c>
    </row>
    <row r="602" spans="85:117" x14ac:dyDescent="0.2">
      <c r="CG602" s="18"/>
      <c r="CM602" s="18"/>
      <c r="DK602" s="31" t="str">
        <f t="shared" si="22"/>
        <v xml:space="preserve">  </v>
      </c>
      <c r="DL602" s="25" t="str">
        <f t="shared" si="23"/>
        <v/>
      </c>
      <c r="DM602" s="25" t="str">
        <f>BasicInput!$D$13&amp;$DM$2&amp;B602&amp;"_"&amp;C602&amp;D602&amp;"_"&amp;BasicInput!$D$7&amp;BasicInput!$D$8&amp;"_"&amp;DL602&amp;".xuf"</f>
        <v>C:\PWWORKING\east01\d2591108\Weave\__2019EX_PM_.xuf</v>
      </c>
    </row>
    <row r="603" spans="85:117" x14ac:dyDescent="0.2">
      <c r="CG603" s="18"/>
      <c r="CM603" s="18"/>
      <c r="DK603" s="31" t="str">
        <f t="shared" si="22"/>
        <v xml:space="preserve">  </v>
      </c>
      <c r="DL603" s="25" t="str">
        <f t="shared" si="23"/>
        <v/>
      </c>
      <c r="DM603" s="25" t="str">
        <f>BasicInput!$D$13&amp;$DM$2&amp;B603&amp;"_"&amp;C603&amp;D603&amp;"_"&amp;BasicInput!$D$7&amp;BasicInput!$D$8&amp;"_"&amp;DL603&amp;".xuf"</f>
        <v>C:\PWWORKING\east01\d2591108\Weave\__2019EX_PM_.xuf</v>
      </c>
    </row>
    <row r="604" spans="85:117" x14ac:dyDescent="0.2">
      <c r="CG604" s="18"/>
      <c r="CM604" s="18"/>
      <c r="DK604" s="31" t="str">
        <f t="shared" si="22"/>
        <v xml:space="preserve">  </v>
      </c>
      <c r="DL604" s="25" t="str">
        <f t="shared" si="23"/>
        <v/>
      </c>
      <c r="DM604" s="25" t="str">
        <f>BasicInput!$D$13&amp;$DM$2&amp;B604&amp;"_"&amp;C604&amp;D604&amp;"_"&amp;BasicInput!$D$7&amp;BasicInput!$D$8&amp;"_"&amp;DL604&amp;".xuf"</f>
        <v>C:\PWWORKING\east01\d2591108\Weave\__2019EX_PM_.xuf</v>
      </c>
    </row>
    <row r="605" spans="85:117" x14ac:dyDescent="0.2">
      <c r="CG605" s="18"/>
      <c r="CM605" s="18"/>
      <c r="DK605" s="31" t="str">
        <f t="shared" si="22"/>
        <v xml:space="preserve">  </v>
      </c>
      <c r="DL605" s="25" t="str">
        <f t="shared" si="23"/>
        <v/>
      </c>
      <c r="DM605" s="25" t="str">
        <f>BasicInput!$D$13&amp;$DM$2&amp;B605&amp;"_"&amp;C605&amp;D605&amp;"_"&amp;BasicInput!$D$7&amp;BasicInput!$D$8&amp;"_"&amp;DL605&amp;".xuf"</f>
        <v>C:\PWWORKING\east01\d2591108\Weave\__2019EX_PM_.xuf</v>
      </c>
    </row>
    <row r="606" spans="85:117" x14ac:dyDescent="0.2">
      <c r="CG606" s="18"/>
      <c r="CM606" s="18"/>
      <c r="DK606" s="31" t="str">
        <f t="shared" si="22"/>
        <v xml:space="preserve">  </v>
      </c>
      <c r="DL606" s="25" t="str">
        <f t="shared" si="23"/>
        <v/>
      </c>
      <c r="DM606" s="25" t="str">
        <f>BasicInput!$D$13&amp;$DM$2&amp;B606&amp;"_"&amp;C606&amp;D606&amp;"_"&amp;BasicInput!$D$7&amp;BasicInput!$D$8&amp;"_"&amp;DL606&amp;".xuf"</f>
        <v>C:\PWWORKING\east01\d2591108\Weave\__2019EX_PM_.xuf</v>
      </c>
    </row>
    <row r="607" spans="85:117" x14ac:dyDescent="0.2">
      <c r="CG607" s="18"/>
      <c r="CM607" s="18"/>
      <c r="DK607" s="31" t="str">
        <f t="shared" si="22"/>
        <v xml:space="preserve">  </v>
      </c>
      <c r="DL607" s="25" t="str">
        <f t="shared" si="23"/>
        <v/>
      </c>
      <c r="DM607" s="25" t="str">
        <f>BasicInput!$D$13&amp;$DM$2&amp;B607&amp;"_"&amp;C607&amp;D607&amp;"_"&amp;BasicInput!$D$7&amp;BasicInput!$D$8&amp;"_"&amp;DL607&amp;".xuf"</f>
        <v>C:\PWWORKING\east01\d2591108\Weave\__2019EX_PM_.xuf</v>
      </c>
    </row>
    <row r="608" spans="85:117" x14ac:dyDescent="0.2">
      <c r="CG608" s="18"/>
      <c r="CM608" s="18"/>
      <c r="DK608" s="31" t="str">
        <f t="shared" si="22"/>
        <v xml:space="preserve">  </v>
      </c>
      <c r="DL608" s="25" t="str">
        <f t="shared" si="23"/>
        <v/>
      </c>
      <c r="DM608" s="25" t="str">
        <f>BasicInput!$D$13&amp;$DM$2&amp;B608&amp;"_"&amp;C608&amp;D608&amp;"_"&amp;BasicInput!$D$7&amp;BasicInput!$D$8&amp;"_"&amp;DL608&amp;".xuf"</f>
        <v>C:\PWWORKING\east01\d2591108\Weave\__2019EX_PM_.xuf</v>
      </c>
    </row>
    <row r="609" spans="85:117" x14ac:dyDescent="0.2">
      <c r="CG609" s="18"/>
      <c r="CM609" s="18"/>
      <c r="DK609" s="31" t="str">
        <f t="shared" si="22"/>
        <v xml:space="preserve">  </v>
      </c>
      <c r="DL609" s="25" t="str">
        <f t="shared" si="23"/>
        <v/>
      </c>
      <c r="DM609" s="25" t="str">
        <f>BasicInput!$D$13&amp;$DM$2&amp;B609&amp;"_"&amp;C609&amp;D609&amp;"_"&amp;BasicInput!$D$7&amp;BasicInput!$D$8&amp;"_"&amp;DL609&amp;".xuf"</f>
        <v>C:\PWWORKING\east01\d2591108\Weave\__2019EX_PM_.xuf</v>
      </c>
    </row>
    <row r="610" spans="85:117" x14ac:dyDescent="0.2">
      <c r="CG610" s="18"/>
      <c r="CM610" s="18"/>
      <c r="DK610" s="31" t="str">
        <f t="shared" si="22"/>
        <v xml:space="preserve">  </v>
      </c>
      <c r="DL610" s="25" t="str">
        <f t="shared" si="23"/>
        <v/>
      </c>
      <c r="DM610" s="25" t="str">
        <f>BasicInput!$D$13&amp;$DM$2&amp;B610&amp;"_"&amp;C610&amp;D610&amp;"_"&amp;BasicInput!$D$7&amp;BasicInput!$D$8&amp;"_"&amp;DL610&amp;".xuf"</f>
        <v>C:\PWWORKING\east01\d2591108\Weave\__2019EX_PM_.xuf</v>
      </c>
    </row>
    <row r="611" spans="85:117" x14ac:dyDescent="0.2">
      <c r="CG611" s="18"/>
      <c r="CM611" s="18"/>
      <c r="DK611" s="31" t="str">
        <f t="shared" si="22"/>
        <v xml:space="preserve">  </v>
      </c>
      <c r="DL611" s="25" t="str">
        <f t="shared" si="23"/>
        <v/>
      </c>
      <c r="DM611" s="25" t="str">
        <f>BasicInput!$D$13&amp;$DM$2&amp;B611&amp;"_"&amp;C611&amp;D611&amp;"_"&amp;BasicInput!$D$7&amp;BasicInput!$D$8&amp;"_"&amp;DL611&amp;".xuf"</f>
        <v>C:\PWWORKING\east01\d2591108\Weave\__2019EX_PM_.xuf</v>
      </c>
    </row>
    <row r="612" spans="85:117" x14ac:dyDescent="0.2">
      <c r="CG612" s="18"/>
      <c r="CM612" s="18"/>
      <c r="DK612" s="31" t="str">
        <f t="shared" si="22"/>
        <v xml:space="preserve">  </v>
      </c>
      <c r="DL612" s="25" t="str">
        <f t="shared" si="23"/>
        <v/>
      </c>
      <c r="DM612" s="25" t="str">
        <f>BasicInput!$D$13&amp;$DM$2&amp;B612&amp;"_"&amp;C612&amp;D612&amp;"_"&amp;BasicInput!$D$7&amp;BasicInput!$D$8&amp;"_"&amp;DL612&amp;".xuf"</f>
        <v>C:\PWWORKING\east01\d2591108\Weave\__2019EX_PM_.xuf</v>
      </c>
    </row>
    <row r="613" spans="85:117" x14ac:dyDescent="0.2">
      <c r="CG613" s="18"/>
      <c r="CM613" s="18"/>
      <c r="DK613" s="31" t="str">
        <f t="shared" si="22"/>
        <v xml:space="preserve">  </v>
      </c>
      <c r="DL613" s="25" t="str">
        <f t="shared" si="23"/>
        <v/>
      </c>
      <c r="DM613" s="25" t="str">
        <f>BasicInput!$D$13&amp;$DM$2&amp;B613&amp;"_"&amp;C613&amp;D613&amp;"_"&amp;BasicInput!$D$7&amp;BasicInput!$D$8&amp;"_"&amp;DL613&amp;".xuf"</f>
        <v>C:\PWWORKING\east01\d2591108\Weave\__2019EX_PM_.xuf</v>
      </c>
    </row>
    <row r="614" spans="85:117" x14ac:dyDescent="0.2">
      <c r="CG614" s="18"/>
      <c r="CM614" s="18"/>
      <c r="DK614" s="31" t="str">
        <f t="shared" si="22"/>
        <v xml:space="preserve">  </v>
      </c>
      <c r="DL614" s="25" t="str">
        <f t="shared" si="23"/>
        <v/>
      </c>
      <c r="DM614" s="25" t="str">
        <f>BasicInput!$D$13&amp;$DM$2&amp;B614&amp;"_"&amp;C614&amp;D614&amp;"_"&amp;BasicInput!$D$7&amp;BasicInput!$D$8&amp;"_"&amp;DL614&amp;".xuf"</f>
        <v>C:\PWWORKING\east01\d2591108\Weave\__2019EX_PM_.xuf</v>
      </c>
    </row>
    <row r="615" spans="85:117" x14ac:dyDescent="0.2">
      <c r="CG615" s="18"/>
      <c r="CM615" s="18"/>
      <c r="DK615" s="31" t="str">
        <f t="shared" si="22"/>
        <v xml:space="preserve">  </v>
      </c>
      <c r="DL615" s="25" t="str">
        <f t="shared" si="23"/>
        <v/>
      </c>
      <c r="DM615" s="25" t="str">
        <f>BasicInput!$D$13&amp;$DM$2&amp;B615&amp;"_"&amp;C615&amp;D615&amp;"_"&amp;BasicInput!$D$7&amp;BasicInput!$D$8&amp;"_"&amp;DL615&amp;".xuf"</f>
        <v>C:\PWWORKING\east01\d2591108\Weave\__2019EX_PM_.xuf</v>
      </c>
    </row>
    <row r="616" spans="85:117" x14ac:dyDescent="0.2">
      <c r="CG616" s="18"/>
      <c r="CM616" s="18"/>
      <c r="DK616" s="31" t="str">
        <f t="shared" si="22"/>
        <v xml:space="preserve">  </v>
      </c>
      <c r="DL616" s="25" t="str">
        <f t="shared" si="23"/>
        <v/>
      </c>
      <c r="DM616" s="25" t="str">
        <f>BasicInput!$D$13&amp;$DM$2&amp;B616&amp;"_"&amp;C616&amp;D616&amp;"_"&amp;BasicInput!$D$7&amp;BasicInput!$D$8&amp;"_"&amp;DL616&amp;".xuf"</f>
        <v>C:\PWWORKING\east01\d2591108\Weave\__2019EX_PM_.xuf</v>
      </c>
    </row>
    <row r="617" spans="85:117" x14ac:dyDescent="0.2">
      <c r="CG617" s="18"/>
      <c r="CM617" s="18"/>
      <c r="DK617" s="31" t="str">
        <f t="shared" si="22"/>
        <v xml:space="preserve">  </v>
      </c>
      <c r="DL617" s="25" t="str">
        <f t="shared" si="23"/>
        <v/>
      </c>
      <c r="DM617" s="25" t="str">
        <f>BasicInput!$D$13&amp;$DM$2&amp;B617&amp;"_"&amp;C617&amp;D617&amp;"_"&amp;BasicInput!$D$7&amp;BasicInput!$D$8&amp;"_"&amp;DL617&amp;".xuf"</f>
        <v>C:\PWWORKING\east01\d2591108\Weave\__2019EX_PM_.xuf</v>
      </c>
    </row>
    <row r="618" spans="85:117" x14ac:dyDescent="0.2">
      <c r="CG618" s="18"/>
      <c r="CM618" s="18"/>
      <c r="DK618" s="31" t="str">
        <f t="shared" si="22"/>
        <v xml:space="preserve">  </v>
      </c>
      <c r="DL618" s="25" t="str">
        <f t="shared" si="23"/>
        <v/>
      </c>
      <c r="DM618" s="25" t="str">
        <f>BasicInput!$D$13&amp;$DM$2&amp;B618&amp;"_"&amp;C618&amp;D618&amp;"_"&amp;BasicInput!$D$7&amp;BasicInput!$D$8&amp;"_"&amp;DL618&amp;".xuf"</f>
        <v>C:\PWWORKING\east01\d2591108\Weave\__2019EX_PM_.xuf</v>
      </c>
    </row>
    <row r="619" spans="85:117" x14ac:dyDescent="0.2">
      <c r="CG619" s="18"/>
      <c r="CM619" s="18"/>
      <c r="DK619" s="31" t="str">
        <f t="shared" si="22"/>
        <v xml:space="preserve">  </v>
      </c>
      <c r="DL619" s="25" t="str">
        <f t="shared" si="23"/>
        <v/>
      </c>
      <c r="DM619" s="25" t="str">
        <f>BasicInput!$D$13&amp;$DM$2&amp;B619&amp;"_"&amp;C619&amp;D619&amp;"_"&amp;BasicInput!$D$7&amp;BasicInput!$D$8&amp;"_"&amp;DL619&amp;".xuf"</f>
        <v>C:\PWWORKING\east01\d2591108\Weave\__2019EX_PM_.xuf</v>
      </c>
    </row>
    <row r="620" spans="85:117" x14ac:dyDescent="0.2">
      <c r="CG620" s="18"/>
      <c r="CM620" s="18"/>
      <c r="DK620" s="31" t="str">
        <f t="shared" si="22"/>
        <v xml:space="preserve">  </v>
      </c>
      <c r="DL620" s="25" t="str">
        <f t="shared" si="23"/>
        <v/>
      </c>
      <c r="DM620" s="25" t="str">
        <f>BasicInput!$D$13&amp;$DM$2&amp;B620&amp;"_"&amp;C620&amp;D620&amp;"_"&amp;BasicInput!$D$7&amp;BasicInput!$D$8&amp;"_"&amp;DL620&amp;".xuf"</f>
        <v>C:\PWWORKING\east01\d2591108\Weave\__2019EX_PM_.xuf</v>
      </c>
    </row>
    <row r="621" spans="85:117" x14ac:dyDescent="0.2">
      <c r="CG621" s="18"/>
      <c r="CM621" s="18"/>
      <c r="DK621" s="31" t="str">
        <f t="shared" si="22"/>
        <v xml:space="preserve">  </v>
      </c>
      <c r="DL621" s="25" t="str">
        <f t="shared" si="23"/>
        <v/>
      </c>
      <c r="DM621" s="25" t="str">
        <f>BasicInput!$D$13&amp;$DM$2&amp;B621&amp;"_"&amp;C621&amp;D621&amp;"_"&amp;BasicInput!$D$7&amp;BasicInput!$D$8&amp;"_"&amp;DL621&amp;".xuf"</f>
        <v>C:\PWWORKING\east01\d2591108\Weave\__2019EX_PM_.xuf</v>
      </c>
    </row>
    <row r="622" spans="85:117" x14ac:dyDescent="0.2">
      <c r="CG622" s="18"/>
      <c r="CM622" s="18"/>
      <c r="DK622" s="31" t="str">
        <f t="shared" si="22"/>
        <v xml:space="preserve">  </v>
      </c>
      <c r="DL622" s="25" t="str">
        <f t="shared" si="23"/>
        <v/>
      </c>
      <c r="DM622" s="25" t="str">
        <f>BasicInput!$D$13&amp;$DM$2&amp;B622&amp;"_"&amp;C622&amp;D622&amp;"_"&amp;BasicInput!$D$7&amp;BasicInput!$D$8&amp;"_"&amp;DL622&amp;".xuf"</f>
        <v>C:\PWWORKING\east01\d2591108\Weave\__2019EX_PM_.xuf</v>
      </c>
    </row>
    <row r="623" spans="85:117" x14ac:dyDescent="0.2">
      <c r="CG623" s="18"/>
      <c r="CM623" s="18"/>
      <c r="DK623" s="31" t="str">
        <f t="shared" si="22"/>
        <v xml:space="preserve">  </v>
      </c>
      <c r="DL623" s="25" t="str">
        <f t="shared" si="23"/>
        <v/>
      </c>
      <c r="DM623" s="25" t="str">
        <f>BasicInput!$D$13&amp;$DM$2&amp;B623&amp;"_"&amp;C623&amp;D623&amp;"_"&amp;BasicInput!$D$7&amp;BasicInput!$D$8&amp;"_"&amp;DL623&amp;".xuf"</f>
        <v>C:\PWWORKING\east01\d2591108\Weave\__2019EX_PM_.xuf</v>
      </c>
    </row>
    <row r="624" spans="85:117" x14ac:dyDescent="0.2">
      <c r="CG624" s="18"/>
      <c r="CM624" s="18"/>
      <c r="DK624" s="31" t="str">
        <f t="shared" si="22"/>
        <v xml:space="preserve">  </v>
      </c>
      <c r="DL624" s="25" t="str">
        <f t="shared" si="23"/>
        <v/>
      </c>
      <c r="DM624" s="25" t="str">
        <f>BasicInput!$D$13&amp;$DM$2&amp;B624&amp;"_"&amp;C624&amp;D624&amp;"_"&amp;BasicInput!$D$7&amp;BasicInput!$D$8&amp;"_"&amp;DL624&amp;".xuf"</f>
        <v>C:\PWWORKING\east01\d2591108\Weave\__2019EX_PM_.xuf</v>
      </c>
    </row>
    <row r="625" spans="85:117" x14ac:dyDescent="0.2">
      <c r="CG625" s="18"/>
      <c r="CM625" s="18"/>
      <c r="DK625" s="31" t="str">
        <f t="shared" si="22"/>
        <v xml:space="preserve">  </v>
      </c>
      <c r="DL625" s="25" t="str">
        <f t="shared" si="23"/>
        <v/>
      </c>
      <c r="DM625" s="25" t="str">
        <f>BasicInput!$D$13&amp;$DM$2&amp;B625&amp;"_"&amp;C625&amp;D625&amp;"_"&amp;BasicInput!$D$7&amp;BasicInput!$D$8&amp;"_"&amp;DL625&amp;".xuf"</f>
        <v>C:\PWWORKING\east01\d2591108\Weave\__2019EX_PM_.xuf</v>
      </c>
    </row>
    <row r="626" spans="85:117" x14ac:dyDescent="0.2">
      <c r="CG626" s="18"/>
      <c r="CM626" s="18"/>
      <c r="DK626" s="31" t="str">
        <f t="shared" si="22"/>
        <v xml:space="preserve">  </v>
      </c>
      <c r="DL626" s="25" t="str">
        <f t="shared" si="23"/>
        <v/>
      </c>
      <c r="DM626" s="25" t="str">
        <f>BasicInput!$D$13&amp;$DM$2&amp;B626&amp;"_"&amp;C626&amp;D626&amp;"_"&amp;BasicInput!$D$7&amp;BasicInput!$D$8&amp;"_"&amp;DL626&amp;".xuf"</f>
        <v>C:\PWWORKING\east01\d2591108\Weave\__2019EX_PM_.xuf</v>
      </c>
    </row>
    <row r="627" spans="85:117" x14ac:dyDescent="0.2">
      <c r="CG627" s="18"/>
      <c r="CM627" s="18"/>
      <c r="DK627" s="31" t="str">
        <f t="shared" si="22"/>
        <v xml:space="preserve">  </v>
      </c>
      <c r="DL627" s="25" t="str">
        <f t="shared" si="23"/>
        <v/>
      </c>
      <c r="DM627" s="25" t="str">
        <f>BasicInput!$D$13&amp;$DM$2&amp;B627&amp;"_"&amp;C627&amp;D627&amp;"_"&amp;BasicInput!$D$7&amp;BasicInput!$D$8&amp;"_"&amp;DL627&amp;".xuf"</f>
        <v>C:\PWWORKING\east01\d2591108\Weave\__2019EX_PM_.xuf</v>
      </c>
    </row>
    <row r="628" spans="85:117" x14ac:dyDescent="0.2">
      <c r="CG628" s="18"/>
      <c r="CM628" s="18"/>
      <c r="DK628" s="31" t="str">
        <f t="shared" si="22"/>
        <v xml:space="preserve">  </v>
      </c>
      <c r="DL628" s="25" t="str">
        <f t="shared" si="23"/>
        <v/>
      </c>
      <c r="DM628" s="25" t="str">
        <f>BasicInput!$D$13&amp;$DM$2&amp;B628&amp;"_"&amp;C628&amp;D628&amp;"_"&amp;BasicInput!$D$7&amp;BasicInput!$D$8&amp;"_"&amp;DL628&amp;".xuf"</f>
        <v>C:\PWWORKING\east01\d2591108\Weave\__2019EX_PM_.xuf</v>
      </c>
    </row>
    <row r="629" spans="85:117" x14ac:dyDescent="0.2">
      <c r="CG629" s="18"/>
      <c r="CM629" s="18"/>
      <c r="DK629" s="31" t="str">
        <f t="shared" si="22"/>
        <v xml:space="preserve">  </v>
      </c>
      <c r="DL629" s="25" t="str">
        <f t="shared" si="23"/>
        <v/>
      </c>
      <c r="DM629" s="25" t="str">
        <f>BasicInput!$D$13&amp;$DM$2&amp;B629&amp;"_"&amp;C629&amp;D629&amp;"_"&amp;BasicInput!$D$7&amp;BasicInput!$D$8&amp;"_"&amp;DL629&amp;".xuf"</f>
        <v>C:\PWWORKING\east01\d2591108\Weave\__2019EX_PM_.xuf</v>
      </c>
    </row>
    <row r="630" spans="85:117" x14ac:dyDescent="0.2">
      <c r="CG630" s="18"/>
      <c r="CM630" s="18"/>
      <c r="DK630" s="31" t="str">
        <f t="shared" si="22"/>
        <v xml:space="preserve">  </v>
      </c>
      <c r="DL630" s="25" t="str">
        <f t="shared" si="23"/>
        <v/>
      </c>
      <c r="DM630" s="25" t="str">
        <f>BasicInput!$D$13&amp;$DM$2&amp;B630&amp;"_"&amp;C630&amp;D630&amp;"_"&amp;BasicInput!$D$7&amp;BasicInput!$D$8&amp;"_"&amp;DL630&amp;".xuf"</f>
        <v>C:\PWWORKING\east01\d2591108\Weave\__2019EX_PM_.xuf</v>
      </c>
    </row>
    <row r="631" spans="85:117" x14ac:dyDescent="0.2">
      <c r="CG631" s="18"/>
      <c r="CM631" s="18"/>
      <c r="DK631" s="31" t="str">
        <f t="shared" si="22"/>
        <v xml:space="preserve">  </v>
      </c>
      <c r="DL631" s="25" t="str">
        <f t="shared" si="23"/>
        <v/>
      </c>
      <c r="DM631" s="25" t="str">
        <f>BasicInput!$D$13&amp;$DM$2&amp;B631&amp;"_"&amp;C631&amp;D631&amp;"_"&amp;BasicInput!$D$7&amp;BasicInput!$D$8&amp;"_"&amp;DL631&amp;".xuf"</f>
        <v>C:\PWWORKING\east01\d2591108\Weave\__2019EX_PM_.xuf</v>
      </c>
    </row>
    <row r="632" spans="85:117" x14ac:dyDescent="0.2">
      <c r="CG632" s="18"/>
      <c r="CM632" s="18"/>
      <c r="DK632" s="31" t="str">
        <f t="shared" si="22"/>
        <v xml:space="preserve">  </v>
      </c>
      <c r="DL632" s="25" t="str">
        <f t="shared" si="23"/>
        <v/>
      </c>
      <c r="DM632" s="25" t="str">
        <f>BasicInput!$D$13&amp;$DM$2&amp;B632&amp;"_"&amp;C632&amp;D632&amp;"_"&amp;BasicInput!$D$7&amp;BasicInput!$D$8&amp;"_"&amp;DL632&amp;".xuf"</f>
        <v>C:\PWWORKING\east01\d2591108\Weave\__2019EX_PM_.xuf</v>
      </c>
    </row>
    <row r="633" spans="85:117" x14ac:dyDescent="0.2">
      <c r="CG633" s="18"/>
      <c r="CM633" s="18"/>
      <c r="DK633" s="31" t="str">
        <f t="shared" si="22"/>
        <v xml:space="preserve">  </v>
      </c>
      <c r="DL633" s="25" t="str">
        <f t="shared" si="23"/>
        <v/>
      </c>
      <c r="DM633" s="25" t="str">
        <f>BasicInput!$D$13&amp;$DM$2&amp;B633&amp;"_"&amp;C633&amp;D633&amp;"_"&amp;BasicInput!$D$7&amp;BasicInput!$D$8&amp;"_"&amp;DL633&amp;".xuf"</f>
        <v>C:\PWWORKING\east01\d2591108\Weave\__2019EX_PM_.xuf</v>
      </c>
    </row>
    <row r="634" spans="85:117" x14ac:dyDescent="0.2">
      <c r="CG634" s="18"/>
      <c r="CM634" s="18"/>
      <c r="DK634" s="31" t="str">
        <f t="shared" si="22"/>
        <v xml:space="preserve">  </v>
      </c>
      <c r="DL634" s="25" t="str">
        <f t="shared" si="23"/>
        <v/>
      </c>
      <c r="DM634" s="25" t="str">
        <f>BasicInput!$D$13&amp;$DM$2&amp;B634&amp;"_"&amp;C634&amp;D634&amp;"_"&amp;BasicInput!$D$7&amp;BasicInput!$D$8&amp;"_"&amp;DL634&amp;".xuf"</f>
        <v>C:\PWWORKING\east01\d2591108\Weave\__2019EX_PM_.xuf</v>
      </c>
    </row>
    <row r="635" spans="85:117" x14ac:dyDescent="0.2">
      <c r="CG635" s="18"/>
      <c r="CM635" s="18"/>
      <c r="DK635" s="31" t="str">
        <f t="shared" si="22"/>
        <v xml:space="preserve">  </v>
      </c>
      <c r="DL635" s="25" t="str">
        <f t="shared" si="23"/>
        <v/>
      </c>
      <c r="DM635" s="25" t="str">
        <f>BasicInput!$D$13&amp;$DM$2&amp;B635&amp;"_"&amp;C635&amp;D635&amp;"_"&amp;BasicInput!$D$7&amp;BasicInput!$D$8&amp;"_"&amp;DL635&amp;".xuf"</f>
        <v>C:\PWWORKING\east01\d2591108\Weave\__2019EX_PM_.xuf</v>
      </c>
    </row>
    <row r="636" spans="85:117" x14ac:dyDescent="0.2">
      <c r="CG636" s="18"/>
      <c r="CM636" s="18"/>
      <c r="DK636" s="31" t="str">
        <f t="shared" si="22"/>
        <v xml:space="preserve">  </v>
      </c>
      <c r="DL636" s="25" t="str">
        <f t="shared" si="23"/>
        <v/>
      </c>
      <c r="DM636" s="25" t="str">
        <f>BasicInput!$D$13&amp;$DM$2&amp;B636&amp;"_"&amp;C636&amp;D636&amp;"_"&amp;BasicInput!$D$7&amp;BasicInput!$D$8&amp;"_"&amp;DL636&amp;".xuf"</f>
        <v>C:\PWWORKING\east01\d2591108\Weave\__2019EX_PM_.xuf</v>
      </c>
    </row>
    <row r="637" spans="85:117" x14ac:dyDescent="0.2">
      <c r="CG637" s="18"/>
      <c r="CM637" s="18"/>
      <c r="DK637" s="31" t="str">
        <f t="shared" si="22"/>
        <v xml:space="preserve">  </v>
      </c>
      <c r="DL637" s="25" t="str">
        <f t="shared" si="23"/>
        <v/>
      </c>
      <c r="DM637" s="25" t="str">
        <f>BasicInput!$D$13&amp;$DM$2&amp;B637&amp;"_"&amp;C637&amp;D637&amp;"_"&amp;BasicInput!$D$7&amp;BasicInput!$D$8&amp;"_"&amp;DL637&amp;".xuf"</f>
        <v>C:\PWWORKING\east01\d2591108\Weave\__2019EX_PM_.xuf</v>
      </c>
    </row>
    <row r="638" spans="85:117" x14ac:dyDescent="0.2">
      <c r="CG638" s="18"/>
      <c r="CM638" s="18"/>
      <c r="DK638" s="31" t="str">
        <f t="shared" si="22"/>
        <v xml:space="preserve">  </v>
      </c>
      <c r="DL638" s="25" t="str">
        <f t="shared" si="23"/>
        <v/>
      </c>
      <c r="DM638" s="25" t="str">
        <f>BasicInput!$D$13&amp;$DM$2&amp;B638&amp;"_"&amp;C638&amp;D638&amp;"_"&amp;BasicInput!$D$7&amp;BasicInput!$D$8&amp;"_"&amp;DL638&amp;".xuf"</f>
        <v>C:\PWWORKING\east01\d2591108\Weave\__2019EX_PM_.xuf</v>
      </c>
    </row>
    <row r="639" spans="85:117" x14ac:dyDescent="0.2">
      <c r="CG639" s="18"/>
      <c r="CM639" s="18"/>
      <c r="DK639" s="31" t="str">
        <f t="shared" si="22"/>
        <v xml:space="preserve">  </v>
      </c>
      <c r="DL639" s="25" t="str">
        <f t="shared" si="23"/>
        <v/>
      </c>
      <c r="DM639" s="25" t="str">
        <f>BasicInput!$D$13&amp;$DM$2&amp;B639&amp;"_"&amp;C639&amp;D639&amp;"_"&amp;BasicInput!$D$7&amp;BasicInput!$D$8&amp;"_"&amp;DL639&amp;".xuf"</f>
        <v>C:\PWWORKING\east01\d2591108\Weave\__2019EX_PM_.xuf</v>
      </c>
    </row>
    <row r="640" spans="85:117" x14ac:dyDescent="0.2">
      <c r="CG640" s="18"/>
      <c r="CM640" s="18"/>
      <c r="DK640" s="31" t="str">
        <f t="shared" si="22"/>
        <v xml:space="preserve">  </v>
      </c>
      <c r="DL640" s="25" t="str">
        <f t="shared" si="23"/>
        <v/>
      </c>
      <c r="DM640" s="25" t="str">
        <f>BasicInput!$D$13&amp;$DM$2&amp;B640&amp;"_"&amp;C640&amp;D640&amp;"_"&amp;BasicInput!$D$7&amp;BasicInput!$D$8&amp;"_"&amp;DL640&amp;".xuf"</f>
        <v>C:\PWWORKING\east01\d2591108\Weave\__2019EX_PM_.xuf</v>
      </c>
    </row>
    <row r="641" spans="85:117" x14ac:dyDescent="0.2">
      <c r="CG641" s="18"/>
      <c r="CM641" s="18"/>
      <c r="DK641" s="31" t="str">
        <f t="shared" si="22"/>
        <v xml:space="preserve">  </v>
      </c>
      <c r="DL641" s="25" t="str">
        <f t="shared" si="23"/>
        <v/>
      </c>
      <c r="DM641" s="25" t="str">
        <f>BasicInput!$D$13&amp;$DM$2&amp;B641&amp;"_"&amp;C641&amp;D641&amp;"_"&amp;BasicInput!$D$7&amp;BasicInput!$D$8&amp;"_"&amp;DL641&amp;".xuf"</f>
        <v>C:\PWWORKING\east01\d2591108\Weave\__2019EX_PM_.xuf</v>
      </c>
    </row>
    <row r="642" spans="85:117" x14ac:dyDescent="0.2">
      <c r="CG642" s="18"/>
      <c r="CM642" s="18"/>
      <c r="DK642" s="31" t="str">
        <f t="shared" si="22"/>
        <v xml:space="preserve">  </v>
      </c>
      <c r="DL642" s="25" t="str">
        <f t="shared" si="23"/>
        <v/>
      </c>
      <c r="DM642" s="25" t="str">
        <f>BasicInput!$D$13&amp;$DM$2&amp;B642&amp;"_"&amp;C642&amp;D642&amp;"_"&amp;BasicInput!$D$7&amp;BasicInput!$D$8&amp;"_"&amp;DL642&amp;".xuf"</f>
        <v>C:\PWWORKING\east01\d2591108\Weave\__2019EX_PM_.xuf</v>
      </c>
    </row>
    <row r="643" spans="85:117" x14ac:dyDescent="0.2">
      <c r="CG643" s="18"/>
      <c r="CM643" s="18"/>
      <c r="DK643" s="31" t="str">
        <f t="shared" si="22"/>
        <v xml:space="preserve">  </v>
      </c>
      <c r="DL643" s="25" t="str">
        <f t="shared" si="23"/>
        <v/>
      </c>
      <c r="DM643" s="25" t="str">
        <f>BasicInput!$D$13&amp;$DM$2&amp;B643&amp;"_"&amp;C643&amp;D643&amp;"_"&amp;BasicInput!$D$7&amp;BasicInput!$D$8&amp;"_"&amp;DL643&amp;".xuf"</f>
        <v>C:\PWWORKING\east01\d2591108\Weave\__2019EX_PM_.xuf</v>
      </c>
    </row>
    <row r="644" spans="85:117" x14ac:dyDescent="0.2">
      <c r="CG644" s="18"/>
      <c r="CM644" s="18"/>
      <c r="DK644" s="31" t="str">
        <f t="shared" si="22"/>
        <v xml:space="preserve">  </v>
      </c>
      <c r="DL644" s="25" t="str">
        <f t="shared" si="23"/>
        <v/>
      </c>
      <c r="DM644" s="25" t="str">
        <f>BasicInput!$D$13&amp;$DM$2&amp;B644&amp;"_"&amp;C644&amp;D644&amp;"_"&amp;BasicInput!$D$7&amp;BasicInput!$D$8&amp;"_"&amp;DL644&amp;".xuf"</f>
        <v>C:\PWWORKING\east01\d2591108\Weave\__2019EX_PM_.xuf</v>
      </c>
    </row>
    <row r="645" spans="85:117" x14ac:dyDescent="0.2">
      <c r="CG645" s="18"/>
      <c r="CM645" s="18"/>
      <c r="DK645" s="31" t="str">
        <f t="shared" si="22"/>
        <v xml:space="preserve">  </v>
      </c>
      <c r="DL645" s="25" t="str">
        <f t="shared" si="23"/>
        <v/>
      </c>
      <c r="DM645" s="25" t="str">
        <f>BasicInput!$D$13&amp;$DM$2&amp;B645&amp;"_"&amp;C645&amp;D645&amp;"_"&amp;BasicInput!$D$7&amp;BasicInput!$D$8&amp;"_"&amp;DL645&amp;".xuf"</f>
        <v>C:\PWWORKING\east01\d2591108\Weave\__2019EX_PM_.xuf</v>
      </c>
    </row>
    <row r="646" spans="85:117" x14ac:dyDescent="0.2">
      <c r="CG646" s="18"/>
      <c r="CM646" s="18"/>
      <c r="DK646" s="31" t="str">
        <f t="shared" si="22"/>
        <v xml:space="preserve">  </v>
      </c>
      <c r="DL646" s="25" t="str">
        <f t="shared" si="23"/>
        <v/>
      </c>
      <c r="DM646" s="25" t="str">
        <f>BasicInput!$D$13&amp;$DM$2&amp;B646&amp;"_"&amp;C646&amp;D646&amp;"_"&amp;BasicInput!$D$7&amp;BasicInput!$D$8&amp;"_"&amp;DL646&amp;".xuf"</f>
        <v>C:\PWWORKING\east01\d2591108\Weave\__2019EX_PM_.xuf</v>
      </c>
    </row>
    <row r="647" spans="85:117" x14ac:dyDescent="0.2">
      <c r="CG647" s="18"/>
      <c r="CM647" s="18"/>
      <c r="DK647" s="31" t="str">
        <f t="shared" si="22"/>
        <v xml:space="preserve">  </v>
      </c>
      <c r="DL647" s="25" t="str">
        <f t="shared" si="23"/>
        <v/>
      </c>
      <c r="DM647" s="25" t="str">
        <f>BasicInput!$D$13&amp;$DM$2&amp;B647&amp;"_"&amp;C647&amp;D647&amp;"_"&amp;BasicInput!$D$7&amp;BasicInput!$D$8&amp;"_"&amp;DL647&amp;".xuf"</f>
        <v>C:\PWWORKING\east01\d2591108\Weave\__2019EX_PM_.xuf</v>
      </c>
    </row>
    <row r="648" spans="85:117" x14ac:dyDescent="0.2">
      <c r="CG648" s="18"/>
      <c r="CM648" s="18"/>
      <c r="DK648" s="31" t="str">
        <f t="shared" si="22"/>
        <v xml:space="preserve">  </v>
      </c>
      <c r="DL648" s="25" t="str">
        <f t="shared" si="23"/>
        <v/>
      </c>
      <c r="DM648" s="25" t="str">
        <f>BasicInput!$D$13&amp;$DM$2&amp;B648&amp;"_"&amp;C648&amp;D648&amp;"_"&amp;BasicInput!$D$7&amp;BasicInput!$D$8&amp;"_"&amp;DL648&amp;".xuf"</f>
        <v>C:\PWWORKING\east01\d2591108\Weave\__2019EX_PM_.xuf</v>
      </c>
    </row>
    <row r="649" spans="85:117" x14ac:dyDescent="0.2">
      <c r="CG649" s="18"/>
      <c r="CM649" s="18"/>
      <c r="DK649" s="31" t="str">
        <f t="shared" si="22"/>
        <v xml:space="preserve">  </v>
      </c>
      <c r="DL649" s="25" t="str">
        <f t="shared" si="23"/>
        <v/>
      </c>
      <c r="DM649" s="25" t="str">
        <f>BasicInput!$D$13&amp;$DM$2&amp;B649&amp;"_"&amp;C649&amp;D649&amp;"_"&amp;BasicInput!$D$7&amp;BasicInput!$D$8&amp;"_"&amp;DL649&amp;".xuf"</f>
        <v>C:\PWWORKING\east01\d2591108\Weave\__2019EX_PM_.xuf</v>
      </c>
    </row>
    <row r="650" spans="85:117" x14ac:dyDescent="0.2">
      <c r="CG650" s="18"/>
      <c r="CM650" s="18"/>
      <c r="DK650" s="31" t="str">
        <f t="shared" si="22"/>
        <v xml:space="preserve">  </v>
      </c>
      <c r="DL650" s="25" t="str">
        <f t="shared" si="23"/>
        <v/>
      </c>
      <c r="DM650" s="25" t="str">
        <f>BasicInput!$D$13&amp;$DM$2&amp;B650&amp;"_"&amp;C650&amp;D650&amp;"_"&amp;BasicInput!$D$7&amp;BasicInput!$D$8&amp;"_"&amp;DL650&amp;".xuf"</f>
        <v>C:\PWWORKING\east01\d2591108\Weave\__2019EX_PM_.xuf</v>
      </c>
    </row>
    <row r="651" spans="85:117" x14ac:dyDescent="0.2">
      <c r="CG651" s="18"/>
      <c r="CM651" s="18"/>
      <c r="DK651" s="31" t="str">
        <f t="shared" si="22"/>
        <v xml:space="preserve">  </v>
      </c>
      <c r="DL651" s="25" t="str">
        <f t="shared" si="23"/>
        <v/>
      </c>
      <c r="DM651" s="25" t="str">
        <f>BasicInput!$D$13&amp;$DM$2&amp;B651&amp;"_"&amp;C651&amp;D651&amp;"_"&amp;BasicInput!$D$7&amp;BasicInput!$D$8&amp;"_"&amp;DL651&amp;".xuf"</f>
        <v>C:\PWWORKING\east01\d2591108\Weave\__2019EX_PM_.xuf</v>
      </c>
    </row>
    <row r="652" spans="85:117" x14ac:dyDescent="0.2">
      <c r="CG652" s="18"/>
      <c r="CM652" s="18"/>
      <c r="DK652" s="31" t="str">
        <f t="shared" ref="DK652:DK715" si="24">C652&amp; " "&amp;D652&amp;" " &amp;E652</f>
        <v xml:space="preserve">  </v>
      </c>
      <c r="DL652" s="25" t="str">
        <f t="shared" ref="DL652:DL715" si="25">TRIM(LEFT(E652, 30))</f>
        <v/>
      </c>
      <c r="DM652" s="25" t="str">
        <f>BasicInput!$D$13&amp;$DM$2&amp;B652&amp;"_"&amp;C652&amp;D652&amp;"_"&amp;BasicInput!$D$7&amp;BasicInput!$D$8&amp;"_"&amp;DL652&amp;".xuf"</f>
        <v>C:\PWWORKING\east01\d2591108\Weave\__2019EX_PM_.xuf</v>
      </c>
    </row>
    <row r="653" spans="85:117" x14ac:dyDescent="0.2">
      <c r="CG653" s="18"/>
      <c r="CM653" s="18"/>
      <c r="DK653" s="31" t="str">
        <f t="shared" si="24"/>
        <v xml:space="preserve">  </v>
      </c>
      <c r="DL653" s="25" t="str">
        <f t="shared" si="25"/>
        <v/>
      </c>
      <c r="DM653" s="25" t="str">
        <f>BasicInput!$D$13&amp;$DM$2&amp;B653&amp;"_"&amp;C653&amp;D653&amp;"_"&amp;BasicInput!$D$7&amp;BasicInput!$D$8&amp;"_"&amp;DL653&amp;".xuf"</f>
        <v>C:\PWWORKING\east01\d2591108\Weave\__2019EX_PM_.xuf</v>
      </c>
    </row>
    <row r="654" spans="85:117" x14ac:dyDescent="0.2">
      <c r="CG654" s="18"/>
      <c r="CM654" s="18"/>
      <c r="DK654" s="31" t="str">
        <f t="shared" si="24"/>
        <v xml:space="preserve">  </v>
      </c>
      <c r="DL654" s="25" t="str">
        <f t="shared" si="25"/>
        <v/>
      </c>
      <c r="DM654" s="25" t="str">
        <f>BasicInput!$D$13&amp;$DM$2&amp;B654&amp;"_"&amp;C654&amp;D654&amp;"_"&amp;BasicInput!$D$7&amp;BasicInput!$D$8&amp;"_"&amp;DL654&amp;".xuf"</f>
        <v>C:\PWWORKING\east01\d2591108\Weave\__2019EX_PM_.xuf</v>
      </c>
    </row>
    <row r="655" spans="85:117" x14ac:dyDescent="0.2">
      <c r="CG655" s="18"/>
      <c r="CM655" s="18"/>
      <c r="DK655" s="31" t="str">
        <f t="shared" si="24"/>
        <v xml:space="preserve">  </v>
      </c>
      <c r="DL655" s="25" t="str">
        <f t="shared" si="25"/>
        <v/>
      </c>
      <c r="DM655" s="25" t="str">
        <f>BasicInput!$D$13&amp;$DM$2&amp;B655&amp;"_"&amp;C655&amp;D655&amp;"_"&amp;BasicInput!$D$7&amp;BasicInput!$D$8&amp;"_"&amp;DL655&amp;".xuf"</f>
        <v>C:\PWWORKING\east01\d2591108\Weave\__2019EX_PM_.xuf</v>
      </c>
    </row>
    <row r="656" spans="85:117" x14ac:dyDescent="0.2">
      <c r="CG656" s="18"/>
      <c r="CM656" s="18"/>
      <c r="DK656" s="31" t="str">
        <f t="shared" si="24"/>
        <v xml:space="preserve">  </v>
      </c>
      <c r="DL656" s="25" t="str">
        <f t="shared" si="25"/>
        <v/>
      </c>
      <c r="DM656" s="25" t="str">
        <f>BasicInput!$D$13&amp;$DM$2&amp;B656&amp;"_"&amp;C656&amp;D656&amp;"_"&amp;BasicInput!$D$7&amp;BasicInput!$D$8&amp;"_"&amp;DL656&amp;".xuf"</f>
        <v>C:\PWWORKING\east01\d2591108\Weave\__2019EX_PM_.xuf</v>
      </c>
    </row>
    <row r="657" spans="85:117" x14ac:dyDescent="0.2">
      <c r="CG657" s="18"/>
      <c r="CM657" s="18"/>
      <c r="DK657" s="31" t="str">
        <f t="shared" si="24"/>
        <v xml:space="preserve">  </v>
      </c>
      <c r="DL657" s="25" t="str">
        <f t="shared" si="25"/>
        <v/>
      </c>
      <c r="DM657" s="25" t="str">
        <f>BasicInput!$D$13&amp;$DM$2&amp;B657&amp;"_"&amp;C657&amp;D657&amp;"_"&amp;BasicInput!$D$7&amp;BasicInput!$D$8&amp;"_"&amp;DL657&amp;".xuf"</f>
        <v>C:\PWWORKING\east01\d2591108\Weave\__2019EX_PM_.xuf</v>
      </c>
    </row>
    <row r="658" spans="85:117" x14ac:dyDescent="0.2">
      <c r="CG658" s="18"/>
      <c r="CM658" s="18"/>
      <c r="DK658" s="31" t="str">
        <f t="shared" si="24"/>
        <v xml:space="preserve">  </v>
      </c>
      <c r="DL658" s="25" t="str">
        <f t="shared" si="25"/>
        <v/>
      </c>
      <c r="DM658" s="25" t="str">
        <f>BasicInput!$D$13&amp;$DM$2&amp;B658&amp;"_"&amp;C658&amp;D658&amp;"_"&amp;BasicInput!$D$7&amp;BasicInput!$D$8&amp;"_"&amp;DL658&amp;".xuf"</f>
        <v>C:\PWWORKING\east01\d2591108\Weave\__2019EX_PM_.xuf</v>
      </c>
    </row>
    <row r="659" spans="85:117" x14ac:dyDescent="0.2">
      <c r="CG659" s="18"/>
      <c r="CM659" s="18"/>
      <c r="DK659" s="31" t="str">
        <f t="shared" si="24"/>
        <v xml:space="preserve">  </v>
      </c>
      <c r="DL659" s="25" t="str">
        <f t="shared" si="25"/>
        <v/>
      </c>
      <c r="DM659" s="25" t="str">
        <f>BasicInput!$D$13&amp;$DM$2&amp;B659&amp;"_"&amp;C659&amp;D659&amp;"_"&amp;BasicInput!$D$7&amp;BasicInput!$D$8&amp;"_"&amp;DL659&amp;".xuf"</f>
        <v>C:\PWWORKING\east01\d2591108\Weave\__2019EX_PM_.xuf</v>
      </c>
    </row>
    <row r="660" spans="85:117" x14ac:dyDescent="0.2">
      <c r="CG660" s="18"/>
      <c r="CM660" s="18"/>
      <c r="DK660" s="31" t="str">
        <f t="shared" si="24"/>
        <v xml:space="preserve">  </v>
      </c>
      <c r="DL660" s="25" t="str">
        <f t="shared" si="25"/>
        <v/>
      </c>
      <c r="DM660" s="25" t="str">
        <f>BasicInput!$D$13&amp;$DM$2&amp;B660&amp;"_"&amp;C660&amp;D660&amp;"_"&amp;BasicInput!$D$7&amp;BasicInput!$D$8&amp;"_"&amp;DL660&amp;".xuf"</f>
        <v>C:\PWWORKING\east01\d2591108\Weave\__2019EX_PM_.xuf</v>
      </c>
    </row>
    <row r="661" spans="85:117" x14ac:dyDescent="0.2">
      <c r="CG661" s="18"/>
      <c r="CM661" s="18"/>
      <c r="DK661" s="31" t="str">
        <f t="shared" si="24"/>
        <v xml:space="preserve">  </v>
      </c>
      <c r="DL661" s="25" t="str">
        <f t="shared" si="25"/>
        <v/>
      </c>
      <c r="DM661" s="25" t="str">
        <f>BasicInput!$D$13&amp;$DM$2&amp;B661&amp;"_"&amp;C661&amp;D661&amp;"_"&amp;BasicInput!$D$7&amp;BasicInput!$D$8&amp;"_"&amp;DL661&amp;".xuf"</f>
        <v>C:\PWWORKING\east01\d2591108\Weave\__2019EX_PM_.xuf</v>
      </c>
    </row>
    <row r="662" spans="85:117" x14ac:dyDescent="0.2">
      <c r="CG662" s="18"/>
      <c r="CM662" s="18"/>
      <c r="DK662" s="31" t="str">
        <f t="shared" si="24"/>
        <v xml:space="preserve">  </v>
      </c>
      <c r="DL662" s="25" t="str">
        <f t="shared" si="25"/>
        <v/>
      </c>
      <c r="DM662" s="25" t="str">
        <f>BasicInput!$D$13&amp;$DM$2&amp;B662&amp;"_"&amp;C662&amp;D662&amp;"_"&amp;BasicInput!$D$7&amp;BasicInput!$D$8&amp;"_"&amp;DL662&amp;".xuf"</f>
        <v>C:\PWWORKING\east01\d2591108\Weave\__2019EX_PM_.xuf</v>
      </c>
    </row>
    <row r="663" spans="85:117" x14ac:dyDescent="0.2">
      <c r="CG663" s="18"/>
      <c r="CM663" s="18"/>
      <c r="DK663" s="31" t="str">
        <f t="shared" si="24"/>
        <v xml:space="preserve">  </v>
      </c>
      <c r="DL663" s="25" t="str">
        <f t="shared" si="25"/>
        <v/>
      </c>
      <c r="DM663" s="25" t="str">
        <f>BasicInput!$D$13&amp;$DM$2&amp;B663&amp;"_"&amp;C663&amp;D663&amp;"_"&amp;BasicInput!$D$7&amp;BasicInput!$D$8&amp;"_"&amp;DL663&amp;".xuf"</f>
        <v>C:\PWWORKING\east01\d2591108\Weave\__2019EX_PM_.xuf</v>
      </c>
    </row>
    <row r="664" spans="85:117" x14ac:dyDescent="0.2">
      <c r="CG664" s="18"/>
      <c r="CM664" s="18"/>
      <c r="DK664" s="31" t="str">
        <f t="shared" si="24"/>
        <v xml:space="preserve">  </v>
      </c>
      <c r="DL664" s="25" t="str">
        <f t="shared" si="25"/>
        <v/>
      </c>
      <c r="DM664" s="25" t="str">
        <f>BasicInput!$D$13&amp;$DM$2&amp;B664&amp;"_"&amp;C664&amp;D664&amp;"_"&amp;BasicInput!$D$7&amp;BasicInput!$D$8&amp;"_"&amp;DL664&amp;".xuf"</f>
        <v>C:\PWWORKING\east01\d2591108\Weave\__2019EX_PM_.xuf</v>
      </c>
    </row>
    <row r="665" spans="85:117" x14ac:dyDescent="0.2">
      <c r="CG665" s="18"/>
      <c r="CM665" s="18"/>
      <c r="DK665" s="31" t="str">
        <f t="shared" si="24"/>
        <v xml:space="preserve">  </v>
      </c>
      <c r="DL665" s="25" t="str">
        <f t="shared" si="25"/>
        <v/>
      </c>
      <c r="DM665" s="25" t="str">
        <f>BasicInput!$D$13&amp;$DM$2&amp;B665&amp;"_"&amp;C665&amp;D665&amp;"_"&amp;BasicInput!$D$7&amp;BasicInput!$D$8&amp;"_"&amp;DL665&amp;".xuf"</f>
        <v>C:\PWWORKING\east01\d2591108\Weave\__2019EX_PM_.xuf</v>
      </c>
    </row>
    <row r="666" spans="85:117" x14ac:dyDescent="0.2">
      <c r="CG666" s="18"/>
      <c r="CM666" s="18"/>
      <c r="DK666" s="31" t="str">
        <f t="shared" si="24"/>
        <v xml:space="preserve">  </v>
      </c>
      <c r="DL666" s="25" t="str">
        <f t="shared" si="25"/>
        <v/>
      </c>
      <c r="DM666" s="25" t="str">
        <f>BasicInput!$D$13&amp;$DM$2&amp;B666&amp;"_"&amp;C666&amp;D666&amp;"_"&amp;BasicInput!$D$7&amp;BasicInput!$D$8&amp;"_"&amp;DL666&amp;".xuf"</f>
        <v>C:\PWWORKING\east01\d2591108\Weave\__2019EX_PM_.xuf</v>
      </c>
    </row>
    <row r="667" spans="85:117" x14ac:dyDescent="0.2">
      <c r="CG667" s="18"/>
      <c r="CM667" s="18"/>
      <c r="DK667" s="31" t="str">
        <f t="shared" si="24"/>
        <v xml:space="preserve">  </v>
      </c>
      <c r="DL667" s="25" t="str">
        <f t="shared" si="25"/>
        <v/>
      </c>
      <c r="DM667" s="25" t="str">
        <f>BasicInput!$D$13&amp;$DM$2&amp;B667&amp;"_"&amp;C667&amp;D667&amp;"_"&amp;BasicInput!$D$7&amp;BasicInput!$D$8&amp;"_"&amp;DL667&amp;".xuf"</f>
        <v>C:\PWWORKING\east01\d2591108\Weave\__2019EX_PM_.xuf</v>
      </c>
    </row>
    <row r="668" spans="85:117" x14ac:dyDescent="0.2">
      <c r="CG668" s="18"/>
      <c r="CM668" s="18"/>
      <c r="DK668" s="31" t="str">
        <f t="shared" si="24"/>
        <v xml:space="preserve">  </v>
      </c>
      <c r="DL668" s="25" t="str">
        <f t="shared" si="25"/>
        <v/>
      </c>
      <c r="DM668" s="25" t="str">
        <f>BasicInput!$D$13&amp;$DM$2&amp;B668&amp;"_"&amp;C668&amp;D668&amp;"_"&amp;BasicInput!$D$7&amp;BasicInput!$D$8&amp;"_"&amp;DL668&amp;".xuf"</f>
        <v>C:\PWWORKING\east01\d2591108\Weave\__2019EX_PM_.xuf</v>
      </c>
    </row>
    <row r="669" spans="85:117" x14ac:dyDescent="0.2">
      <c r="CG669" s="18"/>
      <c r="CM669" s="18"/>
      <c r="DK669" s="31" t="str">
        <f t="shared" si="24"/>
        <v xml:space="preserve">  </v>
      </c>
      <c r="DL669" s="25" t="str">
        <f t="shared" si="25"/>
        <v/>
      </c>
      <c r="DM669" s="25" t="str">
        <f>BasicInput!$D$13&amp;$DM$2&amp;B669&amp;"_"&amp;C669&amp;D669&amp;"_"&amp;BasicInput!$D$7&amp;BasicInput!$D$8&amp;"_"&amp;DL669&amp;".xuf"</f>
        <v>C:\PWWORKING\east01\d2591108\Weave\__2019EX_PM_.xuf</v>
      </c>
    </row>
    <row r="670" spans="85:117" x14ac:dyDescent="0.2">
      <c r="CG670" s="18"/>
      <c r="CM670" s="18"/>
      <c r="DK670" s="31" t="str">
        <f t="shared" si="24"/>
        <v xml:space="preserve">  </v>
      </c>
      <c r="DL670" s="25" t="str">
        <f t="shared" si="25"/>
        <v/>
      </c>
      <c r="DM670" s="25" t="str">
        <f>BasicInput!$D$13&amp;$DM$2&amp;B670&amp;"_"&amp;C670&amp;D670&amp;"_"&amp;BasicInput!$D$7&amp;BasicInput!$D$8&amp;"_"&amp;DL670&amp;".xuf"</f>
        <v>C:\PWWORKING\east01\d2591108\Weave\__2019EX_PM_.xuf</v>
      </c>
    </row>
    <row r="671" spans="85:117" x14ac:dyDescent="0.2">
      <c r="CG671" s="18"/>
      <c r="CM671" s="18"/>
      <c r="DK671" s="31" t="str">
        <f t="shared" si="24"/>
        <v xml:space="preserve">  </v>
      </c>
      <c r="DL671" s="25" t="str">
        <f t="shared" si="25"/>
        <v/>
      </c>
      <c r="DM671" s="25" t="str">
        <f>BasicInput!$D$13&amp;$DM$2&amp;B671&amp;"_"&amp;C671&amp;D671&amp;"_"&amp;BasicInput!$D$7&amp;BasicInput!$D$8&amp;"_"&amp;DL671&amp;".xuf"</f>
        <v>C:\PWWORKING\east01\d2591108\Weave\__2019EX_PM_.xuf</v>
      </c>
    </row>
    <row r="672" spans="85:117" x14ac:dyDescent="0.2">
      <c r="CG672" s="18"/>
      <c r="CM672" s="18"/>
      <c r="DK672" s="31" t="str">
        <f t="shared" si="24"/>
        <v xml:space="preserve">  </v>
      </c>
      <c r="DL672" s="25" t="str">
        <f t="shared" si="25"/>
        <v/>
      </c>
      <c r="DM672" s="25" t="str">
        <f>BasicInput!$D$13&amp;$DM$2&amp;B672&amp;"_"&amp;C672&amp;D672&amp;"_"&amp;BasicInput!$D$7&amp;BasicInput!$D$8&amp;"_"&amp;DL672&amp;".xuf"</f>
        <v>C:\PWWORKING\east01\d2591108\Weave\__2019EX_PM_.xuf</v>
      </c>
    </row>
    <row r="673" spans="85:117" x14ac:dyDescent="0.2">
      <c r="CG673" s="18"/>
      <c r="CM673" s="18"/>
      <c r="DK673" s="31" t="str">
        <f t="shared" si="24"/>
        <v xml:space="preserve">  </v>
      </c>
      <c r="DL673" s="25" t="str">
        <f t="shared" si="25"/>
        <v/>
      </c>
      <c r="DM673" s="25" t="str">
        <f>BasicInput!$D$13&amp;$DM$2&amp;B673&amp;"_"&amp;C673&amp;D673&amp;"_"&amp;BasicInput!$D$7&amp;BasicInput!$D$8&amp;"_"&amp;DL673&amp;".xuf"</f>
        <v>C:\PWWORKING\east01\d2591108\Weave\__2019EX_PM_.xuf</v>
      </c>
    </row>
    <row r="674" spans="85:117" x14ac:dyDescent="0.2">
      <c r="CG674" s="18"/>
      <c r="CM674" s="18"/>
      <c r="DK674" s="31" t="str">
        <f t="shared" si="24"/>
        <v xml:space="preserve">  </v>
      </c>
      <c r="DL674" s="25" t="str">
        <f t="shared" si="25"/>
        <v/>
      </c>
      <c r="DM674" s="25" t="str">
        <f>BasicInput!$D$13&amp;$DM$2&amp;B674&amp;"_"&amp;C674&amp;D674&amp;"_"&amp;BasicInput!$D$7&amp;BasicInput!$D$8&amp;"_"&amp;DL674&amp;".xuf"</f>
        <v>C:\PWWORKING\east01\d2591108\Weave\__2019EX_PM_.xuf</v>
      </c>
    </row>
    <row r="675" spans="85:117" x14ac:dyDescent="0.2">
      <c r="CG675" s="18"/>
      <c r="CM675" s="18"/>
      <c r="DK675" s="31" t="str">
        <f t="shared" si="24"/>
        <v xml:space="preserve">  </v>
      </c>
      <c r="DL675" s="25" t="str">
        <f t="shared" si="25"/>
        <v/>
      </c>
      <c r="DM675" s="25" t="str">
        <f>BasicInput!$D$13&amp;$DM$2&amp;B675&amp;"_"&amp;C675&amp;D675&amp;"_"&amp;BasicInput!$D$7&amp;BasicInput!$D$8&amp;"_"&amp;DL675&amp;".xuf"</f>
        <v>C:\PWWORKING\east01\d2591108\Weave\__2019EX_PM_.xuf</v>
      </c>
    </row>
    <row r="676" spans="85:117" x14ac:dyDescent="0.2">
      <c r="CG676" s="18"/>
      <c r="CM676" s="18"/>
      <c r="DK676" s="31" t="str">
        <f t="shared" si="24"/>
        <v xml:space="preserve">  </v>
      </c>
      <c r="DL676" s="25" t="str">
        <f t="shared" si="25"/>
        <v/>
      </c>
      <c r="DM676" s="25" t="str">
        <f>BasicInput!$D$13&amp;$DM$2&amp;B676&amp;"_"&amp;C676&amp;D676&amp;"_"&amp;BasicInput!$D$7&amp;BasicInput!$D$8&amp;"_"&amp;DL676&amp;".xuf"</f>
        <v>C:\PWWORKING\east01\d2591108\Weave\__2019EX_PM_.xuf</v>
      </c>
    </row>
    <row r="677" spans="85:117" x14ac:dyDescent="0.2">
      <c r="CG677" s="18"/>
      <c r="CM677" s="18"/>
      <c r="DK677" s="31" t="str">
        <f t="shared" si="24"/>
        <v xml:space="preserve">  </v>
      </c>
      <c r="DL677" s="25" t="str">
        <f t="shared" si="25"/>
        <v/>
      </c>
      <c r="DM677" s="25" t="str">
        <f>BasicInput!$D$13&amp;$DM$2&amp;B677&amp;"_"&amp;C677&amp;D677&amp;"_"&amp;BasicInput!$D$7&amp;BasicInput!$D$8&amp;"_"&amp;DL677&amp;".xuf"</f>
        <v>C:\PWWORKING\east01\d2591108\Weave\__2019EX_PM_.xuf</v>
      </c>
    </row>
    <row r="678" spans="85:117" x14ac:dyDescent="0.2">
      <c r="CG678" s="18"/>
      <c r="CM678" s="18"/>
      <c r="DK678" s="31" t="str">
        <f t="shared" si="24"/>
        <v xml:space="preserve">  </v>
      </c>
      <c r="DL678" s="25" t="str">
        <f t="shared" si="25"/>
        <v/>
      </c>
      <c r="DM678" s="25" t="str">
        <f>BasicInput!$D$13&amp;$DM$2&amp;B678&amp;"_"&amp;C678&amp;D678&amp;"_"&amp;BasicInput!$D$7&amp;BasicInput!$D$8&amp;"_"&amp;DL678&amp;".xuf"</f>
        <v>C:\PWWORKING\east01\d2591108\Weave\__2019EX_PM_.xuf</v>
      </c>
    </row>
    <row r="679" spans="85:117" x14ac:dyDescent="0.2">
      <c r="CG679" s="18"/>
      <c r="CM679" s="18"/>
      <c r="DK679" s="31" t="str">
        <f t="shared" si="24"/>
        <v xml:space="preserve">  </v>
      </c>
      <c r="DL679" s="25" t="str">
        <f t="shared" si="25"/>
        <v/>
      </c>
      <c r="DM679" s="25" t="str">
        <f>BasicInput!$D$13&amp;$DM$2&amp;B679&amp;"_"&amp;C679&amp;D679&amp;"_"&amp;BasicInput!$D$7&amp;BasicInput!$D$8&amp;"_"&amp;DL679&amp;".xuf"</f>
        <v>C:\PWWORKING\east01\d2591108\Weave\__2019EX_PM_.xuf</v>
      </c>
    </row>
    <row r="680" spans="85:117" x14ac:dyDescent="0.2">
      <c r="CG680" s="18"/>
      <c r="CM680" s="18"/>
      <c r="DK680" s="31" t="str">
        <f t="shared" si="24"/>
        <v xml:space="preserve">  </v>
      </c>
      <c r="DL680" s="25" t="str">
        <f t="shared" si="25"/>
        <v/>
      </c>
      <c r="DM680" s="25" t="str">
        <f>BasicInput!$D$13&amp;$DM$2&amp;B680&amp;"_"&amp;C680&amp;D680&amp;"_"&amp;BasicInput!$D$7&amp;BasicInput!$D$8&amp;"_"&amp;DL680&amp;".xuf"</f>
        <v>C:\PWWORKING\east01\d2591108\Weave\__2019EX_PM_.xuf</v>
      </c>
    </row>
    <row r="681" spans="85:117" x14ac:dyDescent="0.2">
      <c r="CG681" s="18"/>
      <c r="CM681" s="18"/>
      <c r="DK681" s="31" t="str">
        <f t="shared" si="24"/>
        <v xml:space="preserve">  </v>
      </c>
      <c r="DL681" s="25" t="str">
        <f t="shared" si="25"/>
        <v/>
      </c>
      <c r="DM681" s="25" t="str">
        <f>BasicInput!$D$13&amp;$DM$2&amp;B681&amp;"_"&amp;C681&amp;D681&amp;"_"&amp;BasicInput!$D$7&amp;BasicInput!$D$8&amp;"_"&amp;DL681&amp;".xuf"</f>
        <v>C:\PWWORKING\east01\d2591108\Weave\__2019EX_PM_.xuf</v>
      </c>
    </row>
    <row r="682" spans="85:117" x14ac:dyDescent="0.2">
      <c r="CG682" s="18"/>
      <c r="CM682" s="18"/>
      <c r="DK682" s="31" t="str">
        <f t="shared" si="24"/>
        <v xml:space="preserve">  </v>
      </c>
      <c r="DL682" s="25" t="str">
        <f t="shared" si="25"/>
        <v/>
      </c>
      <c r="DM682" s="25" t="str">
        <f>BasicInput!$D$13&amp;$DM$2&amp;B682&amp;"_"&amp;C682&amp;D682&amp;"_"&amp;BasicInput!$D$7&amp;BasicInput!$D$8&amp;"_"&amp;DL682&amp;".xuf"</f>
        <v>C:\PWWORKING\east01\d2591108\Weave\__2019EX_PM_.xuf</v>
      </c>
    </row>
    <row r="683" spans="85:117" x14ac:dyDescent="0.2">
      <c r="CG683" s="18"/>
      <c r="CM683" s="18"/>
      <c r="DK683" s="31" t="str">
        <f t="shared" si="24"/>
        <v xml:space="preserve">  </v>
      </c>
      <c r="DL683" s="25" t="str">
        <f t="shared" si="25"/>
        <v/>
      </c>
      <c r="DM683" s="25" t="str">
        <f>BasicInput!$D$13&amp;$DM$2&amp;B683&amp;"_"&amp;C683&amp;D683&amp;"_"&amp;BasicInput!$D$7&amp;BasicInput!$D$8&amp;"_"&amp;DL683&amp;".xuf"</f>
        <v>C:\PWWORKING\east01\d2591108\Weave\__2019EX_PM_.xuf</v>
      </c>
    </row>
    <row r="684" spans="85:117" x14ac:dyDescent="0.2">
      <c r="CG684" s="18"/>
      <c r="CM684" s="18"/>
      <c r="DK684" s="31" t="str">
        <f t="shared" si="24"/>
        <v xml:space="preserve">  </v>
      </c>
      <c r="DL684" s="25" t="str">
        <f t="shared" si="25"/>
        <v/>
      </c>
      <c r="DM684" s="25" t="str">
        <f>BasicInput!$D$13&amp;$DM$2&amp;B684&amp;"_"&amp;C684&amp;D684&amp;"_"&amp;BasicInput!$D$7&amp;BasicInput!$D$8&amp;"_"&amp;DL684&amp;".xuf"</f>
        <v>C:\PWWORKING\east01\d2591108\Weave\__2019EX_PM_.xuf</v>
      </c>
    </row>
    <row r="685" spans="85:117" x14ac:dyDescent="0.2">
      <c r="CG685" s="18"/>
      <c r="CM685" s="18"/>
      <c r="DK685" s="31" t="str">
        <f t="shared" si="24"/>
        <v xml:space="preserve">  </v>
      </c>
      <c r="DL685" s="25" t="str">
        <f t="shared" si="25"/>
        <v/>
      </c>
      <c r="DM685" s="25" t="str">
        <f>BasicInput!$D$13&amp;$DM$2&amp;B685&amp;"_"&amp;C685&amp;D685&amp;"_"&amp;BasicInput!$D$7&amp;BasicInput!$D$8&amp;"_"&amp;DL685&amp;".xuf"</f>
        <v>C:\PWWORKING\east01\d2591108\Weave\__2019EX_PM_.xuf</v>
      </c>
    </row>
    <row r="686" spans="85:117" x14ac:dyDescent="0.2">
      <c r="CG686" s="18"/>
      <c r="CM686" s="18"/>
      <c r="DK686" s="31" t="str">
        <f t="shared" si="24"/>
        <v xml:space="preserve">  </v>
      </c>
      <c r="DL686" s="25" t="str">
        <f t="shared" si="25"/>
        <v/>
      </c>
      <c r="DM686" s="25" t="str">
        <f>BasicInput!$D$13&amp;$DM$2&amp;B686&amp;"_"&amp;C686&amp;D686&amp;"_"&amp;BasicInput!$D$7&amp;BasicInput!$D$8&amp;"_"&amp;DL686&amp;".xuf"</f>
        <v>C:\PWWORKING\east01\d2591108\Weave\__2019EX_PM_.xuf</v>
      </c>
    </row>
    <row r="687" spans="85:117" x14ac:dyDescent="0.2">
      <c r="CG687" s="18"/>
      <c r="CM687" s="18"/>
      <c r="DK687" s="31" t="str">
        <f t="shared" si="24"/>
        <v xml:space="preserve">  </v>
      </c>
      <c r="DL687" s="25" t="str">
        <f t="shared" si="25"/>
        <v/>
      </c>
      <c r="DM687" s="25" t="str">
        <f>BasicInput!$D$13&amp;$DM$2&amp;B687&amp;"_"&amp;C687&amp;D687&amp;"_"&amp;BasicInput!$D$7&amp;BasicInput!$D$8&amp;"_"&amp;DL687&amp;".xuf"</f>
        <v>C:\PWWORKING\east01\d2591108\Weave\__2019EX_PM_.xuf</v>
      </c>
    </row>
    <row r="688" spans="85:117" x14ac:dyDescent="0.2">
      <c r="CG688" s="18"/>
      <c r="CM688" s="18"/>
      <c r="DK688" s="31" t="str">
        <f t="shared" si="24"/>
        <v xml:space="preserve">  </v>
      </c>
      <c r="DL688" s="25" t="str">
        <f t="shared" si="25"/>
        <v/>
      </c>
      <c r="DM688" s="25" t="str">
        <f>BasicInput!$D$13&amp;$DM$2&amp;B688&amp;"_"&amp;C688&amp;D688&amp;"_"&amp;BasicInput!$D$7&amp;BasicInput!$D$8&amp;"_"&amp;DL688&amp;".xuf"</f>
        <v>C:\PWWORKING\east01\d2591108\Weave\__2019EX_PM_.xuf</v>
      </c>
    </row>
    <row r="689" spans="85:117" x14ac:dyDescent="0.2">
      <c r="CG689" s="18"/>
      <c r="CM689" s="18"/>
      <c r="DK689" s="31" t="str">
        <f t="shared" si="24"/>
        <v xml:space="preserve">  </v>
      </c>
      <c r="DL689" s="25" t="str">
        <f t="shared" si="25"/>
        <v/>
      </c>
      <c r="DM689" s="25" t="str">
        <f>BasicInput!$D$13&amp;$DM$2&amp;B689&amp;"_"&amp;C689&amp;D689&amp;"_"&amp;BasicInput!$D$7&amp;BasicInput!$D$8&amp;"_"&amp;DL689&amp;".xuf"</f>
        <v>C:\PWWORKING\east01\d2591108\Weave\__2019EX_PM_.xuf</v>
      </c>
    </row>
    <row r="690" spans="85:117" x14ac:dyDescent="0.2">
      <c r="CG690" s="18"/>
      <c r="CM690" s="18"/>
      <c r="DK690" s="31" t="str">
        <f t="shared" si="24"/>
        <v xml:space="preserve">  </v>
      </c>
      <c r="DL690" s="25" t="str">
        <f t="shared" si="25"/>
        <v/>
      </c>
      <c r="DM690" s="25" t="str">
        <f>BasicInput!$D$13&amp;$DM$2&amp;B690&amp;"_"&amp;C690&amp;D690&amp;"_"&amp;BasicInput!$D$7&amp;BasicInput!$D$8&amp;"_"&amp;DL690&amp;".xuf"</f>
        <v>C:\PWWORKING\east01\d2591108\Weave\__2019EX_PM_.xuf</v>
      </c>
    </row>
    <row r="691" spans="85:117" x14ac:dyDescent="0.2">
      <c r="CG691" s="18"/>
      <c r="CM691" s="18"/>
      <c r="DK691" s="31" t="str">
        <f t="shared" si="24"/>
        <v xml:space="preserve">  </v>
      </c>
      <c r="DL691" s="25" t="str">
        <f t="shared" si="25"/>
        <v/>
      </c>
      <c r="DM691" s="25" t="str">
        <f>BasicInput!$D$13&amp;$DM$2&amp;B691&amp;"_"&amp;C691&amp;D691&amp;"_"&amp;BasicInput!$D$7&amp;BasicInput!$D$8&amp;"_"&amp;DL691&amp;".xuf"</f>
        <v>C:\PWWORKING\east01\d2591108\Weave\__2019EX_PM_.xuf</v>
      </c>
    </row>
    <row r="692" spans="85:117" x14ac:dyDescent="0.2">
      <c r="CG692" s="18"/>
      <c r="CM692" s="18"/>
      <c r="DK692" s="31" t="str">
        <f t="shared" si="24"/>
        <v xml:space="preserve">  </v>
      </c>
      <c r="DL692" s="25" t="str">
        <f t="shared" si="25"/>
        <v/>
      </c>
      <c r="DM692" s="25" t="str">
        <f>BasicInput!$D$13&amp;$DM$2&amp;B692&amp;"_"&amp;C692&amp;D692&amp;"_"&amp;BasicInput!$D$7&amp;BasicInput!$D$8&amp;"_"&amp;DL692&amp;".xuf"</f>
        <v>C:\PWWORKING\east01\d2591108\Weave\__2019EX_PM_.xuf</v>
      </c>
    </row>
    <row r="693" spans="85:117" x14ac:dyDescent="0.2">
      <c r="CG693" s="18"/>
      <c r="CM693" s="18"/>
      <c r="DK693" s="31" t="str">
        <f t="shared" si="24"/>
        <v xml:space="preserve">  </v>
      </c>
      <c r="DL693" s="25" t="str">
        <f t="shared" si="25"/>
        <v/>
      </c>
      <c r="DM693" s="25" t="str">
        <f>BasicInput!$D$13&amp;$DM$2&amp;B693&amp;"_"&amp;C693&amp;D693&amp;"_"&amp;BasicInput!$D$7&amp;BasicInput!$D$8&amp;"_"&amp;DL693&amp;".xuf"</f>
        <v>C:\PWWORKING\east01\d2591108\Weave\__2019EX_PM_.xuf</v>
      </c>
    </row>
    <row r="694" spans="85:117" x14ac:dyDescent="0.2">
      <c r="CG694" s="18"/>
      <c r="CM694" s="18"/>
      <c r="DK694" s="31" t="str">
        <f t="shared" si="24"/>
        <v xml:space="preserve">  </v>
      </c>
      <c r="DL694" s="25" t="str">
        <f t="shared" si="25"/>
        <v/>
      </c>
      <c r="DM694" s="25" t="str">
        <f>BasicInput!$D$13&amp;$DM$2&amp;B694&amp;"_"&amp;C694&amp;D694&amp;"_"&amp;BasicInput!$D$7&amp;BasicInput!$D$8&amp;"_"&amp;DL694&amp;".xuf"</f>
        <v>C:\PWWORKING\east01\d2591108\Weave\__2019EX_PM_.xuf</v>
      </c>
    </row>
    <row r="695" spans="85:117" x14ac:dyDescent="0.2">
      <c r="CG695" s="18"/>
      <c r="CM695" s="18"/>
      <c r="DK695" s="31" t="str">
        <f t="shared" si="24"/>
        <v xml:space="preserve">  </v>
      </c>
      <c r="DL695" s="25" t="str">
        <f t="shared" si="25"/>
        <v/>
      </c>
      <c r="DM695" s="25" t="str">
        <f>BasicInput!$D$13&amp;$DM$2&amp;B695&amp;"_"&amp;C695&amp;D695&amp;"_"&amp;BasicInput!$D$7&amp;BasicInput!$D$8&amp;"_"&amp;DL695&amp;".xuf"</f>
        <v>C:\PWWORKING\east01\d2591108\Weave\__2019EX_PM_.xuf</v>
      </c>
    </row>
    <row r="696" spans="85:117" x14ac:dyDescent="0.2">
      <c r="CG696" s="18"/>
      <c r="CM696" s="18"/>
      <c r="DK696" s="31" t="str">
        <f t="shared" si="24"/>
        <v xml:space="preserve">  </v>
      </c>
      <c r="DL696" s="25" t="str">
        <f t="shared" si="25"/>
        <v/>
      </c>
      <c r="DM696" s="25" t="str">
        <f>BasicInput!$D$13&amp;$DM$2&amp;B696&amp;"_"&amp;C696&amp;D696&amp;"_"&amp;BasicInput!$D$7&amp;BasicInput!$D$8&amp;"_"&amp;DL696&amp;".xuf"</f>
        <v>C:\PWWORKING\east01\d2591108\Weave\__2019EX_PM_.xuf</v>
      </c>
    </row>
    <row r="697" spans="85:117" x14ac:dyDescent="0.2">
      <c r="CG697" s="18"/>
      <c r="CM697" s="18"/>
      <c r="DK697" s="31" t="str">
        <f t="shared" si="24"/>
        <v xml:space="preserve">  </v>
      </c>
      <c r="DL697" s="25" t="str">
        <f t="shared" si="25"/>
        <v/>
      </c>
      <c r="DM697" s="25" t="str">
        <f>BasicInput!$D$13&amp;$DM$2&amp;B697&amp;"_"&amp;C697&amp;D697&amp;"_"&amp;BasicInput!$D$7&amp;BasicInput!$D$8&amp;"_"&amp;DL697&amp;".xuf"</f>
        <v>C:\PWWORKING\east01\d2591108\Weave\__2019EX_PM_.xuf</v>
      </c>
    </row>
    <row r="698" spans="85:117" x14ac:dyDescent="0.2">
      <c r="CG698" s="18"/>
      <c r="CM698" s="18"/>
      <c r="DK698" s="31" t="str">
        <f t="shared" si="24"/>
        <v xml:space="preserve">  </v>
      </c>
      <c r="DL698" s="25" t="str">
        <f t="shared" si="25"/>
        <v/>
      </c>
      <c r="DM698" s="25" t="str">
        <f>BasicInput!$D$13&amp;$DM$2&amp;B698&amp;"_"&amp;C698&amp;D698&amp;"_"&amp;BasicInput!$D$7&amp;BasicInput!$D$8&amp;"_"&amp;DL698&amp;".xuf"</f>
        <v>C:\PWWORKING\east01\d2591108\Weave\__2019EX_PM_.xuf</v>
      </c>
    </row>
    <row r="699" spans="85:117" x14ac:dyDescent="0.2">
      <c r="CG699" s="18"/>
      <c r="CM699" s="18"/>
      <c r="DK699" s="31" t="str">
        <f t="shared" si="24"/>
        <v xml:space="preserve">  </v>
      </c>
      <c r="DL699" s="25" t="str">
        <f t="shared" si="25"/>
        <v/>
      </c>
      <c r="DM699" s="25" t="str">
        <f>BasicInput!$D$13&amp;$DM$2&amp;B699&amp;"_"&amp;C699&amp;D699&amp;"_"&amp;BasicInput!$D$7&amp;BasicInput!$D$8&amp;"_"&amp;DL699&amp;".xuf"</f>
        <v>C:\PWWORKING\east01\d2591108\Weave\__2019EX_PM_.xuf</v>
      </c>
    </row>
    <row r="700" spans="85:117" x14ac:dyDescent="0.2">
      <c r="CG700" s="18"/>
      <c r="CM700" s="18"/>
      <c r="DK700" s="31" t="str">
        <f t="shared" si="24"/>
        <v xml:space="preserve">  </v>
      </c>
      <c r="DL700" s="25" t="str">
        <f t="shared" si="25"/>
        <v/>
      </c>
      <c r="DM700" s="25" t="str">
        <f>BasicInput!$D$13&amp;$DM$2&amp;B700&amp;"_"&amp;C700&amp;D700&amp;"_"&amp;BasicInput!$D$7&amp;BasicInput!$D$8&amp;"_"&amp;DL700&amp;".xuf"</f>
        <v>C:\PWWORKING\east01\d2591108\Weave\__2019EX_PM_.xuf</v>
      </c>
    </row>
    <row r="701" spans="85:117" x14ac:dyDescent="0.2">
      <c r="CG701" s="18"/>
      <c r="CM701" s="18"/>
      <c r="DK701" s="31" t="str">
        <f t="shared" si="24"/>
        <v xml:space="preserve">  </v>
      </c>
      <c r="DL701" s="25" t="str">
        <f t="shared" si="25"/>
        <v/>
      </c>
      <c r="DM701" s="25" t="str">
        <f>BasicInput!$D$13&amp;$DM$2&amp;B701&amp;"_"&amp;C701&amp;D701&amp;"_"&amp;BasicInput!$D$7&amp;BasicInput!$D$8&amp;"_"&amp;DL701&amp;".xuf"</f>
        <v>C:\PWWORKING\east01\d2591108\Weave\__2019EX_PM_.xuf</v>
      </c>
    </row>
    <row r="702" spans="85:117" x14ac:dyDescent="0.2">
      <c r="CG702" s="18"/>
      <c r="CM702" s="18"/>
      <c r="DK702" s="31" t="str">
        <f t="shared" si="24"/>
        <v xml:space="preserve">  </v>
      </c>
      <c r="DL702" s="25" t="str">
        <f t="shared" si="25"/>
        <v/>
      </c>
      <c r="DM702" s="25" t="str">
        <f>BasicInput!$D$13&amp;$DM$2&amp;B702&amp;"_"&amp;C702&amp;D702&amp;"_"&amp;BasicInput!$D$7&amp;BasicInput!$D$8&amp;"_"&amp;DL702&amp;".xuf"</f>
        <v>C:\PWWORKING\east01\d2591108\Weave\__2019EX_PM_.xuf</v>
      </c>
    </row>
    <row r="703" spans="85:117" x14ac:dyDescent="0.2">
      <c r="CG703" s="18"/>
      <c r="CM703" s="18"/>
      <c r="DK703" s="31" t="str">
        <f t="shared" si="24"/>
        <v xml:space="preserve">  </v>
      </c>
      <c r="DL703" s="25" t="str">
        <f t="shared" si="25"/>
        <v/>
      </c>
      <c r="DM703" s="25" t="str">
        <f>BasicInput!$D$13&amp;$DM$2&amp;B703&amp;"_"&amp;C703&amp;D703&amp;"_"&amp;BasicInput!$D$7&amp;BasicInput!$D$8&amp;"_"&amp;DL703&amp;".xuf"</f>
        <v>C:\PWWORKING\east01\d2591108\Weave\__2019EX_PM_.xuf</v>
      </c>
    </row>
    <row r="704" spans="85:117" x14ac:dyDescent="0.2">
      <c r="CG704" s="18"/>
      <c r="CM704" s="18"/>
      <c r="DK704" s="31" t="str">
        <f t="shared" si="24"/>
        <v xml:space="preserve">  </v>
      </c>
      <c r="DL704" s="25" t="str">
        <f t="shared" si="25"/>
        <v/>
      </c>
      <c r="DM704" s="25" t="str">
        <f>BasicInput!$D$13&amp;$DM$2&amp;B704&amp;"_"&amp;C704&amp;D704&amp;"_"&amp;BasicInput!$D$7&amp;BasicInput!$D$8&amp;"_"&amp;DL704&amp;".xuf"</f>
        <v>C:\PWWORKING\east01\d2591108\Weave\__2019EX_PM_.xuf</v>
      </c>
    </row>
    <row r="705" spans="85:117" x14ac:dyDescent="0.2">
      <c r="CG705" s="18"/>
      <c r="CM705" s="18"/>
      <c r="DK705" s="31" t="str">
        <f t="shared" si="24"/>
        <v xml:space="preserve">  </v>
      </c>
      <c r="DL705" s="25" t="str">
        <f t="shared" si="25"/>
        <v/>
      </c>
      <c r="DM705" s="25" t="str">
        <f>BasicInput!$D$13&amp;$DM$2&amp;B705&amp;"_"&amp;C705&amp;D705&amp;"_"&amp;BasicInput!$D$7&amp;BasicInput!$D$8&amp;"_"&amp;DL705&amp;".xuf"</f>
        <v>C:\PWWORKING\east01\d2591108\Weave\__2019EX_PM_.xuf</v>
      </c>
    </row>
    <row r="706" spans="85:117" x14ac:dyDescent="0.2">
      <c r="CG706" s="18"/>
      <c r="CM706" s="18"/>
      <c r="DK706" s="31" t="str">
        <f t="shared" si="24"/>
        <v xml:space="preserve">  </v>
      </c>
      <c r="DL706" s="25" t="str">
        <f t="shared" si="25"/>
        <v/>
      </c>
      <c r="DM706" s="25" t="str">
        <f>BasicInput!$D$13&amp;$DM$2&amp;B706&amp;"_"&amp;C706&amp;D706&amp;"_"&amp;BasicInput!$D$7&amp;BasicInput!$D$8&amp;"_"&amp;DL706&amp;".xuf"</f>
        <v>C:\PWWORKING\east01\d2591108\Weave\__2019EX_PM_.xuf</v>
      </c>
    </row>
    <row r="707" spans="85:117" x14ac:dyDescent="0.2">
      <c r="CG707" s="18"/>
      <c r="CM707" s="18"/>
      <c r="DK707" s="31" t="str">
        <f t="shared" si="24"/>
        <v xml:space="preserve">  </v>
      </c>
      <c r="DL707" s="25" t="str">
        <f t="shared" si="25"/>
        <v/>
      </c>
      <c r="DM707" s="25" t="str">
        <f>BasicInput!$D$13&amp;$DM$2&amp;B707&amp;"_"&amp;C707&amp;D707&amp;"_"&amp;BasicInput!$D$7&amp;BasicInput!$D$8&amp;"_"&amp;DL707&amp;".xuf"</f>
        <v>C:\PWWORKING\east01\d2591108\Weave\__2019EX_PM_.xuf</v>
      </c>
    </row>
    <row r="708" spans="85:117" x14ac:dyDescent="0.2">
      <c r="CG708" s="18"/>
      <c r="CM708" s="18"/>
      <c r="DK708" s="31" t="str">
        <f t="shared" si="24"/>
        <v xml:space="preserve">  </v>
      </c>
      <c r="DL708" s="25" t="str">
        <f t="shared" si="25"/>
        <v/>
      </c>
      <c r="DM708" s="25" t="str">
        <f>BasicInput!$D$13&amp;$DM$2&amp;B708&amp;"_"&amp;C708&amp;D708&amp;"_"&amp;BasicInput!$D$7&amp;BasicInput!$D$8&amp;"_"&amp;DL708&amp;".xuf"</f>
        <v>C:\PWWORKING\east01\d2591108\Weave\__2019EX_PM_.xuf</v>
      </c>
    </row>
    <row r="709" spans="85:117" x14ac:dyDescent="0.2">
      <c r="CG709" s="18"/>
      <c r="CM709" s="18"/>
      <c r="DK709" s="31" t="str">
        <f t="shared" si="24"/>
        <v xml:space="preserve">  </v>
      </c>
      <c r="DL709" s="25" t="str">
        <f t="shared" si="25"/>
        <v/>
      </c>
      <c r="DM709" s="25" t="str">
        <f>BasicInput!$D$13&amp;$DM$2&amp;B709&amp;"_"&amp;C709&amp;D709&amp;"_"&amp;BasicInput!$D$7&amp;BasicInput!$D$8&amp;"_"&amp;DL709&amp;".xuf"</f>
        <v>C:\PWWORKING\east01\d2591108\Weave\__2019EX_PM_.xuf</v>
      </c>
    </row>
    <row r="710" spans="85:117" x14ac:dyDescent="0.2">
      <c r="CG710" s="18"/>
      <c r="CM710" s="18"/>
      <c r="DK710" s="31" t="str">
        <f t="shared" si="24"/>
        <v xml:space="preserve">  </v>
      </c>
      <c r="DL710" s="25" t="str">
        <f t="shared" si="25"/>
        <v/>
      </c>
      <c r="DM710" s="25" t="str">
        <f>BasicInput!$D$13&amp;$DM$2&amp;B710&amp;"_"&amp;C710&amp;D710&amp;"_"&amp;BasicInput!$D$7&amp;BasicInput!$D$8&amp;"_"&amp;DL710&amp;".xuf"</f>
        <v>C:\PWWORKING\east01\d2591108\Weave\__2019EX_PM_.xuf</v>
      </c>
    </row>
    <row r="711" spans="85:117" x14ac:dyDescent="0.2">
      <c r="CG711" s="18"/>
      <c r="CM711" s="18"/>
      <c r="DK711" s="31" t="str">
        <f t="shared" si="24"/>
        <v xml:space="preserve">  </v>
      </c>
      <c r="DL711" s="25" t="str">
        <f t="shared" si="25"/>
        <v/>
      </c>
      <c r="DM711" s="25" t="str">
        <f>BasicInput!$D$13&amp;$DM$2&amp;B711&amp;"_"&amp;C711&amp;D711&amp;"_"&amp;BasicInput!$D$7&amp;BasicInput!$D$8&amp;"_"&amp;DL711&amp;".xuf"</f>
        <v>C:\PWWORKING\east01\d2591108\Weave\__2019EX_PM_.xuf</v>
      </c>
    </row>
    <row r="712" spans="85:117" x14ac:dyDescent="0.2">
      <c r="CG712" s="18"/>
      <c r="CM712" s="18"/>
      <c r="DK712" s="31" t="str">
        <f t="shared" si="24"/>
        <v xml:space="preserve">  </v>
      </c>
      <c r="DL712" s="25" t="str">
        <f t="shared" si="25"/>
        <v/>
      </c>
      <c r="DM712" s="25" t="str">
        <f>BasicInput!$D$13&amp;$DM$2&amp;B712&amp;"_"&amp;C712&amp;D712&amp;"_"&amp;BasicInput!$D$7&amp;BasicInput!$D$8&amp;"_"&amp;DL712&amp;".xuf"</f>
        <v>C:\PWWORKING\east01\d2591108\Weave\__2019EX_PM_.xuf</v>
      </c>
    </row>
    <row r="713" spans="85:117" x14ac:dyDescent="0.2">
      <c r="CG713" s="18"/>
      <c r="CM713" s="18"/>
      <c r="DK713" s="31" t="str">
        <f t="shared" si="24"/>
        <v xml:space="preserve">  </v>
      </c>
      <c r="DL713" s="25" t="str">
        <f t="shared" si="25"/>
        <v/>
      </c>
      <c r="DM713" s="25" t="str">
        <f>BasicInput!$D$13&amp;$DM$2&amp;B713&amp;"_"&amp;C713&amp;D713&amp;"_"&amp;BasicInput!$D$7&amp;BasicInput!$D$8&amp;"_"&amp;DL713&amp;".xuf"</f>
        <v>C:\PWWORKING\east01\d2591108\Weave\__2019EX_PM_.xuf</v>
      </c>
    </row>
    <row r="714" spans="85:117" x14ac:dyDescent="0.2">
      <c r="CG714" s="18"/>
      <c r="CM714" s="18"/>
      <c r="DK714" s="31" t="str">
        <f t="shared" si="24"/>
        <v xml:space="preserve">  </v>
      </c>
      <c r="DL714" s="25" t="str">
        <f t="shared" si="25"/>
        <v/>
      </c>
      <c r="DM714" s="25" t="str">
        <f>BasicInput!$D$13&amp;$DM$2&amp;B714&amp;"_"&amp;C714&amp;D714&amp;"_"&amp;BasicInput!$D$7&amp;BasicInput!$D$8&amp;"_"&amp;DL714&amp;".xuf"</f>
        <v>C:\PWWORKING\east01\d2591108\Weave\__2019EX_PM_.xuf</v>
      </c>
    </row>
    <row r="715" spans="85:117" x14ac:dyDescent="0.2">
      <c r="CG715" s="18"/>
      <c r="CM715" s="18"/>
      <c r="DK715" s="31" t="str">
        <f t="shared" si="24"/>
        <v xml:space="preserve">  </v>
      </c>
      <c r="DL715" s="25" t="str">
        <f t="shared" si="25"/>
        <v/>
      </c>
      <c r="DM715" s="25" t="str">
        <f>BasicInput!$D$13&amp;$DM$2&amp;B715&amp;"_"&amp;C715&amp;D715&amp;"_"&amp;BasicInput!$D$7&amp;BasicInput!$D$8&amp;"_"&amp;DL715&amp;".xuf"</f>
        <v>C:\PWWORKING\east01\d2591108\Weave\__2019EX_PM_.xuf</v>
      </c>
    </row>
    <row r="716" spans="85:117" x14ac:dyDescent="0.2">
      <c r="CG716" s="18"/>
      <c r="CM716" s="18"/>
      <c r="DK716" s="31" t="str">
        <f t="shared" ref="DK716:DK779" si="26">C716&amp; " "&amp;D716&amp;" " &amp;E716</f>
        <v xml:space="preserve">  </v>
      </c>
      <c r="DL716" s="25" t="str">
        <f t="shared" ref="DL716:DL779" si="27">TRIM(LEFT(E716, 30))</f>
        <v/>
      </c>
      <c r="DM716" s="25" t="str">
        <f>BasicInput!$D$13&amp;$DM$2&amp;B716&amp;"_"&amp;C716&amp;D716&amp;"_"&amp;BasicInput!$D$7&amp;BasicInput!$D$8&amp;"_"&amp;DL716&amp;".xuf"</f>
        <v>C:\PWWORKING\east01\d2591108\Weave\__2019EX_PM_.xuf</v>
      </c>
    </row>
    <row r="717" spans="85:117" x14ac:dyDescent="0.2">
      <c r="CG717" s="18"/>
      <c r="CM717" s="18"/>
      <c r="DK717" s="31" t="str">
        <f t="shared" si="26"/>
        <v xml:space="preserve">  </v>
      </c>
      <c r="DL717" s="25" t="str">
        <f t="shared" si="27"/>
        <v/>
      </c>
      <c r="DM717" s="25" t="str">
        <f>BasicInput!$D$13&amp;$DM$2&amp;B717&amp;"_"&amp;C717&amp;D717&amp;"_"&amp;BasicInput!$D$7&amp;BasicInput!$D$8&amp;"_"&amp;DL717&amp;".xuf"</f>
        <v>C:\PWWORKING\east01\d2591108\Weave\__2019EX_PM_.xuf</v>
      </c>
    </row>
    <row r="718" spans="85:117" x14ac:dyDescent="0.2">
      <c r="CG718" s="18"/>
      <c r="CM718" s="18"/>
      <c r="DK718" s="31" t="str">
        <f t="shared" si="26"/>
        <v xml:space="preserve">  </v>
      </c>
      <c r="DL718" s="25" t="str">
        <f t="shared" si="27"/>
        <v/>
      </c>
      <c r="DM718" s="25" t="str">
        <f>BasicInput!$D$13&amp;$DM$2&amp;B718&amp;"_"&amp;C718&amp;D718&amp;"_"&amp;BasicInput!$D$7&amp;BasicInput!$D$8&amp;"_"&amp;DL718&amp;".xuf"</f>
        <v>C:\PWWORKING\east01\d2591108\Weave\__2019EX_PM_.xuf</v>
      </c>
    </row>
    <row r="719" spans="85:117" x14ac:dyDescent="0.2">
      <c r="CG719" s="18"/>
      <c r="CM719" s="18"/>
      <c r="DK719" s="31" t="str">
        <f t="shared" si="26"/>
        <v xml:space="preserve">  </v>
      </c>
      <c r="DL719" s="25" t="str">
        <f t="shared" si="27"/>
        <v/>
      </c>
      <c r="DM719" s="25" t="str">
        <f>BasicInput!$D$13&amp;$DM$2&amp;B719&amp;"_"&amp;C719&amp;D719&amp;"_"&amp;BasicInput!$D$7&amp;BasicInput!$D$8&amp;"_"&amp;DL719&amp;".xuf"</f>
        <v>C:\PWWORKING\east01\d2591108\Weave\__2019EX_PM_.xuf</v>
      </c>
    </row>
    <row r="720" spans="85:117" x14ac:dyDescent="0.2">
      <c r="CG720" s="18"/>
      <c r="CM720" s="18"/>
      <c r="DK720" s="31" t="str">
        <f t="shared" si="26"/>
        <v xml:space="preserve">  </v>
      </c>
      <c r="DL720" s="25" t="str">
        <f t="shared" si="27"/>
        <v/>
      </c>
      <c r="DM720" s="25" t="str">
        <f>BasicInput!$D$13&amp;$DM$2&amp;B720&amp;"_"&amp;C720&amp;D720&amp;"_"&amp;BasicInput!$D$7&amp;BasicInput!$D$8&amp;"_"&amp;DL720&amp;".xuf"</f>
        <v>C:\PWWORKING\east01\d2591108\Weave\__2019EX_PM_.xuf</v>
      </c>
    </row>
    <row r="721" spans="85:117" x14ac:dyDescent="0.2">
      <c r="CG721" s="18"/>
      <c r="CM721" s="18"/>
      <c r="DK721" s="31" t="str">
        <f t="shared" si="26"/>
        <v xml:space="preserve">  </v>
      </c>
      <c r="DL721" s="25" t="str">
        <f t="shared" si="27"/>
        <v/>
      </c>
      <c r="DM721" s="25" t="str">
        <f>BasicInput!$D$13&amp;$DM$2&amp;B721&amp;"_"&amp;C721&amp;D721&amp;"_"&amp;BasicInput!$D$7&amp;BasicInput!$D$8&amp;"_"&amp;DL721&amp;".xuf"</f>
        <v>C:\PWWORKING\east01\d2591108\Weave\__2019EX_PM_.xuf</v>
      </c>
    </row>
    <row r="722" spans="85:117" x14ac:dyDescent="0.2">
      <c r="CG722" s="18"/>
      <c r="CM722" s="18"/>
      <c r="DK722" s="31" t="str">
        <f t="shared" si="26"/>
        <v xml:space="preserve">  </v>
      </c>
      <c r="DL722" s="25" t="str">
        <f t="shared" si="27"/>
        <v/>
      </c>
      <c r="DM722" s="25" t="str">
        <f>BasicInput!$D$13&amp;$DM$2&amp;B722&amp;"_"&amp;C722&amp;D722&amp;"_"&amp;BasicInput!$D$7&amp;BasicInput!$D$8&amp;"_"&amp;DL722&amp;".xuf"</f>
        <v>C:\PWWORKING\east01\d2591108\Weave\__2019EX_PM_.xuf</v>
      </c>
    </row>
    <row r="723" spans="85:117" x14ac:dyDescent="0.2">
      <c r="CG723" s="18"/>
      <c r="CM723" s="18"/>
      <c r="DK723" s="31" t="str">
        <f t="shared" si="26"/>
        <v xml:space="preserve">  </v>
      </c>
      <c r="DL723" s="25" t="str">
        <f t="shared" si="27"/>
        <v/>
      </c>
      <c r="DM723" s="25" t="str">
        <f>BasicInput!$D$13&amp;$DM$2&amp;B723&amp;"_"&amp;C723&amp;D723&amp;"_"&amp;BasicInput!$D$7&amp;BasicInput!$D$8&amp;"_"&amp;DL723&amp;".xuf"</f>
        <v>C:\PWWORKING\east01\d2591108\Weave\__2019EX_PM_.xuf</v>
      </c>
    </row>
    <row r="724" spans="85:117" x14ac:dyDescent="0.2">
      <c r="CG724" s="18"/>
      <c r="CM724" s="18"/>
      <c r="DK724" s="31" t="str">
        <f t="shared" si="26"/>
        <v xml:space="preserve">  </v>
      </c>
      <c r="DL724" s="25" t="str">
        <f t="shared" si="27"/>
        <v/>
      </c>
      <c r="DM724" s="25" t="str">
        <f>BasicInput!$D$13&amp;$DM$2&amp;B724&amp;"_"&amp;C724&amp;D724&amp;"_"&amp;BasicInput!$D$7&amp;BasicInput!$D$8&amp;"_"&amp;DL724&amp;".xuf"</f>
        <v>C:\PWWORKING\east01\d2591108\Weave\__2019EX_PM_.xuf</v>
      </c>
    </row>
    <row r="725" spans="85:117" x14ac:dyDescent="0.2">
      <c r="CG725" s="18"/>
      <c r="CM725" s="18"/>
      <c r="DK725" s="31" t="str">
        <f t="shared" si="26"/>
        <v xml:space="preserve">  </v>
      </c>
      <c r="DL725" s="25" t="str">
        <f t="shared" si="27"/>
        <v/>
      </c>
      <c r="DM725" s="25" t="str">
        <f>BasicInput!$D$13&amp;$DM$2&amp;B725&amp;"_"&amp;C725&amp;D725&amp;"_"&amp;BasicInput!$D$7&amp;BasicInput!$D$8&amp;"_"&amp;DL725&amp;".xuf"</f>
        <v>C:\PWWORKING\east01\d2591108\Weave\__2019EX_PM_.xuf</v>
      </c>
    </row>
    <row r="726" spans="85:117" x14ac:dyDescent="0.2">
      <c r="CG726" s="18"/>
      <c r="CM726" s="18"/>
      <c r="DK726" s="31" t="str">
        <f t="shared" si="26"/>
        <v xml:space="preserve">  </v>
      </c>
      <c r="DL726" s="25" t="str">
        <f t="shared" si="27"/>
        <v/>
      </c>
      <c r="DM726" s="25" t="str">
        <f>BasicInput!$D$13&amp;$DM$2&amp;B726&amp;"_"&amp;C726&amp;D726&amp;"_"&amp;BasicInput!$D$7&amp;BasicInput!$D$8&amp;"_"&amp;DL726&amp;".xuf"</f>
        <v>C:\PWWORKING\east01\d2591108\Weave\__2019EX_PM_.xuf</v>
      </c>
    </row>
    <row r="727" spans="85:117" x14ac:dyDescent="0.2">
      <c r="CG727" s="18"/>
      <c r="CM727" s="18"/>
      <c r="DK727" s="31" t="str">
        <f t="shared" si="26"/>
        <v xml:space="preserve">  </v>
      </c>
      <c r="DL727" s="25" t="str">
        <f t="shared" si="27"/>
        <v/>
      </c>
      <c r="DM727" s="25" t="str">
        <f>BasicInput!$D$13&amp;$DM$2&amp;B727&amp;"_"&amp;C727&amp;D727&amp;"_"&amp;BasicInput!$D$7&amp;BasicInput!$D$8&amp;"_"&amp;DL727&amp;".xuf"</f>
        <v>C:\PWWORKING\east01\d2591108\Weave\__2019EX_PM_.xuf</v>
      </c>
    </row>
    <row r="728" spans="85:117" x14ac:dyDescent="0.2">
      <c r="CG728" s="18"/>
      <c r="CM728" s="18"/>
      <c r="DK728" s="31" t="str">
        <f t="shared" si="26"/>
        <v xml:space="preserve">  </v>
      </c>
      <c r="DL728" s="25" t="str">
        <f t="shared" si="27"/>
        <v/>
      </c>
      <c r="DM728" s="25" t="str">
        <f>BasicInput!$D$13&amp;$DM$2&amp;B728&amp;"_"&amp;C728&amp;D728&amp;"_"&amp;BasicInput!$D$7&amp;BasicInput!$D$8&amp;"_"&amp;DL728&amp;".xuf"</f>
        <v>C:\PWWORKING\east01\d2591108\Weave\__2019EX_PM_.xuf</v>
      </c>
    </row>
    <row r="729" spans="85:117" x14ac:dyDescent="0.2">
      <c r="CG729" s="18"/>
      <c r="CM729" s="18"/>
      <c r="DK729" s="31" t="str">
        <f t="shared" si="26"/>
        <v xml:space="preserve">  </v>
      </c>
      <c r="DL729" s="25" t="str">
        <f t="shared" si="27"/>
        <v/>
      </c>
      <c r="DM729" s="25" t="str">
        <f>BasicInput!$D$13&amp;$DM$2&amp;B729&amp;"_"&amp;C729&amp;D729&amp;"_"&amp;BasicInput!$D$7&amp;BasicInput!$D$8&amp;"_"&amp;DL729&amp;".xuf"</f>
        <v>C:\PWWORKING\east01\d2591108\Weave\__2019EX_PM_.xuf</v>
      </c>
    </row>
    <row r="730" spans="85:117" x14ac:dyDescent="0.2">
      <c r="CG730" s="18"/>
      <c r="CM730" s="18"/>
      <c r="DK730" s="31" t="str">
        <f t="shared" si="26"/>
        <v xml:space="preserve">  </v>
      </c>
      <c r="DL730" s="25" t="str">
        <f t="shared" si="27"/>
        <v/>
      </c>
      <c r="DM730" s="25" t="str">
        <f>BasicInput!$D$13&amp;$DM$2&amp;B730&amp;"_"&amp;C730&amp;D730&amp;"_"&amp;BasicInput!$D$7&amp;BasicInput!$D$8&amp;"_"&amp;DL730&amp;".xuf"</f>
        <v>C:\PWWORKING\east01\d2591108\Weave\__2019EX_PM_.xuf</v>
      </c>
    </row>
    <row r="731" spans="85:117" x14ac:dyDescent="0.2">
      <c r="CG731" s="18"/>
      <c r="CM731" s="18"/>
      <c r="DK731" s="31" t="str">
        <f t="shared" si="26"/>
        <v xml:space="preserve">  </v>
      </c>
      <c r="DL731" s="25" t="str">
        <f t="shared" si="27"/>
        <v/>
      </c>
      <c r="DM731" s="25" t="str">
        <f>BasicInput!$D$13&amp;$DM$2&amp;B731&amp;"_"&amp;C731&amp;D731&amp;"_"&amp;BasicInput!$D$7&amp;BasicInput!$D$8&amp;"_"&amp;DL731&amp;".xuf"</f>
        <v>C:\PWWORKING\east01\d2591108\Weave\__2019EX_PM_.xuf</v>
      </c>
    </row>
    <row r="732" spans="85:117" x14ac:dyDescent="0.2">
      <c r="CG732" s="18"/>
      <c r="CM732" s="18"/>
      <c r="DK732" s="31" t="str">
        <f t="shared" si="26"/>
        <v xml:space="preserve">  </v>
      </c>
      <c r="DL732" s="25" t="str">
        <f t="shared" si="27"/>
        <v/>
      </c>
      <c r="DM732" s="25" t="str">
        <f>BasicInput!$D$13&amp;$DM$2&amp;B732&amp;"_"&amp;C732&amp;D732&amp;"_"&amp;BasicInput!$D$7&amp;BasicInput!$D$8&amp;"_"&amp;DL732&amp;".xuf"</f>
        <v>C:\PWWORKING\east01\d2591108\Weave\__2019EX_PM_.xuf</v>
      </c>
    </row>
    <row r="733" spans="85:117" x14ac:dyDescent="0.2">
      <c r="CG733" s="18"/>
      <c r="CM733" s="18"/>
      <c r="DK733" s="31" t="str">
        <f t="shared" si="26"/>
        <v xml:space="preserve">  </v>
      </c>
      <c r="DL733" s="25" t="str">
        <f t="shared" si="27"/>
        <v/>
      </c>
      <c r="DM733" s="25" t="str">
        <f>BasicInput!$D$13&amp;$DM$2&amp;B733&amp;"_"&amp;C733&amp;D733&amp;"_"&amp;BasicInput!$D$7&amp;BasicInput!$D$8&amp;"_"&amp;DL733&amp;".xuf"</f>
        <v>C:\PWWORKING\east01\d2591108\Weave\__2019EX_PM_.xuf</v>
      </c>
    </row>
    <row r="734" spans="85:117" x14ac:dyDescent="0.2">
      <c r="CG734" s="18"/>
      <c r="CM734" s="18"/>
      <c r="DK734" s="31" t="str">
        <f t="shared" si="26"/>
        <v xml:space="preserve">  </v>
      </c>
      <c r="DL734" s="25" t="str">
        <f t="shared" si="27"/>
        <v/>
      </c>
      <c r="DM734" s="25" t="str">
        <f>BasicInput!$D$13&amp;$DM$2&amp;B734&amp;"_"&amp;C734&amp;D734&amp;"_"&amp;BasicInput!$D$7&amp;BasicInput!$D$8&amp;"_"&amp;DL734&amp;".xuf"</f>
        <v>C:\PWWORKING\east01\d2591108\Weave\__2019EX_PM_.xuf</v>
      </c>
    </row>
    <row r="735" spans="85:117" x14ac:dyDescent="0.2">
      <c r="CG735" s="18"/>
      <c r="CM735" s="18"/>
      <c r="DK735" s="31" t="str">
        <f t="shared" si="26"/>
        <v xml:space="preserve">  </v>
      </c>
      <c r="DL735" s="25" t="str">
        <f t="shared" si="27"/>
        <v/>
      </c>
      <c r="DM735" s="25" t="str">
        <f>BasicInput!$D$13&amp;$DM$2&amp;B735&amp;"_"&amp;C735&amp;D735&amp;"_"&amp;BasicInput!$D$7&amp;BasicInput!$D$8&amp;"_"&amp;DL735&amp;".xuf"</f>
        <v>C:\PWWORKING\east01\d2591108\Weave\__2019EX_PM_.xuf</v>
      </c>
    </row>
    <row r="736" spans="85:117" x14ac:dyDescent="0.2">
      <c r="CG736" s="18"/>
      <c r="CM736" s="18"/>
      <c r="DK736" s="31" t="str">
        <f t="shared" si="26"/>
        <v xml:space="preserve">  </v>
      </c>
      <c r="DL736" s="25" t="str">
        <f t="shared" si="27"/>
        <v/>
      </c>
      <c r="DM736" s="25" t="str">
        <f>BasicInput!$D$13&amp;$DM$2&amp;B736&amp;"_"&amp;C736&amp;D736&amp;"_"&amp;BasicInput!$D$7&amp;BasicInput!$D$8&amp;"_"&amp;DL736&amp;".xuf"</f>
        <v>C:\PWWORKING\east01\d2591108\Weave\__2019EX_PM_.xuf</v>
      </c>
    </row>
    <row r="737" spans="85:117" x14ac:dyDescent="0.2">
      <c r="CG737" s="18"/>
      <c r="CM737" s="18"/>
      <c r="DK737" s="31" t="str">
        <f t="shared" si="26"/>
        <v xml:space="preserve">  </v>
      </c>
      <c r="DL737" s="25" t="str">
        <f t="shared" si="27"/>
        <v/>
      </c>
      <c r="DM737" s="25" t="str">
        <f>BasicInput!$D$13&amp;$DM$2&amp;B737&amp;"_"&amp;C737&amp;D737&amp;"_"&amp;BasicInput!$D$7&amp;BasicInput!$D$8&amp;"_"&amp;DL737&amp;".xuf"</f>
        <v>C:\PWWORKING\east01\d2591108\Weave\__2019EX_PM_.xuf</v>
      </c>
    </row>
    <row r="738" spans="85:117" x14ac:dyDescent="0.2">
      <c r="CG738" s="18"/>
      <c r="CM738" s="18"/>
      <c r="DK738" s="31" t="str">
        <f t="shared" si="26"/>
        <v xml:space="preserve">  </v>
      </c>
      <c r="DL738" s="25" t="str">
        <f t="shared" si="27"/>
        <v/>
      </c>
      <c r="DM738" s="25" t="str">
        <f>BasicInput!$D$13&amp;$DM$2&amp;B738&amp;"_"&amp;C738&amp;D738&amp;"_"&amp;BasicInput!$D$7&amp;BasicInput!$D$8&amp;"_"&amp;DL738&amp;".xuf"</f>
        <v>C:\PWWORKING\east01\d2591108\Weave\__2019EX_PM_.xuf</v>
      </c>
    </row>
    <row r="739" spans="85:117" x14ac:dyDescent="0.2">
      <c r="CG739" s="18"/>
      <c r="CM739" s="18"/>
      <c r="DK739" s="31" t="str">
        <f t="shared" si="26"/>
        <v xml:space="preserve">  </v>
      </c>
      <c r="DL739" s="25" t="str">
        <f t="shared" si="27"/>
        <v/>
      </c>
      <c r="DM739" s="25" t="str">
        <f>BasicInput!$D$13&amp;$DM$2&amp;B739&amp;"_"&amp;C739&amp;D739&amp;"_"&amp;BasicInput!$D$7&amp;BasicInput!$D$8&amp;"_"&amp;DL739&amp;".xuf"</f>
        <v>C:\PWWORKING\east01\d2591108\Weave\__2019EX_PM_.xuf</v>
      </c>
    </row>
    <row r="740" spans="85:117" x14ac:dyDescent="0.2">
      <c r="CG740" s="18"/>
      <c r="CM740" s="18"/>
      <c r="DK740" s="31" t="str">
        <f t="shared" si="26"/>
        <v xml:space="preserve">  </v>
      </c>
      <c r="DL740" s="25" t="str">
        <f t="shared" si="27"/>
        <v/>
      </c>
      <c r="DM740" s="25" t="str">
        <f>BasicInput!$D$13&amp;$DM$2&amp;B740&amp;"_"&amp;C740&amp;D740&amp;"_"&amp;BasicInput!$D$7&amp;BasicInput!$D$8&amp;"_"&amp;DL740&amp;".xuf"</f>
        <v>C:\PWWORKING\east01\d2591108\Weave\__2019EX_PM_.xuf</v>
      </c>
    </row>
    <row r="741" spans="85:117" x14ac:dyDescent="0.2">
      <c r="CG741" s="18"/>
      <c r="CM741" s="18"/>
      <c r="DK741" s="31" t="str">
        <f t="shared" si="26"/>
        <v xml:space="preserve">  </v>
      </c>
      <c r="DL741" s="25" t="str">
        <f t="shared" si="27"/>
        <v/>
      </c>
      <c r="DM741" s="25" t="str">
        <f>BasicInput!$D$13&amp;$DM$2&amp;B741&amp;"_"&amp;C741&amp;D741&amp;"_"&amp;BasicInput!$D$7&amp;BasicInput!$D$8&amp;"_"&amp;DL741&amp;".xuf"</f>
        <v>C:\PWWORKING\east01\d2591108\Weave\__2019EX_PM_.xuf</v>
      </c>
    </row>
    <row r="742" spans="85:117" x14ac:dyDescent="0.2">
      <c r="CG742" s="18"/>
      <c r="CM742" s="18"/>
      <c r="DK742" s="31" t="str">
        <f t="shared" si="26"/>
        <v xml:space="preserve">  </v>
      </c>
      <c r="DL742" s="25" t="str">
        <f t="shared" si="27"/>
        <v/>
      </c>
      <c r="DM742" s="25" t="str">
        <f>BasicInput!$D$13&amp;$DM$2&amp;B742&amp;"_"&amp;C742&amp;D742&amp;"_"&amp;BasicInput!$D$7&amp;BasicInput!$D$8&amp;"_"&amp;DL742&amp;".xuf"</f>
        <v>C:\PWWORKING\east01\d2591108\Weave\__2019EX_PM_.xuf</v>
      </c>
    </row>
    <row r="743" spans="85:117" x14ac:dyDescent="0.2">
      <c r="CG743" s="18"/>
      <c r="CM743" s="18"/>
      <c r="DK743" s="31" t="str">
        <f t="shared" si="26"/>
        <v xml:space="preserve">  </v>
      </c>
      <c r="DL743" s="25" t="str">
        <f t="shared" si="27"/>
        <v/>
      </c>
      <c r="DM743" s="25" t="str">
        <f>BasicInput!$D$13&amp;$DM$2&amp;B743&amp;"_"&amp;C743&amp;D743&amp;"_"&amp;BasicInput!$D$7&amp;BasicInput!$D$8&amp;"_"&amp;DL743&amp;".xuf"</f>
        <v>C:\PWWORKING\east01\d2591108\Weave\__2019EX_PM_.xuf</v>
      </c>
    </row>
    <row r="744" spans="85:117" x14ac:dyDescent="0.2">
      <c r="CG744" s="18"/>
      <c r="CM744" s="18"/>
      <c r="DK744" s="31" t="str">
        <f t="shared" si="26"/>
        <v xml:space="preserve">  </v>
      </c>
      <c r="DL744" s="25" t="str">
        <f t="shared" si="27"/>
        <v/>
      </c>
      <c r="DM744" s="25" t="str">
        <f>BasicInput!$D$13&amp;$DM$2&amp;B744&amp;"_"&amp;C744&amp;D744&amp;"_"&amp;BasicInput!$D$7&amp;BasicInput!$D$8&amp;"_"&amp;DL744&amp;".xuf"</f>
        <v>C:\PWWORKING\east01\d2591108\Weave\__2019EX_PM_.xuf</v>
      </c>
    </row>
    <row r="745" spans="85:117" x14ac:dyDescent="0.2">
      <c r="CG745" s="18"/>
      <c r="CM745" s="18"/>
      <c r="DK745" s="31" t="str">
        <f t="shared" si="26"/>
        <v xml:space="preserve">  </v>
      </c>
      <c r="DL745" s="25" t="str">
        <f t="shared" si="27"/>
        <v/>
      </c>
      <c r="DM745" s="25" t="str">
        <f>BasicInput!$D$13&amp;$DM$2&amp;B745&amp;"_"&amp;C745&amp;D745&amp;"_"&amp;BasicInput!$D$7&amp;BasicInput!$D$8&amp;"_"&amp;DL745&amp;".xuf"</f>
        <v>C:\PWWORKING\east01\d2591108\Weave\__2019EX_PM_.xuf</v>
      </c>
    </row>
    <row r="746" spans="85:117" x14ac:dyDescent="0.2">
      <c r="CG746" s="18"/>
      <c r="CM746" s="18"/>
      <c r="DK746" s="31" t="str">
        <f t="shared" si="26"/>
        <v xml:space="preserve">  </v>
      </c>
      <c r="DL746" s="25" t="str">
        <f t="shared" si="27"/>
        <v/>
      </c>
      <c r="DM746" s="25" t="str">
        <f>BasicInput!$D$13&amp;$DM$2&amp;B746&amp;"_"&amp;C746&amp;D746&amp;"_"&amp;BasicInput!$D$7&amp;BasicInput!$D$8&amp;"_"&amp;DL746&amp;".xuf"</f>
        <v>C:\PWWORKING\east01\d2591108\Weave\__2019EX_PM_.xuf</v>
      </c>
    </row>
    <row r="747" spans="85:117" x14ac:dyDescent="0.2">
      <c r="CG747" s="18"/>
      <c r="CM747" s="18"/>
      <c r="DK747" s="31" t="str">
        <f t="shared" si="26"/>
        <v xml:space="preserve">  </v>
      </c>
      <c r="DL747" s="25" t="str">
        <f t="shared" si="27"/>
        <v/>
      </c>
      <c r="DM747" s="25" t="str">
        <f>BasicInput!$D$13&amp;$DM$2&amp;B747&amp;"_"&amp;C747&amp;D747&amp;"_"&amp;BasicInput!$D$7&amp;BasicInput!$D$8&amp;"_"&amp;DL747&amp;".xuf"</f>
        <v>C:\PWWORKING\east01\d2591108\Weave\__2019EX_PM_.xuf</v>
      </c>
    </row>
    <row r="748" spans="85:117" x14ac:dyDescent="0.2">
      <c r="CG748" s="18"/>
      <c r="CM748" s="18"/>
      <c r="DK748" s="31" t="str">
        <f t="shared" si="26"/>
        <v xml:space="preserve">  </v>
      </c>
      <c r="DL748" s="25" t="str">
        <f t="shared" si="27"/>
        <v/>
      </c>
      <c r="DM748" s="25" t="str">
        <f>BasicInput!$D$13&amp;$DM$2&amp;B748&amp;"_"&amp;C748&amp;D748&amp;"_"&amp;BasicInput!$D$7&amp;BasicInput!$D$8&amp;"_"&amp;DL748&amp;".xuf"</f>
        <v>C:\PWWORKING\east01\d2591108\Weave\__2019EX_PM_.xuf</v>
      </c>
    </row>
    <row r="749" spans="85:117" x14ac:dyDescent="0.2">
      <c r="CG749" s="18"/>
      <c r="CM749" s="18"/>
      <c r="DK749" s="31" t="str">
        <f t="shared" si="26"/>
        <v xml:space="preserve">  </v>
      </c>
      <c r="DL749" s="25" t="str">
        <f t="shared" si="27"/>
        <v/>
      </c>
      <c r="DM749" s="25" t="str">
        <f>BasicInput!$D$13&amp;$DM$2&amp;B749&amp;"_"&amp;C749&amp;D749&amp;"_"&amp;BasicInput!$D$7&amp;BasicInput!$D$8&amp;"_"&amp;DL749&amp;".xuf"</f>
        <v>C:\PWWORKING\east01\d2591108\Weave\__2019EX_PM_.xuf</v>
      </c>
    </row>
    <row r="750" spans="85:117" x14ac:dyDescent="0.2">
      <c r="CG750" s="18"/>
      <c r="CM750" s="18"/>
      <c r="DK750" s="31" t="str">
        <f t="shared" si="26"/>
        <v xml:space="preserve">  </v>
      </c>
      <c r="DL750" s="25" t="str">
        <f t="shared" si="27"/>
        <v/>
      </c>
      <c r="DM750" s="25" t="str">
        <f>BasicInput!$D$13&amp;$DM$2&amp;B750&amp;"_"&amp;C750&amp;D750&amp;"_"&amp;BasicInput!$D$7&amp;BasicInput!$D$8&amp;"_"&amp;DL750&amp;".xuf"</f>
        <v>C:\PWWORKING\east01\d2591108\Weave\__2019EX_PM_.xuf</v>
      </c>
    </row>
    <row r="751" spans="85:117" x14ac:dyDescent="0.2">
      <c r="CG751" s="18"/>
      <c r="CM751" s="18"/>
      <c r="DK751" s="31" t="str">
        <f t="shared" si="26"/>
        <v xml:space="preserve">  </v>
      </c>
      <c r="DL751" s="25" t="str">
        <f t="shared" si="27"/>
        <v/>
      </c>
      <c r="DM751" s="25" t="str">
        <f>BasicInput!$D$13&amp;$DM$2&amp;B751&amp;"_"&amp;C751&amp;D751&amp;"_"&amp;BasicInput!$D$7&amp;BasicInput!$D$8&amp;"_"&amp;DL751&amp;".xuf"</f>
        <v>C:\PWWORKING\east01\d2591108\Weave\__2019EX_PM_.xuf</v>
      </c>
    </row>
    <row r="752" spans="85:117" x14ac:dyDescent="0.2">
      <c r="CG752" s="18"/>
      <c r="CM752" s="18"/>
      <c r="DK752" s="31" t="str">
        <f t="shared" si="26"/>
        <v xml:space="preserve">  </v>
      </c>
      <c r="DL752" s="25" t="str">
        <f t="shared" si="27"/>
        <v/>
      </c>
      <c r="DM752" s="25" t="str">
        <f>BasicInput!$D$13&amp;$DM$2&amp;B752&amp;"_"&amp;C752&amp;D752&amp;"_"&amp;BasicInput!$D$7&amp;BasicInput!$D$8&amp;"_"&amp;DL752&amp;".xuf"</f>
        <v>C:\PWWORKING\east01\d2591108\Weave\__2019EX_PM_.xuf</v>
      </c>
    </row>
    <row r="753" spans="85:117" x14ac:dyDescent="0.2">
      <c r="CG753" s="18"/>
      <c r="CM753" s="18"/>
      <c r="DK753" s="31" t="str">
        <f t="shared" si="26"/>
        <v xml:space="preserve">  </v>
      </c>
      <c r="DL753" s="25" t="str">
        <f t="shared" si="27"/>
        <v/>
      </c>
      <c r="DM753" s="25" t="str">
        <f>BasicInput!$D$13&amp;$DM$2&amp;B753&amp;"_"&amp;C753&amp;D753&amp;"_"&amp;BasicInput!$D$7&amp;BasicInput!$D$8&amp;"_"&amp;DL753&amp;".xuf"</f>
        <v>C:\PWWORKING\east01\d2591108\Weave\__2019EX_PM_.xuf</v>
      </c>
    </row>
    <row r="754" spans="85:117" x14ac:dyDescent="0.2">
      <c r="CG754" s="18"/>
      <c r="CM754" s="18"/>
      <c r="DK754" s="31" t="str">
        <f t="shared" si="26"/>
        <v xml:space="preserve">  </v>
      </c>
      <c r="DL754" s="25" t="str">
        <f t="shared" si="27"/>
        <v/>
      </c>
      <c r="DM754" s="25" t="str">
        <f>BasicInput!$D$13&amp;$DM$2&amp;B754&amp;"_"&amp;C754&amp;D754&amp;"_"&amp;BasicInput!$D$7&amp;BasicInput!$D$8&amp;"_"&amp;DL754&amp;".xuf"</f>
        <v>C:\PWWORKING\east01\d2591108\Weave\__2019EX_PM_.xuf</v>
      </c>
    </row>
    <row r="755" spans="85:117" x14ac:dyDescent="0.2">
      <c r="CG755" s="18"/>
      <c r="CM755" s="18"/>
      <c r="DK755" s="31" t="str">
        <f t="shared" si="26"/>
        <v xml:space="preserve">  </v>
      </c>
      <c r="DL755" s="25" t="str">
        <f t="shared" si="27"/>
        <v/>
      </c>
      <c r="DM755" s="25" t="str">
        <f>BasicInput!$D$13&amp;$DM$2&amp;B755&amp;"_"&amp;C755&amp;D755&amp;"_"&amp;BasicInput!$D$7&amp;BasicInput!$D$8&amp;"_"&amp;DL755&amp;".xuf"</f>
        <v>C:\PWWORKING\east01\d2591108\Weave\__2019EX_PM_.xuf</v>
      </c>
    </row>
    <row r="756" spans="85:117" x14ac:dyDescent="0.2">
      <c r="CG756" s="18"/>
      <c r="CM756" s="18"/>
      <c r="DK756" s="31" t="str">
        <f t="shared" si="26"/>
        <v xml:space="preserve">  </v>
      </c>
      <c r="DL756" s="25" t="str">
        <f t="shared" si="27"/>
        <v/>
      </c>
      <c r="DM756" s="25" t="str">
        <f>BasicInput!$D$13&amp;$DM$2&amp;B756&amp;"_"&amp;C756&amp;D756&amp;"_"&amp;BasicInput!$D$7&amp;BasicInput!$D$8&amp;"_"&amp;DL756&amp;".xuf"</f>
        <v>C:\PWWORKING\east01\d2591108\Weave\__2019EX_PM_.xuf</v>
      </c>
    </row>
    <row r="757" spans="85:117" x14ac:dyDescent="0.2">
      <c r="CG757" s="18"/>
      <c r="CM757" s="18"/>
      <c r="DK757" s="31" t="str">
        <f t="shared" si="26"/>
        <v xml:space="preserve">  </v>
      </c>
      <c r="DL757" s="25" t="str">
        <f t="shared" si="27"/>
        <v/>
      </c>
      <c r="DM757" s="25" t="str">
        <f>BasicInput!$D$13&amp;$DM$2&amp;B757&amp;"_"&amp;C757&amp;D757&amp;"_"&amp;BasicInput!$D$7&amp;BasicInput!$D$8&amp;"_"&amp;DL757&amp;".xuf"</f>
        <v>C:\PWWORKING\east01\d2591108\Weave\__2019EX_PM_.xuf</v>
      </c>
    </row>
    <row r="758" spans="85:117" x14ac:dyDescent="0.2">
      <c r="CG758" s="18"/>
      <c r="CM758" s="18"/>
      <c r="DK758" s="31" t="str">
        <f t="shared" si="26"/>
        <v xml:space="preserve">  </v>
      </c>
      <c r="DL758" s="25" t="str">
        <f t="shared" si="27"/>
        <v/>
      </c>
      <c r="DM758" s="25" t="str">
        <f>BasicInput!$D$13&amp;$DM$2&amp;B758&amp;"_"&amp;C758&amp;D758&amp;"_"&amp;BasicInput!$D$7&amp;BasicInput!$D$8&amp;"_"&amp;DL758&amp;".xuf"</f>
        <v>C:\PWWORKING\east01\d2591108\Weave\__2019EX_PM_.xuf</v>
      </c>
    </row>
    <row r="759" spans="85:117" x14ac:dyDescent="0.2">
      <c r="CG759" s="18"/>
      <c r="CM759" s="18"/>
      <c r="DK759" s="31" t="str">
        <f t="shared" si="26"/>
        <v xml:space="preserve">  </v>
      </c>
      <c r="DL759" s="25" t="str">
        <f t="shared" si="27"/>
        <v/>
      </c>
      <c r="DM759" s="25" t="str">
        <f>BasicInput!$D$13&amp;$DM$2&amp;B759&amp;"_"&amp;C759&amp;D759&amp;"_"&amp;BasicInput!$D$7&amp;BasicInput!$D$8&amp;"_"&amp;DL759&amp;".xuf"</f>
        <v>C:\PWWORKING\east01\d2591108\Weave\__2019EX_PM_.xuf</v>
      </c>
    </row>
    <row r="760" spans="85:117" x14ac:dyDescent="0.2">
      <c r="CG760" s="18"/>
      <c r="CM760" s="18"/>
      <c r="DK760" s="31" t="str">
        <f t="shared" si="26"/>
        <v xml:space="preserve">  </v>
      </c>
      <c r="DL760" s="25" t="str">
        <f t="shared" si="27"/>
        <v/>
      </c>
      <c r="DM760" s="25" t="str">
        <f>BasicInput!$D$13&amp;$DM$2&amp;B760&amp;"_"&amp;C760&amp;D760&amp;"_"&amp;BasicInput!$D$7&amp;BasicInput!$D$8&amp;"_"&amp;DL760&amp;".xuf"</f>
        <v>C:\PWWORKING\east01\d2591108\Weave\__2019EX_PM_.xuf</v>
      </c>
    </row>
    <row r="761" spans="85:117" x14ac:dyDescent="0.2">
      <c r="CG761" s="18"/>
      <c r="CM761" s="18"/>
      <c r="DK761" s="31" t="str">
        <f t="shared" si="26"/>
        <v xml:space="preserve">  </v>
      </c>
      <c r="DL761" s="25" t="str">
        <f t="shared" si="27"/>
        <v/>
      </c>
      <c r="DM761" s="25" t="str">
        <f>BasicInput!$D$13&amp;$DM$2&amp;B761&amp;"_"&amp;C761&amp;D761&amp;"_"&amp;BasicInput!$D$7&amp;BasicInput!$D$8&amp;"_"&amp;DL761&amp;".xuf"</f>
        <v>C:\PWWORKING\east01\d2591108\Weave\__2019EX_PM_.xuf</v>
      </c>
    </row>
    <row r="762" spans="85:117" x14ac:dyDescent="0.2">
      <c r="CG762" s="18"/>
      <c r="CM762" s="18"/>
      <c r="DK762" s="31" t="str">
        <f t="shared" si="26"/>
        <v xml:space="preserve">  </v>
      </c>
      <c r="DL762" s="25" t="str">
        <f t="shared" si="27"/>
        <v/>
      </c>
      <c r="DM762" s="25" t="str">
        <f>BasicInput!$D$13&amp;$DM$2&amp;B762&amp;"_"&amp;C762&amp;D762&amp;"_"&amp;BasicInput!$D$7&amp;BasicInput!$D$8&amp;"_"&amp;DL762&amp;".xuf"</f>
        <v>C:\PWWORKING\east01\d2591108\Weave\__2019EX_PM_.xuf</v>
      </c>
    </row>
    <row r="763" spans="85:117" x14ac:dyDescent="0.2">
      <c r="CG763" s="18"/>
      <c r="CM763" s="18"/>
      <c r="DK763" s="31" t="str">
        <f t="shared" si="26"/>
        <v xml:space="preserve">  </v>
      </c>
      <c r="DL763" s="25" t="str">
        <f t="shared" si="27"/>
        <v/>
      </c>
      <c r="DM763" s="25" t="str">
        <f>BasicInput!$D$13&amp;$DM$2&amp;B763&amp;"_"&amp;C763&amp;D763&amp;"_"&amp;BasicInput!$D$7&amp;BasicInput!$D$8&amp;"_"&amp;DL763&amp;".xuf"</f>
        <v>C:\PWWORKING\east01\d2591108\Weave\__2019EX_PM_.xuf</v>
      </c>
    </row>
    <row r="764" spans="85:117" x14ac:dyDescent="0.2">
      <c r="CG764" s="18"/>
      <c r="CM764" s="18"/>
      <c r="DK764" s="31" t="str">
        <f t="shared" si="26"/>
        <v xml:space="preserve">  </v>
      </c>
      <c r="DL764" s="25" t="str">
        <f t="shared" si="27"/>
        <v/>
      </c>
      <c r="DM764" s="25" t="str">
        <f>BasicInput!$D$13&amp;$DM$2&amp;B764&amp;"_"&amp;C764&amp;D764&amp;"_"&amp;BasicInput!$D$7&amp;BasicInput!$D$8&amp;"_"&amp;DL764&amp;".xuf"</f>
        <v>C:\PWWORKING\east01\d2591108\Weave\__2019EX_PM_.xuf</v>
      </c>
    </row>
    <row r="765" spans="85:117" x14ac:dyDescent="0.2">
      <c r="CG765" s="18"/>
      <c r="CM765" s="18"/>
      <c r="DK765" s="31" t="str">
        <f t="shared" si="26"/>
        <v xml:space="preserve">  </v>
      </c>
      <c r="DL765" s="25" t="str">
        <f t="shared" si="27"/>
        <v/>
      </c>
      <c r="DM765" s="25" t="str">
        <f>BasicInput!$D$13&amp;$DM$2&amp;B765&amp;"_"&amp;C765&amp;D765&amp;"_"&amp;BasicInput!$D$7&amp;BasicInput!$D$8&amp;"_"&amp;DL765&amp;".xuf"</f>
        <v>C:\PWWORKING\east01\d2591108\Weave\__2019EX_PM_.xuf</v>
      </c>
    </row>
    <row r="766" spans="85:117" x14ac:dyDescent="0.2">
      <c r="CG766" s="18"/>
      <c r="CM766" s="18"/>
      <c r="DK766" s="31" t="str">
        <f t="shared" si="26"/>
        <v xml:space="preserve">  </v>
      </c>
      <c r="DL766" s="25" t="str">
        <f t="shared" si="27"/>
        <v/>
      </c>
      <c r="DM766" s="25" t="str">
        <f>BasicInput!$D$13&amp;$DM$2&amp;B766&amp;"_"&amp;C766&amp;D766&amp;"_"&amp;BasicInput!$D$7&amp;BasicInput!$D$8&amp;"_"&amp;DL766&amp;".xuf"</f>
        <v>C:\PWWORKING\east01\d2591108\Weave\__2019EX_PM_.xuf</v>
      </c>
    </row>
    <row r="767" spans="85:117" x14ac:dyDescent="0.2">
      <c r="CG767" s="18"/>
      <c r="CM767" s="18"/>
      <c r="DK767" s="31" t="str">
        <f t="shared" si="26"/>
        <v xml:space="preserve">  </v>
      </c>
      <c r="DL767" s="25" t="str">
        <f t="shared" si="27"/>
        <v/>
      </c>
      <c r="DM767" s="25" t="str">
        <f>BasicInput!$D$13&amp;$DM$2&amp;B767&amp;"_"&amp;C767&amp;D767&amp;"_"&amp;BasicInput!$D$7&amp;BasicInput!$D$8&amp;"_"&amp;DL767&amp;".xuf"</f>
        <v>C:\PWWORKING\east01\d2591108\Weave\__2019EX_PM_.xuf</v>
      </c>
    </row>
    <row r="768" spans="85:117" x14ac:dyDescent="0.2">
      <c r="CG768" s="18"/>
      <c r="CM768" s="18"/>
      <c r="DK768" s="31" t="str">
        <f t="shared" si="26"/>
        <v xml:space="preserve">  </v>
      </c>
      <c r="DL768" s="25" t="str">
        <f t="shared" si="27"/>
        <v/>
      </c>
      <c r="DM768" s="25" t="str">
        <f>BasicInput!$D$13&amp;$DM$2&amp;B768&amp;"_"&amp;C768&amp;D768&amp;"_"&amp;BasicInput!$D$7&amp;BasicInput!$D$8&amp;"_"&amp;DL768&amp;".xuf"</f>
        <v>C:\PWWORKING\east01\d2591108\Weave\__2019EX_PM_.xuf</v>
      </c>
    </row>
    <row r="769" spans="85:117" x14ac:dyDescent="0.2">
      <c r="CG769" s="18"/>
      <c r="CM769" s="18"/>
      <c r="DK769" s="31" t="str">
        <f t="shared" si="26"/>
        <v xml:space="preserve">  </v>
      </c>
      <c r="DL769" s="25" t="str">
        <f t="shared" si="27"/>
        <v/>
      </c>
      <c r="DM769" s="25" t="str">
        <f>BasicInput!$D$13&amp;$DM$2&amp;B769&amp;"_"&amp;C769&amp;D769&amp;"_"&amp;BasicInput!$D$7&amp;BasicInput!$D$8&amp;"_"&amp;DL769&amp;".xuf"</f>
        <v>C:\PWWORKING\east01\d2591108\Weave\__2019EX_PM_.xuf</v>
      </c>
    </row>
    <row r="770" spans="85:117" x14ac:dyDescent="0.2">
      <c r="CG770" s="18"/>
      <c r="CM770" s="18"/>
      <c r="DK770" s="31" t="str">
        <f t="shared" si="26"/>
        <v xml:space="preserve">  </v>
      </c>
      <c r="DL770" s="25" t="str">
        <f t="shared" si="27"/>
        <v/>
      </c>
      <c r="DM770" s="25" t="str">
        <f>BasicInput!$D$13&amp;$DM$2&amp;B770&amp;"_"&amp;C770&amp;D770&amp;"_"&amp;BasicInput!$D$7&amp;BasicInput!$D$8&amp;"_"&amp;DL770&amp;".xuf"</f>
        <v>C:\PWWORKING\east01\d2591108\Weave\__2019EX_PM_.xuf</v>
      </c>
    </row>
    <row r="771" spans="85:117" x14ac:dyDescent="0.2">
      <c r="CG771" s="18"/>
      <c r="CM771" s="18"/>
      <c r="DK771" s="31" t="str">
        <f t="shared" si="26"/>
        <v xml:space="preserve">  </v>
      </c>
      <c r="DL771" s="25" t="str">
        <f t="shared" si="27"/>
        <v/>
      </c>
      <c r="DM771" s="25" t="str">
        <f>BasicInput!$D$13&amp;$DM$2&amp;B771&amp;"_"&amp;C771&amp;D771&amp;"_"&amp;BasicInput!$D$7&amp;BasicInput!$D$8&amp;"_"&amp;DL771&amp;".xuf"</f>
        <v>C:\PWWORKING\east01\d2591108\Weave\__2019EX_PM_.xuf</v>
      </c>
    </row>
    <row r="772" spans="85:117" x14ac:dyDescent="0.2">
      <c r="CG772" s="18"/>
      <c r="CM772" s="18"/>
      <c r="DK772" s="31" t="str">
        <f t="shared" si="26"/>
        <v xml:space="preserve">  </v>
      </c>
      <c r="DL772" s="25" t="str">
        <f t="shared" si="27"/>
        <v/>
      </c>
      <c r="DM772" s="25" t="str">
        <f>BasicInput!$D$13&amp;$DM$2&amp;B772&amp;"_"&amp;C772&amp;D772&amp;"_"&amp;BasicInput!$D$7&amp;BasicInput!$D$8&amp;"_"&amp;DL772&amp;".xuf"</f>
        <v>C:\PWWORKING\east01\d2591108\Weave\__2019EX_PM_.xuf</v>
      </c>
    </row>
    <row r="773" spans="85:117" x14ac:dyDescent="0.2">
      <c r="CG773" s="18"/>
      <c r="CM773" s="18"/>
      <c r="DK773" s="31" t="str">
        <f t="shared" si="26"/>
        <v xml:space="preserve">  </v>
      </c>
      <c r="DL773" s="25" t="str">
        <f t="shared" si="27"/>
        <v/>
      </c>
      <c r="DM773" s="25" t="str">
        <f>BasicInput!$D$13&amp;$DM$2&amp;B773&amp;"_"&amp;C773&amp;D773&amp;"_"&amp;BasicInput!$D$7&amp;BasicInput!$D$8&amp;"_"&amp;DL773&amp;".xuf"</f>
        <v>C:\PWWORKING\east01\d2591108\Weave\__2019EX_PM_.xuf</v>
      </c>
    </row>
    <row r="774" spans="85:117" x14ac:dyDescent="0.2">
      <c r="CG774" s="18"/>
      <c r="CM774" s="18"/>
      <c r="DK774" s="31" t="str">
        <f t="shared" si="26"/>
        <v xml:space="preserve">  </v>
      </c>
      <c r="DL774" s="25" t="str">
        <f t="shared" si="27"/>
        <v/>
      </c>
      <c r="DM774" s="25" t="str">
        <f>BasicInput!$D$13&amp;$DM$2&amp;B774&amp;"_"&amp;C774&amp;D774&amp;"_"&amp;BasicInput!$D$7&amp;BasicInput!$D$8&amp;"_"&amp;DL774&amp;".xuf"</f>
        <v>C:\PWWORKING\east01\d2591108\Weave\__2019EX_PM_.xuf</v>
      </c>
    </row>
    <row r="775" spans="85:117" x14ac:dyDescent="0.2">
      <c r="CG775" s="18"/>
      <c r="CM775" s="18"/>
      <c r="DK775" s="31" t="str">
        <f t="shared" si="26"/>
        <v xml:space="preserve">  </v>
      </c>
      <c r="DL775" s="25" t="str">
        <f t="shared" si="27"/>
        <v/>
      </c>
      <c r="DM775" s="25" t="str">
        <f>BasicInput!$D$13&amp;$DM$2&amp;B775&amp;"_"&amp;C775&amp;D775&amp;"_"&amp;BasicInput!$D$7&amp;BasicInput!$D$8&amp;"_"&amp;DL775&amp;".xuf"</f>
        <v>C:\PWWORKING\east01\d2591108\Weave\__2019EX_PM_.xuf</v>
      </c>
    </row>
    <row r="776" spans="85:117" x14ac:dyDescent="0.2">
      <c r="CG776" s="18"/>
      <c r="CM776" s="18"/>
      <c r="DK776" s="31" t="str">
        <f t="shared" si="26"/>
        <v xml:space="preserve">  </v>
      </c>
      <c r="DL776" s="25" t="str">
        <f t="shared" si="27"/>
        <v/>
      </c>
      <c r="DM776" s="25" t="str">
        <f>BasicInput!$D$13&amp;$DM$2&amp;B776&amp;"_"&amp;C776&amp;D776&amp;"_"&amp;BasicInput!$D$7&amp;BasicInput!$D$8&amp;"_"&amp;DL776&amp;".xuf"</f>
        <v>C:\PWWORKING\east01\d2591108\Weave\__2019EX_PM_.xuf</v>
      </c>
    </row>
    <row r="777" spans="85:117" x14ac:dyDescent="0.2">
      <c r="CG777" s="18"/>
      <c r="CM777" s="18"/>
      <c r="DK777" s="31" t="str">
        <f t="shared" si="26"/>
        <v xml:space="preserve">  </v>
      </c>
      <c r="DL777" s="25" t="str">
        <f t="shared" si="27"/>
        <v/>
      </c>
      <c r="DM777" s="25" t="str">
        <f>BasicInput!$D$13&amp;$DM$2&amp;B777&amp;"_"&amp;C777&amp;D777&amp;"_"&amp;BasicInput!$D$7&amp;BasicInput!$D$8&amp;"_"&amp;DL777&amp;".xuf"</f>
        <v>C:\PWWORKING\east01\d2591108\Weave\__2019EX_PM_.xuf</v>
      </c>
    </row>
    <row r="778" spans="85:117" x14ac:dyDescent="0.2">
      <c r="CG778" s="18"/>
      <c r="CM778" s="18"/>
      <c r="DK778" s="31" t="str">
        <f t="shared" si="26"/>
        <v xml:space="preserve">  </v>
      </c>
      <c r="DL778" s="25" t="str">
        <f t="shared" si="27"/>
        <v/>
      </c>
      <c r="DM778" s="25" t="str">
        <f>BasicInput!$D$13&amp;$DM$2&amp;B778&amp;"_"&amp;C778&amp;D778&amp;"_"&amp;BasicInput!$D$7&amp;BasicInput!$D$8&amp;"_"&amp;DL778&amp;".xuf"</f>
        <v>C:\PWWORKING\east01\d2591108\Weave\__2019EX_PM_.xuf</v>
      </c>
    </row>
    <row r="779" spans="85:117" x14ac:dyDescent="0.2">
      <c r="CG779" s="18"/>
      <c r="CM779" s="18"/>
      <c r="DK779" s="31" t="str">
        <f t="shared" si="26"/>
        <v xml:space="preserve">  </v>
      </c>
      <c r="DL779" s="25" t="str">
        <f t="shared" si="27"/>
        <v/>
      </c>
      <c r="DM779" s="25" t="str">
        <f>BasicInput!$D$13&amp;$DM$2&amp;B779&amp;"_"&amp;C779&amp;D779&amp;"_"&amp;BasicInput!$D$7&amp;BasicInput!$D$8&amp;"_"&amp;DL779&amp;".xuf"</f>
        <v>C:\PWWORKING\east01\d2591108\Weave\__2019EX_PM_.xuf</v>
      </c>
    </row>
    <row r="780" spans="85:117" x14ac:dyDescent="0.2">
      <c r="CG780" s="18"/>
      <c r="CM780" s="18"/>
      <c r="DK780" s="31" t="str">
        <f t="shared" ref="DK780:DK843" si="28">C780&amp; " "&amp;D780&amp;" " &amp;E780</f>
        <v xml:space="preserve">  </v>
      </c>
      <c r="DL780" s="25" t="str">
        <f t="shared" ref="DL780:DL843" si="29">TRIM(LEFT(E780, 30))</f>
        <v/>
      </c>
      <c r="DM780" s="25" t="str">
        <f>BasicInput!$D$13&amp;$DM$2&amp;B780&amp;"_"&amp;C780&amp;D780&amp;"_"&amp;BasicInput!$D$7&amp;BasicInput!$D$8&amp;"_"&amp;DL780&amp;".xuf"</f>
        <v>C:\PWWORKING\east01\d2591108\Weave\__2019EX_PM_.xuf</v>
      </c>
    </row>
    <row r="781" spans="85:117" x14ac:dyDescent="0.2">
      <c r="CG781" s="18"/>
      <c r="CM781" s="18"/>
      <c r="DK781" s="31" t="str">
        <f t="shared" si="28"/>
        <v xml:space="preserve">  </v>
      </c>
      <c r="DL781" s="25" t="str">
        <f t="shared" si="29"/>
        <v/>
      </c>
      <c r="DM781" s="25" t="str">
        <f>BasicInput!$D$13&amp;$DM$2&amp;B781&amp;"_"&amp;C781&amp;D781&amp;"_"&amp;BasicInput!$D$7&amp;BasicInput!$D$8&amp;"_"&amp;DL781&amp;".xuf"</f>
        <v>C:\PWWORKING\east01\d2591108\Weave\__2019EX_PM_.xuf</v>
      </c>
    </row>
    <row r="782" spans="85:117" x14ac:dyDescent="0.2">
      <c r="CG782" s="18"/>
      <c r="CM782" s="18"/>
      <c r="DK782" s="31" t="str">
        <f t="shared" si="28"/>
        <v xml:space="preserve">  </v>
      </c>
      <c r="DL782" s="25" t="str">
        <f t="shared" si="29"/>
        <v/>
      </c>
      <c r="DM782" s="25" t="str">
        <f>BasicInput!$D$13&amp;$DM$2&amp;B782&amp;"_"&amp;C782&amp;D782&amp;"_"&amp;BasicInput!$D$7&amp;BasicInput!$D$8&amp;"_"&amp;DL782&amp;".xuf"</f>
        <v>C:\PWWORKING\east01\d2591108\Weave\__2019EX_PM_.xuf</v>
      </c>
    </row>
    <row r="783" spans="85:117" x14ac:dyDescent="0.2">
      <c r="CG783" s="18"/>
      <c r="CM783" s="18"/>
      <c r="DK783" s="31" t="str">
        <f t="shared" si="28"/>
        <v xml:space="preserve">  </v>
      </c>
      <c r="DL783" s="25" t="str">
        <f t="shared" si="29"/>
        <v/>
      </c>
      <c r="DM783" s="25" t="str">
        <f>BasicInput!$D$13&amp;$DM$2&amp;B783&amp;"_"&amp;C783&amp;D783&amp;"_"&amp;BasicInput!$D$7&amp;BasicInput!$D$8&amp;"_"&amp;DL783&amp;".xuf"</f>
        <v>C:\PWWORKING\east01\d2591108\Weave\__2019EX_PM_.xuf</v>
      </c>
    </row>
    <row r="784" spans="85:117" x14ac:dyDescent="0.2">
      <c r="CG784" s="18"/>
      <c r="CM784" s="18"/>
      <c r="DK784" s="31" t="str">
        <f t="shared" si="28"/>
        <v xml:space="preserve">  </v>
      </c>
      <c r="DL784" s="25" t="str">
        <f t="shared" si="29"/>
        <v/>
      </c>
      <c r="DM784" s="25" t="str">
        <f>BasicInput!$D$13&amp;$DM$2&amp;B784&amp;"_"&amp;C784&amp;D784&amp;"_"&amp;BasicInput!$D$7&amp;BasicInput!$D$8&amp;"_"&amp;DL784&amp;".xuf"</f>
        <v>C:\PWWORKING\east01\d2591108\Weave\__2019EX_PM_.xuf</v>
      </c>
    </row>
    <row r="785" spans="85:117" x14ac:dyDescent="0.2">
      <c r="CG785" s="18"/>
      <c r="CM785" s="18"/>
      <c r="DK785" s="31" t="str">
        <f t="shared" si="28"/>
        <v xml:space="preserve">  </v>
      </c>
      <c r="DL785" s="25" t="str">
        <f t="shared" si="29"/>
        <v/>
      </c>
      <c r="DM785" s="25" t="str">
        <f>BasicInput!$D$13&amp;$DM$2&amp;B785&amp;"_"&amp;C785&amp;D785&amp;"_"&amp;BasicInput!$D$7&amp;BasicInput!$D$8&amp;"_"&amp;DL785&amp;".xuf"</f>
        <v>C:\PWWORKING\east01\d2591108\Weave\__2019EX_PM_.xuf</v>
      </c>
    </row>
    <row r="786" spans="85:117" x14ac:dyDescent="0.2">
      <c r="CG786" s="18"/>
      <c r="CM786" s="18"/>
      <c r="DK786" s="31" t="str">
        <f t="shared" si="28"/>
        <v xml:space="preserve">  </v>
      </c>
      <c r="DL786" s="25" t="str">
        <f t="shared" si="29"/>
        <v/>
      </c>
      <c r="DM786" s="25" t="str">
        <f>BasicInput!$D$13&amp;$DM$2&amp;B786&amp;"_"&amp;C786&amp;D786&amp;"_"&amp;BasicInput!$D$7&amp;BasicInput!$D$8&amp;"_"&amp;DL786&amp;".xuf"</f>
        <v>C:\PWWORKING\east01\d2591108\Weave\__2019EX_PM_.xuf</v>
      </c>
    </row>
    <row r="787" spans="85:117" x14ac:dyDescent="0.2">
      <c r="CG787" s="18"/>
      <c r="CM787" s="18"/>
      <c r="DK787" s="31" t="str">
        <f t="shared" si="28"/>
        <v xml:space="preserve">  </v>
      </c>
      <c r="DL787" s="25" t="str">
        <f t="shared" si="29"/>
        <v/>
      </c>
      <c r="DM787" s="25" t="str">
        <f>BasicInput!$D$13&amp;$DM$2&amp;B787&amp;"_"&amp;C787&amp;D787&amp;"_"&amp;BasicInput!$D$7&amp;BasicInput!$D$8&amp;"_"&amp;DL787&amp;".xuf"</f>
        <v>C:\PWWORKING\east01\d2591108\Weave\__2019EX_PM_.xuf</v>
      </c>
    </row>
    <row r="788" spans="85:117" x14ac:dyDescent="0.2">
      <c r="CG788" s="18"/>
      <c r="CM788" s="18"/>
      <c r="DK788" s="31" t="str">
        <f t="shared" si="28"/>
        <v xml:space="preserve">  </v>
      </c>
      <c r="DL788" s="25" t="str">
        <f t="shared" si="29"/>
        <v/>
      </c>
      <c r="DM788" s="25" t="str">
        <f>BasicInput!$D$13&amp;$DM$2&amp;B788&amp;"_"&amp;C788&amp;D788&amp;"_"&amp;BasicInput!$D$7&amp;BasicInput!$D$8&amp;"_"&amp;DL788&amp;".xuf"</f>
        <v>C:\PWWORKING\east01\d2591108\Weave\__2019EX_PM_.xuf</v>
      </c>
    </row>
    <row r="789" spans="85:117" x14ac:dyDescent="0.2">
      <c r="CG789" s="18"/>
      <c r="CM789" s="18"/>
      <c r="DK789" s="31" t="str">
        <f t="shared" si="28"/>
        <v xml:space="preserve">  </v>
      </c>
      <c r="DL789" s="25" t="str">
        <f t="shared" si="29"/>
        <v/>
      </c>
      <c r="DM789" s="25" t="str">
        <f>BasicInput!$D$13&amp;$DM$2&amp;B789&amp;"_"&amp;C789&amp;D789&amp;"_"&amp;BasicInput!$D$7&amp;BasicInput!$D$8&amp;"_"&amp;DL789&amp;".xuf"</f>
        <v>C:\PWWORKING\east01\d2591108\Weave\__2019EX_PM_.xuf</v>
      </c>
    </row>
    <row r="790" spans="85:117" x14ac:dyDescent="0.2">
      <c r="CG790" s="18"/>
      <c r="CM790" s="18"/>
      <c r="DK790" s="31" t="str">
        <f t="shared" si="28"/>
        <v xml:space="preserve">  </v>
      </c>
      <c r="DL790" s="25" t="str">
        <f t="shared" si="29"/>
        <v/>
      </c>
      <c r="DM790" s="25" t="str">
        <f>BasicInput!$D$13&amp;$DM$2&amp;B790&amp;"_"&amp;C790&amp;D790&amp;"_"&amp;BasicInput!$D$7&amp;BasicInput!$D$8&amp;"_"&amp;DL790&amp;".xuf"</f>
        <v>C:\PWWORKING\east01\d2591108\Weave\__2019EX_PM_.xuf</v>
      </c>
    </row>
    <row r="791" spans="85:117" x14ac:dyDescent="0.2">
      <c r="CG791" s="18"/>
      <c r="CM791" s="18"/>
      <c r="DK791" s="31" t="str">
        <f t="shared" si="28"/>
        <v xml:space="preserve">  </v>
      </c>
      <c r="DL791" s="25" t="str">
        <f t="shared" si="29"/>
        <v/>
      </c>
      <c r="DM791" s="25" t="str">
        <f>BasicInput!$D$13&amp;$DM$2&amp;B791&amp;"_"&amp;C791&amp;D791&amp;"_"&amp;BasicInput!$D$7&amp;BasicInput!$D$8&amp;"_"&amp;DL791&amp;".xuf"</f>
        <v>C:\PWWORKING\east01\d2591108\Weave\__2019EX_PM_.xuf</v>
      </c>
    </row>
    <row r="792" spans="85:117" x14ac:dyDescent="0.2">
      <c r="CG792" s="18"/>
      <c r="CM792" s="18"/>
      <c r="DK792" s="31" t="str">
        <f t="shared" si="28"/>
        <v xml:space="preserve">  </v>
      </c>
      <c r="DL792" s="25" t="str">
        <f t="shared" si="29"/>
        <v/>
      </c>
      <c r="DM792" s="25" t="str">
        <f>BasicInput!$D$13&amp;$DM$2&amp;B792&amp;"_"&amp;C792&amp;D792&amp;"_"&amp;BasicInput!$D$7&amp;BasicInput!$D$8&amp;"_"&amp;DL792&amp;".xuf"</f>
        <v>C:\PWWORKING\east01\d2591108\Weave\__2019EX_PM_.xuf</v>
      </c>
    </row>
    <row r="793" spans="85:117" x14ac:dyDescent="0.2">
      <c r="CG793" s="18"/>
      <c r="CM793" s="18"/>
      <c r="DK793" s="31" t="str">
        <f t="shared" si="28"/>
        <v xml:space="preserve">  </v>
      </c>
      <c r="DL793" s="25" t="str">
        <f t="shared" si="29"/>
        <v/>
      </c>
      <c r="DM793" s="25" t="str">
        <f>BasicInput!$D$13&amp;$DM$2&amp;B793&amp;"_"&amp;C793&amp;D793&amp;"_"&amp;BasicInput!$D$7&amp;BasicInput!$D$8&amp;"_"&amp;DL793&amp;".xuf"</f>
        <v>C:\PWWORKING\east01\d2591108\Weave\__2019EX_PM_.xuf</v>
      </c>
    </row>
    <row r="794" spans="85:117" x14ac:dyDescent="0.2">
      <c r="CG794" s="18"/>
      <c r="CM794" s="18"/>
      <c r="DK794" s="31" t="str">
        <f t="shared" si="28"/>
        <v xml:space="preserve">  </v>
      </c>
      <c r="DL794" s="25" t="str">
        <f t="shared" si="29"/>
        <v/>
      </c>
      <c r="DM794" s="25" t="str">
        <f>BasicInput!$D$13&amp;$DM$2&amp;B794&amp;"_"&amp;C794&amp;D794&amp;"_"&amp;BasicInput!$D$7&amp;BasicInput!$D$8&amp;"_"&amp;DL794&amp;".xuf"</f>
        <v>C:\PWWORKING\east01\d2591108\Weave\__2019EX_PM_.xuf</v>
      </c>
    </row>
    <row r="795" spans="85:117" x14ac:dyDescent="0.2">
      <c r="CG795" s="18"/>
      <c r="CM795" s="18"/>
      <c r="DK795" s="31" t="str">
        <f t="shared" si="28"/>
        <v xml:space="preserve">  </v>
      </c>
      <c r="DL795" s="25" t="str">
        <f t="shared" si="29"/>
        <v/>
      </c>
      <c r="DM795" s="25" t="str">
        <f>BasicInput!$D$13&amp;$DM$2&amp;B795&amp;"_"&amp;C795&amp;D795&amp;"_"&amp;BasicInput!$D$7&amp;BasicInput!$D$8&amp;"_"&amp;DL795&amp;".xuf"</f>
        <v>C:\PWWORKING\east01\d2591108\Weave\__2019EX_PM_.xuf</v>
      </c>
    </row>
    <row r="796" spans="85:117" x14ac:dyDescent="0.2">
      <c r="CG796" s="18"/>
      <c r="CM796" s="18"/>
      <c r="DK796" s="31" t="str">
        <f t="shared" si="28"/>
        <v xml:space="preserve">  </v>
      </c>
      <c r="DL796" s="25" t="str">
        <f t="shared" si="29"/>
        <v/>
      </c>
      <c r="DM796" s="25" t="str">
        <f>BasicInput!$D$13&amp;$DM$2&amp;B796&amp;"_"&amp;C796&amp;D796&amp;"_"&amp;BasicInput!$D$7&amp;BasicInput!$D$8&amp;"_"&amp;DL796&amp;".xuf"</f>
        <v>C:\PWWORKING\east01\d2591108\Weave\__2019EX_PM_.xuf</v>
      </c>
    </row>
    <row r="797" spans="85:117" x14ac:dyDescent="0.2">
      <c r="CG797" s="18"/>
      <c r="CM797" s="18"/>
      <c r="DK797" s="31" t="str">
        <f t="shared" si="28"/>
        <v xml:space="preserve">  </v>
      </c>
      <c r="DL797" s="25" t="str">
        <f t="shared" si="29"/>
        <v/>
      </c>
      <c r="DM797" s="25" t="str">
        <f>BasicInput!$D$13&amp;$DM$2&amp;B797&amp;"_"&amp;C797&amp;D797&amp;"_"&amp;BasicInput!$D$7&amp;BasicInput!$D$8&amp;"_"&amp;DL797&amp;".xuf"</f>
        <v>C:\PWWORKING\east01\d2591108\Weave\__2019EX_PM_.xuf</v>
      </c>
    </row>
    <row r="798" spans="85:117" x14ac:dyDescent="0.2">
      <c r="CG798" s="18"/>
      <c r="CM798" s="18"/>
      <c r="DK798" s="31" t="str">
        <f t="shared" si="28"/>
        <v xml:space="preserve">  </v>
      </c>
      <c r="DL798" s="25" t="str">
        <f t="shared" si="29"/>
        <v/>
      </c>
      <c r="DM798" s="25" t="str">
        <f>BasicInput!$D$13&amp;$DM$2&amp;B798&amp;"_"&amp;C798&amp;D798&amp;"_"&amp;BasicInput!$D$7&amp;BasicInput!$D$8&amp;"_"&amp;DL798&amp;".xuf"</f>
        <v>C:\PWWORKING\east01\d2591108\Weave\__2019EX_PM_.xuf</v>
      </c>
    </row>
    <row r="799" spans="85:117" x14ac:dyDescent="0.2">
      <c r="CG799" s="18"/>
      <c r="CM799" s="18"/>
      <c r="DK799" s="31" t="str">
        <f t="shared" si="28"/>
        <v xml:space="preserve">  </v>
      </c>
      <c r="DL799" s="25" t="str">
        <f t="shared" si="29"/>
        <v/>
      </c>
      <c r="DM799" s="25" t="str">
        <f>BasicInput!$D$13&amp;$DM$2&amp;B799&amp;"_"&amp;C799&amp;D799&amp;"_"&amp;BasicInput!$D$7&amp;BasicInput!$D$8&amp;"_"&amp;DL799&amp;".xuf"</f>
        <v>C:\PWWORKING\east01\d2591108\Weave\__2019EX_PM_.xuf</v>
      </c>
    </row>
    <row r="800" spans="85:117" x14ac:dyDescent="0.2">
      <c r="CG800" s="18"/>
      <c r="CM800" s="18"/>
      <c r="DK800" s="31" t="str">
        <f t="shared" si="28"/>
        <v xml:space="preserve">  </v>
      </c>
      <c r="DL800" s="25" t="str">
        <f t="shared" si="29"/>
        <v/>
      </c>
      <c r="DM800" s="25" t="str">
        <f>BasicInput!$D$13&amp;$DM$2&amp;B800&amp;"_"&amp;C800&amp;D800&amp;"_"&amp;BasicInput!$D$7&amp;BasicInput!$D$8&amp;"_"&amp;DL800&amp;".xuf"</f>
        <v>C:\PWWORKING\east01\d2591108\Weave\__2019EX_PM_.xuf</v>
      </c>
    </row>
    <row r="801" spans="85:117" x14ac:dyDescent="0.2">
      <c r="CG801" s="18"/>
      <c r="CM801" s="18"/>
      <c r="DK801" s="31" t="str">
        <f t="shared" si="28"/>
        <v xml:space="preserve">  </v>
      </c>
      <c r="DL801" s="25" t="str">
        <f t="shared" si="29"/>
        <v/>
      </c>
      <c r="DM801" s="25" t="str">
        <f>BasicInput!$D$13&amp;$DM$2&amp;B801&amp;"_"&amp;C801&amp;D801&amp;"_"&amp;BasicInput!$D$7&amp;BasicInput!$D$8&amp;"_"&amp;DL801&amp;".xuf"</f>
        <v>C:\PWWORKING\east01\d2591108\Weave\__2019EX_PM_.xuf</v>
      </c>
    </row>
    <row r="802" spans="85:117" x14ac:dyDescent="0.2">
      <c r="CG802" s="18"/>
      <c r="CM802" s="18"/>
      <c r="DK802" s="31" t="str">
        <f t="shared" si="28"/>
        <v xml:space="preserve">  </v>
      </c>
      <c r="DL802" s="25" t="str">
        <f t="shared" si="29"/>
        <v/>
      </c>
      <c r="DM802" s="25" t="str">
        <f>BasicInput!$D$13&amp;$DM$2&amp;B802&amp;"_"&amp;C802&amp;D802&amp;"_"&amp;BasicInput!$D$7&amp;BasicInput!$D$8&amp;"_"&amp;DL802&amp;".xuf"</f>
        <v>C:\PWWORKING\east01\d2591108\Weave\__2019EX_PM_.xuf</v>
      </c>
    </row>
    <row r="803" spans="85:117" x14ac:dyDescent="0.2">
      <c r="CG803" s="18"/>
      <c r="CM803" s="18"/>
      <c r="DK803" s="31" t="str">
        <f t="shared" si="28"/>
        <v xml:space="preserve">  </v>
      </c>
      <c r="DL803" s="25" t="str">
        <f t="shared" si="29"/>
        <v/>
      </c>
      <c r="DM803" s="25" t="str">
        <f>BasicInput!$D$13&amp;$DM$2&amp;B803&amp;"_"&amp;C803&amp;D803&amp;"_"&amp;BasicInput!$D$7&amp;BasicInput!$D$8&amp;"_"&amp;DL803&amp;".xuf"</f>
        <v>C:\PWWORKING\east01\d2591108\Weave\__2019EX_PM_.xuf</v>
      </c>
    </row>
    <row r="804" spans="85:117" x14ac:dyDescent="0.2">
      <c r="CG804" s="18"/>
      <c r="CM804" s="18"/>
      <c r="DK804" s="31" t="str">
        <f t="shared" si="28"/>
        <v xml:space="preserve">  </v>
      </c>
      <c r="DL804" s="25" t="str">
        <f t="shared" si="29"/>
        <v/>
      </c>
      <c r="DM804" s="25" t="str">
        <f>BasicInput!$D$13&amp;$DM$2&amp;B804&amp;"_"&amp;C804&amp;D804&amp;"_"&amp;BasicInput!$D$7&amp;BasicInput!$D$8&amp;"_"&amp;DL804&amp;".xuf"</f>
        <v>C:\PWWORKING\east01\d2591108\Weave\__2019EX_PM_.xuf</v>
      </c>
    </row>
    <row r="805" spans="85:117" x14ac:dyDescent="0.2">
      <c r="CG805" s="18"/>
      <c r="CM805" s="18"/>
      <c r="DK805" s="31" t="str">
        <f t="shared" si="28"/>
        <v xml:space="preserve">  </v>
      </c>
      <c r="DL805" s="25" t="str">
        <f t="shared" si="29"/>
        <v/>
      </c>
      <c r="DM805" s="25" t="str">
        <f>BasicInput!$D$13&amp;$DM$2&amp;B805&amp;"_"&amp;C805&amp;D805&amp;"_"&amp;BasicInput!$D$7&amp;BasicInput!$D$8&amp;"_"&amp;DL805&amp;".xuf"</f>
        <v>C:\PWWORKING\east01\d2591108\Weave\__2019EX_PM_.xuf</v>
      </c>
    </row>
    <row r="806" spans="85:117" x14ac:dyDescent="0.2">
      <c r="CG806" s="18"/>
      <c r="CM806" s="18"/>
      <c r="DK806" s="31" t="str">
        <f t="shared" si="28"/>
        <v xml:space="preserve">  </v>
      </c>
      <c r="DL806" s="25" t="str">
        <f t="shared" si="29"/>
        <v/>
      </c>
      <c r="DM806" s="25" t="str">
        <f>BasicInput!$D$13&amp;$DM$2&amp;B806&amp;"_"&amp;C806&amp;D806&amp;"_"&amp;BasicInput!$D$7&amp;BasicInput!$D$8&amp;"_"&amp;DL806&amp;".xuf"</f>
        <v>C:\PWWORKING\east01\d2591108\Weave\__2019EX_PM_.xuf</v>
      </c>
    </row>
    <row r="807" spans="85:117" x14ac:dyDescent="0.2">
      <c r="CG807" s="18"/>
      <c r="CM807" s="18"/>
      <c r="DK807" s="31" t="str">
        <f t="shared" si="28"/>
        <v xml:space="preserve">  </v>
      </c>
      <c r="DL807" s="25" t="str">
        <f t="shared" si="29"/>
        <v/>
      </c>
      <c r="DM807" s="25" t="str">
        <f>BasicInput!$D$13&amp;$DM$2&amp;B807&amp;"_"&amp;C807&amp;D807&amp;"_"&amp;BasicInput!$D$7&amp;BasicInput!$D$8&amp;"_"&amp;DL807&amp;".xuf"</f>
        <v>C:\PWWORKING\east01\d2591108\Weave\__2019EX_PM_.xuf</v>
      </c>
    </row>
    <row r="808" spans="85:117" x14ac:dyDescent="0.2">
      <c r="CG808" s="18"/>
      <c r="CM808" s="18"/>
      <c r="DK808" s="31" t="str">
        <f t="shared" si="28"/>
        <v xml:space="preserve">  </v>
      </c>
      <c r="DL808" s="25" t="str">
        <f t="shared" si="29"/>
        <v/>
      </c>
      <c r="DM808" s="25" t="str">
        <f>BasicInput!$D$13&amp;$DM$2&amp;B808&amp;"_"&amp;C808&amp;D808&amp;"_"&amp;BasicInput!$D$7&amp;BasicInput!$D$8&amp;"_"&amp;DL808&amp;".xuf"</f>
        <v>C:\PWWORKING\east01\d2591108\Weave\__2019EX_PM_.xuf</v>
      </c>
    </row>
    <row r="809" spans="85:117" x14ac:dyDescent="0.2">
      <c r="CG809" s="18"/>
      <c r="CM809" s="18"/>
      <c r="DK809" s="31" t="str">
        <f t="shared" si="28"/>
        <v xml:space="preserve">  </v>
      </c>
      <c r="DL809" s="25" t="str">
        <f t="shared" si="29"/>
        <v/>
      </c>
      <c r="DM809" s="25" t="str">
        <f>BasicInput!$D$13&amp;$DM$2&amp;B809&amp;"_"&amp;C809&amp;D809&amp;"_"&amp;BasicInput!$D$7&amp;BasicInput!$D$8&amp;"_"&amp;DL809&amp;".xuf"</f>
        <v>C:\PWWORKING\east01\d2591108\Weave\__2019EX_PM_.xuf</v>
      </c>
    </row>
    <row r="810" spans="85:117" x14ac:dyDescent="0.2">
      <c r="CG810" s="18"/>
      <c r="CM810" s="18"/>
      <c r="DK810" s="31" t="str">
        <f t="shared" si="28"/>
        <v xml:space="preserve">  </v>
      </c>
      <c r="DL810" s="25" t="str">
        <f t="shared" si="29"/>
        <v/>
      </c>
      <c r="DM810" s="25" t="str">
        <f>BasicInput!$D$13&amp;$DM$2&amp;B810&amp;"_"&amp;C810&amp;D810&amp;"_"&amp;BasicInput!$D$7&amp;BasicInput!$D$8&amp;"_"&amp;DL810&amp;".xuf"</f>
        <v>C:\PWWORKING\east01\d2591108\Weave\__2019EX_PM_.xuf</v>
      </c>
    </row>
    <row r="811" spans="85:117" x14ac:dyDescent="0.2">
      <c r="CG811" s="18"/>
      <c r="CM811" s="18"/>
      <c r="DK811" s="31" t="str">
        <f t="shared" si="28"/>
        <v xml:space="preserve">  </v>
      </c>
      <c r="DL811" s="25" t="str">
        <f t="shared" si="29"/>
        <v/>
      </c>
      <c r="DM811" s="25" t="str">
        <f>BasicInput!$D$13&amp;$DM$2&amp;B811&amp;"_"&amp;C811&amp;D811&amp;"_"&amp;BasicInput!$D$7&amp;BasicInput!$D$8&amp;"_"&amp;DL811&amp;".xuf"</f>
        <v>C:\PWWORKING\east01\d2591108\Weave\__2019EX_PM_.xuf</v>
      </c>
    </row>
    <row r="812" spans="85:117" x14ac:dyDescent="0.2">
      <c r="CG812" s="18"/>
      <c r="CM812" s="18"/>
      <c r="DK812" s="31" t="str">
        <f t="shared" si="28"/>
        <v xml:space="preserve">  </v>
      </c>
      <c r="DL812" s="25" t="str">
        <f t="shared" si="29"/>
        <v/>
      </c>
      <c r="DM812" s="25" t="str">
        <f>BasicInput!$D$13&amp;$DM$2&amp;B812&amp;"_"&amp;C812&amp;D812&amp;"_"&amp;BasicInput!$D$7&amp;BasicInput!$D$8&amp;"_"&amp;DL812&amp;".xuf"</f>
        <v>C:\PWWORKING\east01\d2591108\Weave\__2019EX_PM_.xuf</v>
      </c>
    </row>
    <row r="813" spans="85:117" x14ac:dyDescent="0.2">
      <c r="CG813" s="18"/>
      <c r="CM813" s="18"/>
      <c r="DK813" s="31" t="str">
        <f t="shared" si="28"/>
        <v xml:space="preserve">  </v>
      </c>
      <c r="DL813" s="25" t="str">
        <f t="shared" si="29"/>
        <v/>
      </c>
      <c r="DM813" s="25" t="str">
        <f>BasicInput!$D$13&amp;$DM$2&amp;B813&amp;"_"&amp;C813&amp;D813&amp;"_"&amp;BasicInput!$D$7&amp;BasicInput!$D$8&amp;"_"&amp;DL813&amp;".xuf"</f>
        <v>C:\PWWORKING\east01\d2591108\Weave\__2019EX_PM_.xuf</v>
      </c>
    </row>
    <row r="814" spans="85:117" x14ac:dyDescent="0.2">
      <c r="CG814" s="18"/>
      <c r="CM814" s="18"/>
      <c r="DK814" s="31" t="str">
        <f t="shared" si="28"/>
        <v xml:space="preserve">  </v>
      </c>
      <c r="DL814" s="25" t="str">
        <f t="shared" si="29"/>
        <v/>
      </c>
      <c r="DM814" s="25" t="str">
        <f>BasicInput!$D$13&amp;$DM$2&amp;B814&amp;"_"&amp;C814&amp;D814&amp;"_"&amp;BasicInput!$D$7&amp;BasicInput!$D$8&amp;"_"&amp;DL814&amp;".xuf"</f>
        <v>C:\PWWORKING\east01\d2591108\Weave\__2019EX_PM_.xuf</v>
      </c>
    </row>
    <row r="815" spans="85:117" x14ac:dyDescent="0.2">
      <c r="CG815" s="18"/>
      <c r="CM815" s="18"/>
      <c r="DK815" s="31" t="str">
        <f t="shared" si="28"/>
        <v xml:space="preserve">  </v>
      </c>
      <c r="DL815" s="25" t="str">
        <f t="shared" si="29"/>
        <v/>
      </c>
      <c r="DM815" s="25" t="str">
        <f>BasicInput!$D$13&amp;$DM$2&amp;B815&amp;"_"&amp;C815&amp;D815&amp;"_"&amp;BasicInput!$D$7&amp;BasicInput!$D$8&amp;"_"&amp;DL815&amp;".xuf"</f>
        <v>C:\PWWORKING\east01\d2591108\Weave\__2019EX_PM_.xuf</v>
      </c>
    </row>
    <row r="816" spans="85:117" x14ac:dyDescent="0.2">
      <c r="CG816" s="18"/>
      <c r="CM816" s="18"/>
      <c r="DK816" s="31" t="str">
        <f t="shared" si="28"/>
        <v xml:space="preserve">  </v>
      </c>
      <c r="DL816" s="25" t="str">
        <f t="shared" si="29"/>
        <v/>
      </c>
      <c r="DM816" s="25" t="str">
        <f>BasicInput!$D$13&amp;$DM$2&amp;B816&amp;"_"&amp;C816&amp;D816&amp;"_"&amp;BasicInput!$D$7&amp;BasicInput!$D$8&amp;"_"&amp;DL816&amp;".xuf"</f>
        <v>C:\PWWORKING\east01\d2591108\Weave\__2019EX_PM_.xuf</v>
      </c>
    </row>
    <row r="817" spans="85:117" x14ac:dyDescent="0.2">
      <c r="CG817" s="18"/>
      <c r="CM817" s="18"/>
      <c r="DK817" s="31" t="str">
        <f t="shared" si="28"/>
        <v xml:space="preserve">  </v>
      </c>
      <c r="DL817" s="25" t="str">
        <f t="shared" si="29"/>
        <v/>
      </c>
      <c r="DM817" s="25" t="str">
        <f>BasicInput!$D$13&amp;$DM$2&amp;B817&amp;"_"&amp;C817&amp;D817&amp;"_"&amp;BasicInput!$D$7&amp;BasicInput!$D$8&amp;"_"&amp;DL817&amp;".xuf"</f>
        <v>C:\PWWORKING\east01\d2591108\Weave\__2019EX_PM_.xuf</v>
      </c>
    </row>
    <row r="818" spans="85:117" x14ac:dyDescent="0.2">
      <c r="CG818" s="18"/>
      <c r="CM818" s="18"/>
      <c r="DK818" s="31" t="str">
        <f t="shared" si="28"/>
        <v xml:space="preserve">  </v>
      </c>
      <c r="DL818" s="25" t="str">
        <f t="shared" si="29"/>
        <v/>
      </c>
      <c r="DM818" s="25" t="str">
        <f>BasicInput!$D$13&amp;$DM$2&amp;B818&amp;"_"&amp;C818&amp;D818&amp;"_"&amp;BasicInput!$D$7&amp;BasicInput!$D$8&amp;"_"&amp;DL818&amp;".xuf"</f>
        <v>C:\PWWORKING\east01\d2591108\Weave\__2019EX_PM_.xuf</v>
      </c>
    </row>
    <row r="819" spans="85:117" x14ac:dyDescent="0.2">
      <c r="CG819" s="18"/>
      <c r="CM819" s="18"/>
      <c r="DK819" s="31" t="str">
        <f t="shared" si="28"/>
        <v xml:space="preserve">  </v>
      </c>
      <c r="DL819" s="25" t="str">
        <f t="shared" si="29"/>
        <v/>
      </c>
      <c r="DM819" s="25" t="str">
        <f>BasicInput!$D$13&amp;$DM$2&amp;B819&amp;"_"&amp;C819&amp;D819&amp;"_"&amp;BasicInput!$D$7&amp;BasicInput!$D$8&amp;"_"&amp;DL819&amp;".xuf"</f>
        <v>C:\PWWORKING\east01\d2591108\Weave\__2019EX_PM_.xuf</v>
      </c>
    </row>
    <row r="820" spans="85:117" x14ac:dyDescent="0.2">
      <c r="CG820" s="18"/>
      <c r="CM820" s="18"/>
      <c r="DK820" s="31" t="str">
        <f t="shared" si="28"/>
        <v xml:space="preserve">  </v>
      </c>
      <c r="DL820" s="25" t="str">
        <f t="shared" si="29"/>
        <v/>
      </c>
      <c r="DM820" s="25" t="str">
        <f>BasicInput!$D$13&amp;$DM$2&amp;B820&amp;"_"&amp;C820&amp;D820&amp;"_"&amp;BasicInput!$D$7&amp;BasicInput!$D$8&amp;"_"&amp;DL820&amp;".xuf"</f>
        <v>C:\PWWORKING\east01\d2591108\Weave\__2019EX_PM_.xuf</v>
      </c>
    </row>
    <row r="821" spans="85:117" x14ac:dyDescent="0.2">
      <c r="CG821" s="18"/>
      <c r="CM821" s="18"/>
      <c r="DK821" s="31" t="str">
        <f t="shared" si="28"/>
        <v xml:space="preserve">  </v>
      </c>
      <c r="DL821" s="25" t="str">
        <f t="shared" si="29"/>
        <v/>
      </c>
      <c r="DM821" s="25" t="str">
        <f>BasicInput!$D$13&amp;$DM$2&amp;B821&amp;"_"&amp;C821&amp;D821&amp;"_"&amp;BasicInput!$D$7&amp;BasicInput!$D$8&amp;"_"&amp;DL821&amp;".xuf"</f>
        <v>C:\PWWORKING\east01\d2591108\Weave\__2019EX_PM_.xuf</v>
      </c>
    </row>
    <row r="822" spans="85:117" x14ac:dyDescent="0.2">
      <c r="CG822" s="18"/>
      <c r="CM822" s="18"/>
      <c r="DK822" s="31" t="str">
        <f t="shared" si="28"/>
        <v xml:space="preserve">  </v>
      </c>
      <c r="DL822" s="25" t="str">
        <f t="shared" si="29"/>
        <v/>
      </c>
      <c r="DM822" s="25" t="str">
        <f>BasicInput!$D$13&amp;$DM$2&amp;B822&amp;"_"&amp;C822&amp;D822&amp;"_"&amp;BasicInput!$D$7&amp;BasicInput!$D$8&amp;"_"&amp;DL822&amp;".xuf"</f>
        <v>C:\PWWORKING\east01\d2591108\Weave\__2019EX_PM_.xuf</v>
      </c>
    </row>
    <row r="823" spans="85:117" x14ac:dyDescent="0.2">
      <c r="CG823" s="18"/>
      <c r="CM823" s="18"/>
      <c r="DK823" s="31" t="str">
        <f t="shared" si="28"/>
        <v xml:space="preserve">  </v>
      </c>
      <c r="DL823" s="25" t="str">
        <f t="shared" si="29"/>
        <v/>
      </c>
      <c r="DM823" s="25" t="str">
        <f>BasicInput!$D$13&amp;$DM$2&amp;B823&amp;"_"&amp;C823&amp;D823&amp;"_"&amp;BasicInput!$D$7&amp;BasicInput!$D$8&amp;"_"&amp;DL823&amp;".xuf"</f>
        <v>C:\PWWORKING\east01\d2591108\Weave\__2019EX_PM_.xuf</v>
      </c>
    </row>
    <row r="824" spans="85:117" x14ac:dyDescent="0.2">
      <c r="CG824" s="18"/>
      <c r="CM824" s="18"/>
      <c r="DK824" s="31" t="str">
        <f t="shared" si="28"/>
        <v xml:space="preserve">  </v>
      </c>
      <c r="DL824" s="25" t="str">
        <f t="shared" si="29"/>
        <v/>
      </c>
      <c r="DM824" s="25" t="str">
        <f>BasicInput!$D$13&amp;$DM$2&amp;B824&amp;"_"&amp;C824&amp;D824&amp;"_"&amp;BasicInput!$D$7&amp;BasicInput!$D$8&amp;"_"&amp;DL824&amp;".xuf"</f>
        <v>C:\PWWORKING\east01\d2591108\Weave\__2019EX_PM_.xuf</v>
      </c>
    </row>
    <row r="825" spans="85:117" x14ac:dyDescent="0.2">
      <c r="CG825" s="18"/>
      <c r="CM825" s="18"/>
      <c r="DK825" s="31" t="str">
        <f t="shared" si="28"/>
        <v xml:space="preserve">  </v>
      </c>
      <c r="DL825" s="25" t="str">
        <f t="shared" si="29"/>
        <v/>
      </c>
      <c r="DM825" s="25" t="str">
        <f>BasicInput!$D$13&amp;$DM$2&amp;B825&amp;"_"&amp;C825&amp;D825&amp;"_"&amp;BasicInput!$D$7&amp;BasicInput!$D$8&amp;"_"&amp;DL825&amp;".xuf"</f>
        <v>C:\PWWORKING\east01\d2591108\Weave\__2019EX_PM_.xuf</v>
      </c>
    </row>
    <row r="826" spans="85:117" x14ac:dyDescent="0.2">
      <c r="CG826" s="18"/>
      <c r="CM826" s="18"/>
      <c r="DK826" s="31" t="str">
        <f t="shared" si="28"/>
        <v xml:space="preserve">  </v>
      </c>
      <c r="DL826" s="25" t="str">
        <f t="shared" si="29"/>
        <v/>
      </c>
      <c r="DM826" s="25" t="str">
        <f>BasicInput!$D$13&amp;$DM$2&amp;B826&amp;"_"&amp;C826&amp;D826&amp;"_"&amp;BasicInput!$D$7&amp;BasicInput!$D$8&amp;"_"&amp;DL826&amp;".xuf"</f>
        <v>C:\PWWORKING\east01\d2591108\Weave\__2019EX_PM_.xuf</v>
      </c>
    </row>
    <row r="827" spans="85:117" x14ac:dyDescent="0.2">
      <c r="CG827" s="18"/>
      <c r="CM827" s="18"/>
      <c r="DK827" s="31" t="str">
        <f t="shared" si="28"/>
        <v xml:space="preserve">  </v>
      </c>
      <c r="DL827" s="25" t="str">
        <f t="shared" si="29"/>
        <v/>
      </c>
      <c r="DM827" s="25" t="str">
        <f>BasicInput!$D$13&amp;$DM$2&amp;B827&amp;"_"&amp;C827&amp;D827&amp;"_"&amp;BasicInput!$D$7&amp;BasicInput!$D$8&amp;"_"&amp;DL827&amp;".xuf"</f>
        <v>C:\PWWORKING\east01\d2591108\Weave\__2019EX_PM_.xuf</v>
      </c>
    </row>
    <row r="828" spans="85:117" x14ac:dyDescent="0.2">
      <c r="CG828" s="18"/>
      <c r="CM828" s="18"/>
      <c r="DK828" s="31" t="str">
        <f t="shared" si="28"/>
        <v xml:space="preserve">  </v>
      </c>
      <c r="DL828" s="25" t="str">
        <f t="shared" si="29"/>
        <v/>
      </c>
      <c r="DM828" s="25" t="str">
        <f>BasicInput!$D$13&amp;$DM$2&amp;B828&amp;"_"&amp;C828&amp;D828&amp;"_"&amp;BasicInput!$D$7&amp;BasicInput!$D$8&amp;"_"&amp;DL828&amp;".xuf"</f>
        <v>C:\PWWORKING\east01\d2591108\Weave\__2019EX_PM_.xuf</v>
      </c>
    </row>
    <row r="829" spans="85:117" x14ac:dyDescent="0.2">
      <c r="CG829" s="18"/>
      <c r="CM829" s="18"/>
      <c r="DK829" s="31" t="str">
        <f t="shared" si="28"/>
        <v xml:space="preserve">  </v>
      </c>
      <c r="DL829" s="25" t="str">
        <f t="shared" si="29"/>
        <v/>
      </c>
      <c r="DM829" s="25" t="str">
        <f>BasicInput!$D$13&amp;$DM$2&amp;B829&amp;"_"&amp;C829&amp;D829&amp;"_"&amp;BasicInput!$D$7&amp;BasicInput!$D$8&amp;"_"&amp;DL829&amp;".xuf"</f>
        <v>C:\PWWORKING\east01\d2591108\Weave\__2019EX_PM_.xuf</v>
      </c>
    </row>
    <row r="830" spans="85:117" x14ac:dyDescent="0.2">
      <c r="CG830" s="18"/>
      <c r="CM830" s="18"/>
      <c r="DK830" s="31" t="str">
        <f t="shared" si="28"/>
        <v xml:space="preserve">  </v>
      </c>
      <c r="DL830" s="25" t="str">
        <f t="shared" si="29"/>
        <v/>
      </c>
      <c r="DM830" s="25" t="str">
        <f>BasicInput!$D$13&amp;$DM$2&amp;B830&amp;"_"&amp;C830&amp;D830&amp;"_"&amp;BasicInput!$D$7&amp;BasicInput!$D$8&amp;"_"&amp;DL830&amp;".xuf"</f>
        <v>C:\PWWORKING\east01\d2591108\Weave\__2019EX_PM_.xuf</v>
      </c>
    </row>
    <row r="831" spans="85:117" x14ac:dyDescent="0.2">
      <c r="CG831" s="18"/>
      <c r="CM831" s="18"/>
      <c r="DK831" s="31" t="str">
        <f t="shared" si="28"/>
        <v xml:space="preserve">  </v>
      </c>
      <c r="DL831" s="25" t="str">
        <f t="shared" si="29"/>
        <v/>
      </c>
      <c r="DM831" s="25" t="str">
        <f>BasicInput!$D$13&amp;$DM$2&amp;B831&amp;"_"&amp;C831&amp;D831&amp;"_"&amp;BasicInput!$D$7&amp;BasicInput!$D$8&amp;"_"&amp;DL831&amp;".xuf"</f>
        <v>C:\PWWORKING\east01\d2591108\Weave\__2019EX_PM_.xuf</v>
      </c>
    </row>
    <row r="832" spans="85:117" x14ac:dyDescent="0.2">
      <c r="CG832" s="18"/>
      <c r="CM832" s="18"/>
      <c r="DK832" s="31" t="str">
        <f t="shared" si="28"/>
        <v xml:space="preserve">  </v>
      </c>
      <c r="DL832" s="25" t="str">
        <f t="shared" si="29"/>
        <v/>
      </c>
      <c r="DM832" s="25" t="str">
        <f>BasicInput!$D$13&amp;$DM$2&amp;B832&amp;"_"&amp;C832&amp;D832&amp;"_"&amp;BasicInput!$D$7&amp;BasicInput!$D$8&amp;"_"&amp;DL832&amp;".xuf"</f>
        <v>C:\PWWORKING\east01\d2591108\Weave\__2019EX_PM_.xuf</v>
      </c>
    </row>
    <row r="833" spans="85:117" x14ac:dyDescent="0.2">
      <c r="CG833" s="18"/>
      <c r="CM833" s="18"/>
      <c r="DK833" s="31" t="str">
        <f t="shared" si="28"/>
        <v xml:space="preserve">  </v>
      </c>
      <c r="DL833" s="25" t="str">
        <f t="shared" si="29"/>
        <v/>
      </c>
      <c r="DM833" s="25" t="str">
        <f>BasicInput!$D$13&amp;$DM$2&amp;B833&amp;"_"&amp;C833&amp;D833&amp;"_"&amp;BasicInput!$D$7&amp;BasicInput!$D$8&amp;"_"&amp;DL833&amp;".xuf"</f>
        <v>C:\PWWORKING\east01\d2591108\Weave\__2019EX_PM_.xuf</v>
      </c>
    </row>
    <row r="834" spans="85:117" x14ac:dyDescent="0.2">
      <c r="CG834" s="18"/>
      <c r="CM834" s="18"/>
      <c r="DK834" s="31" t="str">
        <f t="shared" si="28"/>
        <v xml:space="preserve">  </v>
      </c>
      <c r="DL834" s="25" t="str">
        <f t="shared" si="29"/>
        <v/>
      </c>
      <c r="DM834" s="25" t="str">
        <f>BasicInput!$D$13&amp;$DM$2&amp;B834&amp;"_"&amp;C834&amp;D834&amp;"_"&amp;BasicInput!$D$7&amp;BasicInput!$D$8&amp;"_"&amp;DL834&amp;".xuf"</f>
        <v>C:\PWWORKING\east01\d2591108\Weave\__2019EX_PM_.xuf</v>
      </c>
    </row>
    <row r="835" spans="85:117" x14ac:dyDescent="0.2">
      <c r="CG835" s="18"/>
      <c r="CM835" s="18"/>
      <c r="DK835" s="31" t="str">
        <f t="shared" si="28"/>
        <v xml:space="preserve">  </v>
      </c>
      <c r="DL835" s="25" t="str">
        <f t="shared" si="29"/>
        <v/>
      </c>
      <c r="DM835" s="25" t="str">
        <f>BasicInput!$D$13&amp;$DM$2&amp;B835&amp;"_"&amp;C835&amp;D835&amp;"_"&amp;BasicInput!$D$7&amp;BasicInput!$D$8&amp;"_"&amp;DL835&amp;".xuf"</f>
        <v>C:\PWWORKING\east01\d2591108\Weave\__2019EX_PM_.xuf</v>
      </c>
    </row>
    <row r="836" spans="85:117" x14ac:dyDescent="0.2">
      <c r="CG836" s="18"/>
      <c r="CM836" s="18"/>
      <c r="DK836" s="31" t="str">
        <f t="shared" si="28"/>
        <v xml:space="preserve">  </v>
      </c>
      <c r="DL836" s="25" t="str">
        <f t="shared" si="29"/>
        <v/>
      </c>
      <c r="DM836" s="25" t="str">
        <f>BasicInput!$D$13&amp;$DM$2&amp;B836&amp;"_"&amp;C836&amp;D836&amp;"_"&amp;BasicInput!$D$7&amp;BasicInput!$D$8&amp;"_"&amp;DL836&amp;".xuf"</f>
        <v>C:\PWWORKING\east01\d2591108\Weave\__2019EX_PM_.xuf</v>
      </c>
    </row>
    <row r="837" spans="85:117" x14ac:dyDescent="0.2">
      <c r="CG837" s="18"/>
      <c r="CM837" s="18"/>
      <c r="DK837" s="31" t="str">
        <f t="shared" si="28"/>
        <v xml:space="preserve">  </v>
      </c>
      <c r="DL837" s="25" t="str">
        <f t="shared" si="29"/>
        <v/>
      </c>
      <c r="DM837" s="25" t="str">
        <f>BasicInput!$D$13&amp;$DM$2&amp;B837&amp;"_"&amp;C837&amp;D837&amp;"_"&amp;BasicInput!$D$7&amp;BasicInput!$D$8&amp;"_"&amp;DL837&amp;".xuf"</f>
        <v>C:\PWWORKING\east01\d2591108\Weave\__2019EX_PM_.xuf</v>
      </c>
    </row>
    <row r="838" spans="85:117" x14ac:dyDescent="0.2">
      <c r="CG838" s="18"/>
      <c r="CM838" s="18"/>
      <c r="DK838" s="31" t="str">
        <f t="shared" si="28"/>
        <v xml:space="preserve">  </v>
      </c>
      <c r="DL838" s="25" t="str">
        <f t="shared" si="29"/>
        <v/>
      </c>
      <c r="DM838" s="25" t="str">
        <f>BasicInput!$D$13&amp;$DM$2&amp;B838&amp;"_"&amp;C838&amp;D838&amp;"_"&amp;BasicInput!$D$7&amp;BasicInput!$D$8&amp;"_"&amp;DL838&amp;".xuf"</f>
        <v>C:\PWWORKING\east01\d2591108\Weave\__2019EX_PM_.xuf</v>
      </c>
    </row>
    <row r="839" spans="85:117" x14ac:dyDescent="0.2">
      <c r="CG839" s="18"/>
      <c r="CM839" s="18"/>
      <c r="DK839" s="31" t="str">
        <f t="shared" si="28"/>
        <v xml:space="preserve">  </v>
      </c>
      <c r="DL839" s="25" t="str">
        <f t="shared" si="29"/>
        <v/>
      </c>
      <c r="DM839" s="25" t="str">
        <f>BasicInput!$D$13&amp;$DM$2&amp;B839&amp;"_"&amp;C839&amp;D839&amp;"_"&amp;BasicInput!$D$7&amp;BasicInput!$D$8&amp;"_"&amp;DL839&amp;".xuf"</f>
        <v>C:\PWWORKING\east01\d2591108\Weave\__2019EX_PM_.xuf</v>
      </c>
    </row>
    <row r="840" spans="85:117" x14ac:dyDescent="0.2">
      <c r="CG840" s="18"/>
      <c r="CM840" s="18"/>
      <c r="DK840" s="31" t="str">
        <f t="shared" si="28"/>
        <v xml:space="preserve">  </v>
      </c>
      <c r="DL840" s="25" t="str">
        <f t="shared" si="29"/>
        <v/>
      </c>
      <c r="DM840" s="25" t="str">
        <f>BasicInput!$D$13&amp;$DM$2&amp;B840&amp;"_"&amp;C840&amp;D840&amp;"_"&amp;BasicInput!$D$7&amp;BasicInput!$D$8&amp;"_"&amp;DL840&amp;".xuf"</f>
        <v>C:\PWWORKING\east01\d2591108\Weave\__2019EX_PM_.xuf</v>
      </c>
    </row>
    <row r="841" spans="85:117" x14ac:dyDescent="0.2">
      <c r="CG841" s="18"/>
      <c r="CM841" s="18"/>
      <c r="DK841" s="31" t="str">
        <f t="shared" si="28"/>
        <v xml:space="preserve">  </v>
      </c>
      <c r="DL841" s="25" t="str">
        <f t="shared" si="29"/>
        <v/>
      </c>
      <c r="DM841" s="25" t="str">
        <f>BasicInput!$D$13&amp;$DM$2&amp;B841&amp;"_"&amp;C841&amp;D841&amp;"_"&amp;BasicInput!$D$7&amp;BasicInput!$D$8&amp;"_"&amp;DL841&amp;".xuf"</f>
        <v>C:\PWWORKING\east01\d2591108\Weave\__2019EX_PM_.xuf</v>
      </c>
    </row>
    <row r="842" spans="85:117" x14ac:dyDescent="0.2">
      <c r="CG842" s="18"/>
      <c r="CM842" s="18"/>
      <c r="DK842" s="31" t="str">
        <f t="shared" si="28"/>
        <v xml:space="preserve">  </v>
      </c>
      <c r="DL842" s="25" t="str">
        <f t="shared" si="29"/>
        <v/>
      </c>
      <c r="DM842" s="25" t="str">
        <f>BasicInput!$D$13&amp;$DM$2&amp;B842&amp;"_"&amp;C842&amp;D842&amp;"_"&amp;BasicInput!$D$7&amp;BasicInput!$D$8&amp;"_"&amp;DL842&amp;".xuf"</f>
        <v>C:\PWWORKING\east01\d2591108\Weave\__2019EX_PM_.xuf</v>
      </c>
    </row>
    <row r="843" spans="85:117" x14ac:dyDescent="0.2">
      <c r="CG843" s="18"/>
      <c r="CM843" s="18"/>
      <c r="DK843" s="31" t="str">
        <f t="shared" si="28"/>
        <v xml:space="preserve">  </v>
      </c>
      <c r="DL843" s="25" t="str">
        <f t="shared" si="29"/>
        <v/>
      </c>
      <c r="DM843" s="25" t="str">
        <f>BasicInput!$D$13&amp;$DM$2&amp;B843&amp;"_"&amp;C843&amp;D843&amp;"_"&amp;BasicInput!$D$7&amp;BasicInput!$D$8&amp;"_"&amp;DL843&amp;".xuf"</f>
        <v>C:\PWWORKING\east01\d2591108\Weave\__2019EX_PM_.xuf</v>
      </c>
    </row>
    <row r="844" spans="85:117" x14ac:dyDescent="0.2">
      <c r="CG844" s="18"/>
      <c r="CM844" s="18"/>
      <c r="DK844" s="31" t="str">
        <f t="shared" ref="DK844:DK907" si="30">C844&amp; " "&amp;D844&amp;" " &amp;E844</f>
        <v xml:space="preserve">  </v>
      </c>
      <c r="DL844" s="25" t="str">
        <f t="shared" ref="DL844:DL907" si="31">TRIM(LEFT(E844, 30))</f>
        <v/>
      </c>
      <c r="DM844" s="25" t="str">
        <f>BasicInput!$D$13&amp;$DM$2&amp;B844&amp;"_"&amp;C844&amp;D844&amp;"_"&amp;BasicInput!$D$7&amp;BasicInput!$D$8&amp;"_"&amp;DL844&amp;".xuf"</f>
        <v>C:\PWWORKING\east01\d2591108\Weave\__2019EX_PM_.xuf</v>
      </c>
    </row>
    <row r="845" spans="85:117" x14ac:dyDescent="0.2">
      <c r="CG845" s="18"/>
      <c r="CM845" s="18"/>
      <c r="DK845" s="31" t="str">
        <f t="shared" si="30"/>
        <v xml:space="preserve">  </v>
      </c>
      <c r="DL845" s="25" t="str">
        <f t="shared" si="31"/>
        <v/>
      </c>
      <c r="DM845" s="25" t="str">
        <f>BasicInput!$D$13&amp;$DM$2&amp;B845&amp;"_"&amp;C845&amp;D845&amp;"_"&amp;BasicInput!$D$7&amp;BasicInput!$D$8&amp;"_"&amp;DL845&amp;".xuf"</f>
        <v>C:\PWWORKING\east01\d2591108\Weave\__2019EX_PM_.xuf</v>
      </c>
    </row>
    <row r="846" spans="85:117" x14ac:dyDescent="0.2">
      <c r="CG846" s="18"/>
      <c r="CM846" s="18"/>
      <c r="DK846" s="31" t="str">
        <f t="shared" si="30"/>
        <v xml:space="preserve">  </v>
      </c>
      <c r="DL846" s="25" t="str">
        <f t="shared" si="31"/>
        <v/>
      </c>
      <c r="DM846" s="25" t="str">
        <f>BasicInput!$D$13&amp;$DM$2&amp;B846&amp;"_"&amp;C846&amp;D846&amp;"_"&amp;BasicInput!$D$7&amp;BasicInput!$D$8&amp;"_"&amp;DL846&amp;".xuf"</f>
        <v>C:\PWWORKING\east01\d2591108\Weave\__2019EX_PM_.xuf</v>
      </c>
    </row>
    <row r="847" spans="85:117" x14ac:dyDescent="0.2">
      <c r="CG847" s="18"/>
      <c r="CM847" s="18"/>
      <c r="DK847" s="31" t="str">
        <f t="shared" si="30"/>
        <v xml:space="preserve">  </v>
      </c>
      <c r="DL847" s="25" t="str">
        <f t="shared" si="31"/>
        <v/>
      </c>
      <c r="DM847" s="25" t="str">
        <f>BasicInput!$D$13&amp;$DM$2&amp;B847&amp;"_"&amp;C847&amp;D847&amp;"_"&amp;BasicInput!$D$7&amp;BasicInput!$D$8&amp;"_"&amp;DL847&amp;".xuf"</f>
        <v>C:\PWWORKING\east01\d2591108\Weave\__2019EX_PM_.xuf</v>
      </c>
    </row>
    <row r="848" spans="85:117" x14ac:dyDescent="0.2">
      <c r="CG848" s="18"/>
      <c r="CM848" s="18"/>
      <c r="DK848" s="31" t="str">
        <f t="shared" si="30"/>
        <v xml:space="preserve">  </v>
      </c>
      <c r="DL848" s="25" t="str">
        <f t="shared" si="31"/>
        <v/>
      </c>
      <c r="DM848" s="25" t="str">
        <f>BasicInput!$D$13&amp;$DM$2&amp;B848&amp;"_"&amp;C848&amp;D848&amp;"_"&amp;BasicInput!$D$7&amp;BasicInput!$D$8&amp;"_"&amp;DL848&amp;".xuf"</f>
        <v>C:\PWWORKING\east01\d2591108\Weave\__2019EX_PM_.xuf</v>
      </c>
    </row>
    <row r="849" spans="85:117" x14ac:dyDescent="0.2">
      <c r="CG849" s="18"/>
      <c r="CM849" s="18"/>
      <c r="DK849" s="31" t="str">
        <f t="shared" si="30"/>
        <v xml:space="preserve">  </v>
      </c>
      <c r="DL849" s="25" t="str">
        <f t="shared" si="31"/>
        <v/>
      </c>
      <c r="DM849" s="25" t="str">
        <f>BasicInput!$D$13&amp;$DM$2&amp;B849&amp;"_"&amp;C849&amp;D849&amp;"_"&amp;BasicInput!$D$7&amp;BasicInput!$D$8&amp;"_"&amp;DL849&amp;".xuf"</f>
        <v>C:\PWWORKING\east01\d2591108\Weave\__2019EX_PM_.xuf</v>
      </c>
    </row>
    <row r="850" spans="85:117" x14ac:dyDescent="0.2">
      <c r="CG850" s="18"/>
      <c r="CM850" s="18"/>
      <c r="DK850" s="31" t="str">
        <f t="shared" si="30"/>
        <v xml:space="preserve">  </v>
      </c>
      <c r="DL850" s="25" t="str">
        <f t="shared" si="31"/>
        <v/>
      </c>
      <c r="DM850" s="25" t="str">
        <f>BasicInput!$D$13&amp;$DM$2&amp;B850&amp;"_"&amp;C850&amp;D850&amp;"_"&amp;BasicInput!$D$7&amp;BasicInput!$D$8&amp;"_"&amp;DL850&amp;".xuf"</f>
        <v>C:\PWWORKING\east01\d2591108\Weave\__2019EX_PM_.xuf</v>
      </c>
    </row>
    <row r="851" spans="85:117" x14ac:dyDescent="0.2">
      <c r="CG851" s="18"/>
      <c r="CM851" s="18"/>
      <c r="DK851" s="31" t="str">
        <f t="shared" si="30"/>
        <v xml:space="preserve">  </v>
      </c>
      <c r="DL851" s="25" t="str">
        <f t="shared" si="31"/>
        <v/>
      </c>
      <c r="DM851" s="25" t="str">
        <f>BasicInput!$D$13&amp;$DM$2&amp;B851&amp;"_"&amp;C851&amp;D851&amp;"_"&amp;BasicInput!$D$7&amp;BasicInput!$D$8&amp;"_"&amp;DL851&amp;".xuf"</f>
        <v>C:\PWWORKING\east01\d2591108\Weave\__2019EX_PM_.xuf</v>
      </c>
    </row>
    <row r="852" spans="85:117" x14ac:dyDescent="0.2">
      <c r="CG852" s="18"/>
      <c r="CM852" s="18"/>
      <c r="DK852" s="31" t="str">
        <f t="shared" si="30"/>
        <v xml:space="preserve">  </v>
      </c>
      <c r="DL852" s="25" t="str">
        <f t="shared" si="31"/>
        <v/>
      </c>
      <c r="DM852" s="25" t="str">
        <f>BasicInput!$D$13&amp;$DM$2&amp;B852&amp;"_"&amp;C852&amp;D852&amp;"_"&amp;BasicInput!$D$7&amp;BasicInput!$D$8&amp;"_"&amp;DL852&amp;".xuf"</f>
        <v>C:\PWWORKING\east01\d2591108\Weave\__2019EX_PM_.xuf</v>
      </c>
    </row>
    <row r="853" spans="85:117" x14ac:dyDescent="0.2">
      <c r="CG853" s="18"/>
      <c r="CM853" s="18"/>
      <c r="DK853" s="31" t="str">
        <f t="shared" si="30"/>
        <v xml:space="preserve">  </v>
      </c>
      <c r="DL853" s="25" t="str">
        <f t="shared" si="31"/>
        <v/>
      </c>
      <c r="DM853" s="25" t="str">
        <f>BasicInput!$D$13&amp;$DM$2&amp;B853&amp;"_"&amp;C853&amp;D853&amp;"_"&amp;BasicInput!$D$7&amp;BasicInput!$D$8&amp;"_"&amp;DL853&amp;".xuf"</f>
        <v>C:\PWWORKING\east01\d2591108\Weave\__2019EX_PM_.xuf</v>
      </c>
    </row>
    <row r="854" spans="85:117" x14ac:dyDescent="0.2">
      <c r="CG854" s="18"/>
      <c r="CM854" s="18"/>
      <c r="DK854" s="31" t="str">
        <f t="shared" si="30"/>
        <v xml:space="preserve">  </v>
      </c>
      <c r="DL854" s="25" t="str">
        <f t="shared" si="31"/>
        <v/>
      </c>
      <c r="DM854" s="25" t="str">
        <f>BasicInput!$D$13&amp;$DM$2&amp;B854&amp;"_"&amp;C854&amp;D854&amp;"_"&amp;BasicInput!$D$7&amp;BasicInput!$D$8&amp;"_"&amp;DL854&amp;".xuf"</f>
        <v>C:\PWWORKING\east01\d2591108\Weave\__2019EX_PM_.xuf</v>
      </c>
    </row>
    <row r="855" spans="85:117" x14ac:dyDescent="0.2">
      <c r="CG855" s="18"/>
      <c r="CM855" s="18"/>
      <c r="DK855" s="31" t="str">
        <f t="shared" si="30"/>
        <v xml:space="preserve">  </v>
      </c>
      <c r="DL855" s="25" t="str">
        <f t="shared" si="31"/>
        <v/>
      </c>
      <c r="DM855" s="25" t="str">
        <f>BasicInput!$D$13&amp;$DM$2&amp;B855&amp;"_"&amp;C855&amp;D855&amp;"_"&amp;BasicInput!$D$7&amp;BasicInput!$D$8&amp;"_"&amp;DL855&amp;".xuf"</f>
        <v>C:\PWWORKING\east01\d2591108\Weave\__2019EX_PM_.xuf</v>
      </c>
    </row>
    <row r="856" spans="85:117" x14ac:dyDescent="0.2">
      <c r="CG856" s="18"/>
      <c r="CM856" s="18"/>
      <c r="DK856" s="31" t="str">
        <f t="shared" si="30"/>
        <v xml:space="preserve">  </v>
      </c>
      <c r="DL856" s="25" t="str">
        <f t="shared" si="31"/>
        <v/>
      </c>
      <c r="DM856" s="25" t="str">
        <f>BasicInput!$D$13&amp;$DM$2&amp;B856&amp;"_"&amp;C856&amp;D856&amp;"_"&amp;BasicInput!$D$7&amp;BasicInput!$D$8&amp;"_"&amp;DL856&amp;".xuf"</f>
        <v>C:\PWWORKING\east01\d2591108\Weave\__2019EX_PM_.xuf</v>
      </c>
    </row>
    <row r="857" spans="85:117" x14ac:dyDescent="0.2">
      <c r="CG857" s="18"/>
      <c r="CM857" s="18"/>
      <c r="DK857" s="31" t="str">
        <f t="shared" si="30"/>
        <v xml:space="preserve">  </v>
      </c>
      <c r="DL857" s="25" t="str">
        <f t="shared" si="31"/>
        <v/>
      </c>
      <c r="DM857" s="25" t="str">
        <f>BasicInput!$D$13&amp;$DM$2&amp;B857&amp;"_"&amp;C857&amp;D857&amp;"_"&amp;BasicInput!$D$7&amp;BasicInput!$D$8&amp;"_"&amp;DL857&amp;".xuf"</f>
        <v>C:\PWWORKING\east01\d2591108\Weave\__2019EX_PM_.xuf</v>
      </c>
    </row>
    <row r="858" spans="85:117" x14ac:dyDescent="0.2">
      <c r="CG858" s="18"/>
      <c r="CM858" s="18"/>
      <c r="DK858" s="31" t="str">
        <f t="shared" si="30"/>
        <v xml:space="preserve">  </v>
      </c>
      <c r="DL858" s="25" t="str">
        <f t="shared" si="31"/>
        <v/>
      </c>
      <c r="DM858" s="25" t="str">
        <f>BasicInput!$D$13&amp;$DM$2&amp;B858&amp;"_"&amp;C858&amp;D858&amp;"_"&amp;BasicInput!$D$7&amp;BasicInput!$D$8&amp;"_"&amp;DL858&amp;".xuf"</f>
        <v>C:\PWWORKING\east01\d2591108\Weave\__2019EX_PM_.xuf</v>
      </c>
    </row>
    <row r="859" spans="85:117" x14ac:dyDescent="0.2">
      <c r="CG859" s="18"/>
      <c r="CM859" s="18"/>
      <c r="DK859" s="31" t="str">
        <f t="shared" si="30"/>
        <v xml:space="preserve">  </v>
      </c>
      <c r="DL859" s="25" t="str">
        <f t="shared" si="31"/>
        <v/>
      </c>
      <c r="DM859" s="25" t="str">
        <f>BasicInput!$D$13&amp;$DM$2&amp;B859&amp;"_"&amp;C859&amp;D859&amp;"_"&amp;BasicInput!$D$7&amp;BasicInput!$D$8&amp;"_"&amp;DL859&amp;".xuf"</f>
        <v>C:\PWWORKING\east01\d2591108\Weave\__2019EX_PM_.xuf</v>
      </c>
    </row>
    <row r="860" spans="85:117" x14ac:dyDescent="0.2">
      <c r="CG860" s="18"/>
      <c r="CM860" s="18"/>
      <c r="DK860" s="31" t="str">
        <f t="shared" si="30"/>
        <v xml:space="preserve">  </v>
      </c>
      <c r="DL860" s="25" t="str">
        <f t="shared" si="31"/>
        <v/>
      </c>
      <c r="DM860" s="25" t="str">
        <f>BasicInput!$D$13&amp;$DM$2&amp;B860&amp;"_"&amp;C860&amp;D860&amp;"_"&amp;BasicInput!$D$7&amp;BasicInput!$D$8&amp;"_"&amp;DL860&amp;".xuf"</f>
        <v>C:\PWWORKING\east01\d2591108\Weave\__2019EX_PM_.xuf</v>
      </c>
    </row>
    <row r="861" spans="85:117" x14ac:dyDescent="0.2">
      <c r="CG861" s="18"/>
      <c r="CM861" s="18"/>
      <c r="DK861" s="31" t="str">
        <f t="shared" si="30"/>
        <v xml:space="preserve">  </v>
      </c>
      <c r="DL861" s="25" t="str">
        <f t="shared" si="31"/>
        <v/>
      </c>
      <c r="DM861" s="25" t="str">
        <f>BasicInput!$D$13&amp;$DM$2&amp;B861&amp;"_"&amp;C861&amp;D861&amp;"_"&amp;BasicInput!$D$7&amp;BasicInput!$D$8&amp;"_"&amp;DL861&amp;".xuf"</f>
        <v>C:\PWWORKING\east01\d2591108\Weave\__2019EX_PM_.xuf</v>
      </c>
    </row>
    <row r="862" spans="85:117" x14ac:dyDescent="0.2">
      <c r="CG862" s="18"/>
      <c r="CM862" s="18"/>
      <c r="DK862" s="31" t="str">
        <f t="shared" si="30"/>
        <v xml:space="preserve">  </v>
      </c>
      <c r="DL862" s="25" t="str">
        <f t="shared" si="31"/>
        <v/>
      </c>
      <c r="DM862" s="25" t="str">
        <f>BasicInput!$D$13&amp;$DM$2&amp;B862&amp;"_"&amp;C862&amp;D862&amp;"_"&amp;BasicInput!$D$7&amp;BasicInput!$D$8&amp;"_"&amp;DL862&amp;".xuf"</f>
        <v>C:\PWWORKING\east01\d2591108\Weave\__2019EX_PM_.xuf</v>
      </c>
    </row>
    <row r="863" spans="85:117" x14ac:dyDescent="0.2">
      <c r="CG863" s="18"/>
      <c r="CM863" s="18"/>
      <c r="DK863" s="31" t="str">
        <f t="shared" si="30"/>
        <v xml:space="preserve">  </v>
      </c>
      <c r="DL863" s="25" t="str">
        <f t="shared" si="31"/>
        <v/>
      </c>
      <c r="DM863" s="25" t="str">
        <f>BasicInput!$D$13&amp;$DM$2&amp;B863&amp;"_"&amp;C863&amp;D863&amp;"_"&amp;BasicInput!$D$7&amp;BasicInput!$D$8&amp;"_"&amp;DL863&amp;".xuf"</f>
        <v>C:\PWWORKING\east01\d2591108\Weave\__2019EX_PM_.xuf</v>
      </c>
    </row>
    <row r="864" spans="85:117" x14ac:dyDescent="0.2">
      <c r="CG864" s="18"/>
      <c r="CM864" s="18"/>
      <c r="DK864" s="31" t="str">
        <f t="shared" si="30"/>
        <v xml:space="preserve">  </v>
      </c>
      <c r="DL864" s="25" t="str">
        <f t="shared" si="31"/>
        <v/>
      </c>
      <c r="DM864" s="25" t="str">
        <f>BasicInput!$D$13&amp;$DM$2&amp;B864&amp;"_"&amp;C864&amp;D864&amp;"_"&amp;BasicInput!$D$7&amp;BasicInput!$D$8&amp;"_"&amp;DL864&amp;".xuf"</f>
        <v>C:\PWWORKING\east01\d2591108\Weave\__2019EX_PM_.xuf</v>
      </c>
    </row>
    <row r="865" spans="85:117" x14ac:dyDescent="0.2">
      <c r="CG865" s="18"/>
      <c r="CM865" s="18"/>
      <c r="DK865" s="31" t="str">
        <f t="shared" si="30"/>
        <v xml:space="preserve">  </v>
      </c>
      <c r="DL865" s="25" t="str">
        <f t="shared" si="31"/>
        <v/>
      </c>
      <c r="DM865" s="25" t="str">
        <f>BasicInput!$D$13&amp;$DM$2&amp;B865&amp;"_"&amp;C865&amp;D865&amp;"_"&amp;BasicInput!$D$7&amp;BasicInput!$D$8&amp;"_"&amp;DL865&amp;".xuf"</f>
        <v>C:\PWWORKING\east01\d2591108\Weave\__2019EX_PM_.xuf</v>
      </c>
    </row>
    <row r="866" spans="85:117" x14ac:dyDescent="0.2">
      <c r="CG866" s="18"/>
      <c r="CM866" s="18"/>
      <c r="DK866" s="31" t="str">
        <f t="shared" si="30"/>
        <v xml:space="preserve">  </v>
      </c>
      <c r="DL866" s="25" t="str">
        <f t="shared" si="31"/>
        <v/>
      </c>
      <c r="DM866" s="25" t="str">
        <f>BasicInput!$D$13&amp;$DM$2&amp;B866&amp;"_"&amp;C866&amp;D866&amp;"_"&amp;BasicInput!$D$7&amp;BasicInput!$D$8&amp;"_"&amp;DL866&amp;".xuf"</f>
        <v>C:\PWWORKING\east01\d2591108\Weave\__2019EX_PM_.xuf</v>
      </c>
    </row>
    <row r="867" spans="85:117" x14ac:dyDescent="0.2">
      <c r="CG867" s="18"/>
      <c r="CM867" s="18"/>
      <c r="DK867" s="31" t="str">
        <f t="shared" si="30"/>
        <v xml:space="preserve">  </v>
      </c>
      <c r="DL867" s="25" t="str">
        <f t="shared" si="31"/>
        <v/>
      </c>
      <c r="DM867" s="25" t="str">
        <f>BasicInput!$D$13&amp;$DM$2&amp;B867&amp;"_"&amp;C867&amp;D867&amp;"_"&amp;BasicInput!$D$7&amp;BasicInput!$D$8&amp;"_"&amp;DL867&amp;".xuf"</f>
        <v>C:\PWWORKING\east01\d2591108\Weave\__2019EX_PM_.xuf</v>
      </c>
    </row>
    <row r="868" spans="85:117" x14ac:dyDescent="0.2">
      <c r="CG868" s="18"/>
      <c r="CM868" s="18"/>
      <c r="DK868" s="31" t="str">
        <f t="shared" si="30"/>
        <v xml:space="preserve">  </v>
      </c>
      <c r="DL868" s="25" t="str">
        <f t="shared" si="31"/>
        <v/>
      </c>
      <c r="DM868" s="25" t="str">
        <f>BasicInput!$D$13&amp;$DM$2&amp;B868&amp;"_"&amp;C868&amp;D868&amp;"_"&amp;BasicInput!$D$7&amp;BasicInput!$D$8&amp;"_"&amp;DL868&amp;".xuf"</f>
        <v>C:\PWWORKING\east01\d2591108\Weave\__2019EX_PM_.xuf</v>
      </c>
    </row>
    <row r="869" spans="85:117" x14ac:dyDescent="0.2">
      <c r="CG869" s="18"/>
      <c r="CM869" s="18"/>
      <c r="DK869" s="31" t="str">
        <f t="shared" si="30"/>
        <v xml:space="preserve">  </v>
      </c>
      <c r="DL869" s="25" t="str">
        <f t="shared" si="31"/>
        <v/>
      </c>
      <c r="DM869" s="25" t="str">
        <f>BasicInput!$D$13&amp;$DM$2&amp;B869&amp;"_"&amp;C869&amp;D869&amp;"_"&amp;BasicInput!$D$7&amp;BasicInput!$D$8&amp;"_"&amp;DL869&amp;".xuf"</f>
        <v>C:\PWWORKING\east01\d2591108\Weave\__2019EX_PM_.xuf</v>
      </c>
    </row>
    <row r="870" spans="85:117" x14ac:dyDescent="0.2">
      <c r="CG870" s="18"/>
      <c r="CM870" s="18"/>
      <c r="DK870" s="31" t="str">
        <f t="shared" si="30"/>
        <v xml:space="preserve">  </v>
      </c>
      <c r="DL870" s="25" t="str">
        <f t="shared" si="31"/>
        <v/>
      </c>
      <c r="DM870" s="25" t="str">
        <f>BasicInput!$D$13&amp;$DM$2&amp;B870&amp;"_"&amp;C870&amp;D870&amp;"_"&amp;BasicInput!$D$7&amp;BasicInput!$D$8&amp;"_"&amp;DL870&amp;".xuf"</f>
        <v>C:\PWWORKING\east01\d2591108\Weave\__2019EX_PM_.xuf</v>
      </c>
    </row>
    <row r="871" spans="85:117" x14ac:dyDescent="0.2">
      <c r="CG871" s="18"/>
      <c r="CM871" s="18"/>
      <c r="DK871" s="31" t="str">
        <f t="shared" si="30"/>
        <v xml:space="preserve">  </v>
      </c>
      <c r="DL871" s="25" t="str">
        <f t="shared" si="31"/>
        <v/>
      </c>
      <c r="DM871" s="25" t="str">
        <f>BasicInput!$D$13&amp;$DM$2&amp;B871&amp;"_"&amp;C871&amp;D871&amp;"_"&amp;BasicInput!$D$7&amp;BasicInput!$D$8&amp;"_"&amp;DL871&amp;".xuf"</f>
        <v>C:\PWWORKING\east01\d2591108\Weave\__2019EX_PM_.xuf</v>
      </c>
    </row>
    <row r="872" spans="85:117" x14ac:dyDescent="0.2">
      <c r="CG872" s="18"/>
      <c r="CM872" s="18"/>
      <c r="DK872" s="31" t="str">
        <f t="shared" si="30"/>
        <v xml:space="preserve">  </v>
      </c>
      <c r="DL872" s="25" t="str">
        <f t="shared" si="31"/>
        <v/>
      </c>
      <c r="DM872" s="25" t="str">
        <f>BasicInput!$D$13&amp;$DM$2&amp;B872&amp;"_"&amp;C872&amp;D872&amp;"_"&amp;BasicInput!$D$7&amp;BasicInput!$D$8&amp;"_"&amp;DL872&amp;".xuf"</f>
        <v>C:\PWWORKING\east01\d2591108\Weave\__2019EX_PM_.xuf</v>
      </c>
    </row>
    <row r="873" spans="85:117" x14ac:dyDescent="0.2">
      <c r="CG873" s="18"/>
      <c r="CM873" s="18"/>
      <c r="DK873" s="31" t="str">
        <f t="shared" si="30"/>
        <v xml:space="preserve">  </v>
      </c>
      <c r="DL873" s="25" t="str">
        <f t="shared" si="31"/>
        <v/>
      </c>
      <c r="DM873" s="25" t="str">
        <f>BasicInput!$D$13&amp;$DM$2&amp;B873&amp;"_"&amp;C873&amp;D873&amp;"_"&amp;BasicInput!$D$7&amp;BasicInput!$D$8&amp;"_"&amp;DL873&amp;".xuf"</f>
        <v>C:\PWWORKING\east01\d2591108\Weave\__2019EX_PM_.xuf</v>
      </c>
    </row>
    <row r="874" spans="85:117" x14ac:dyDescent="0.2">
      <c r="CG874" s="18"/>
      <c r="CM874" s="18"/>
      <c r="DK874" s="31" t="str">
        <f t="shared" si="30"/>
        <v xml:space="preserve">  </v>
      </c>
      <c r="DL874" s="25" t="str">
        <f t="shared" si="31"/>
        <v/>
      </c>
      <c r="DM874" s="25" t="str">
        <f>BasicInput!$D$13&amp;$DM$2&amp;B874&amp;"_"&amp;C874&amp;D874&amp;"_"&amp;BasicInput!$D$7&amp;BasicInput!$D$8&amp;"_"&amp;DL874&amp;".xuf"</f>
        <v>C:\PWWORKING\east01\d2591108\Weave\__2019EX_PM_.xuf</v>
      </c>
    </row>
    <row r="875" spans="85:117" x14ac:dyDescent="0.2">
      <c r="CG875" s="18"/>
      <c r="CM875" s="18"/>
      <c r="DK875" s="31" t="str">
        <f t="shared" si="30"/>
        <v xml:space="preserve">  </v>
      </c>
      <c r="DL875" s="25" t="str">
        <f t="shared" si="31"/>
        <v/>
      </c>
      <c r="DM875" s="25" t="str">
        <f>BasicInput!$D$13&amp;$DM$2&amp;B875&amp;"_"&amp;C875&amp;D875&amp;"_"&amp;BasicInput!$D$7&amp;BasicInput!$D$8&amp;"_"&amp;DL875&amp;".xuf"</f>
        <v>C:\PWWORKING\east01\d2591108\Weave\__2019EX_PM_.xuf</v>
      </c>
    </row>
    <row r="876" spans="85:117" x14ac:dyDescent="0.2">
      <c r="CG876" s="18"/>
      <c r="CM876" s="18"/>
      <c r="DK876" s="31" t="str">
        <f t="shared" si="30"/>
        <v xml:space="preserve">  </v>
      </c>
      <c r="DL876" s="25" t="str">
        <f t="shared" si="31"/>
        <v/>
      </c>
      <c r="DM876" s="25" t="str">
        <f>BasicInput!$D$13&amp;$DM$2&amp;B876&amp;"_"&amp;C876&amp;D876&amp;"_"&amp;BasicInput!$D$7&amp;BasicInput!$D$8&amp;"_"&amp;DL876&amp;".xuf"</f>
        <v>C:\PWWORKING\east01\d2591108\Weave\__2019EX_PM_.xuf</v>
      </c>
    </row>
    <row r="877" spans="85:117" x14ac:dyDescent="0.2">
      <c r="CG877" s="18"/>
      <c r="CM877" s="18"/>
      <c r="DK877" s="31" t="str">
        <f t="shared" si="30"/>
        <v xml:space="preserve">  </v>
      </c>
      <c r="DL877" s="25" t="str">
        <f t="shared" si="31"/>
        <v/>
      </c>
      <c r="DM877" s="25" t="str">
        <f>BasicInput!$D$13&amp;$DM$2&amp;B877&amp;"_"&amp;C877&amp;D877&amp;"_"&amp;BasicInput!$D$7&amp;BasicInput!$D$8&amp;"_"&amp;DL877&amp;".xuf"</f>
        <v>C:\PWWORKING\east01\d2591108\Weave\__2019EX_PM_.xuf</v>
      </c>
    </row>
    <row r="878" spans="85:117" x14ac:dyDescent="0.2">
      <c r="CG878" s="18"/>
      <c r="CM878" s="18"/>
      <c r="DK878" s="31" t="str">
        <f t="shared" si="30"/>
        <v xml:space="preserve">  </v>
      </c>
      <c r="DL878" s="25" t="str">
        <f t="shared" si="31"/>
        <v/>
      </c>
      <c r="DM878" s="25" t="str">
        <f>BasicInput!$D$13&amp;$DM$2&amp;B878&amp;"_"&amp;C878&amp;D878&amp;"_"&amp;BasicInput!$D$7&amp;BasicInput!$D$8&amp;"_"&amp;DL878&amp;".xuf"</f>
        <v>C:\PWWORKING\east01\d2591108\Weave\__2019EX_PM_.xuf</v>
      </c>
    </row>
    <row r="879" spans="85:117" x14ac:dyDescent="0.2">
      <c r="CG879" s="18"/>
      <c r="CM879" s="18"/>
      <c r="DK879" s="31" t="str">
        <f t="shared" si="30"/>
        <v xml:space="preserve">  </v>
      </c>
      <c r="DL879" s="25" t="str">
        <f t="shared" si="31"/>
        <v/>
      </c>
      <c r="DM879" s="25" t="str">
        <f>BasicInput!$D$13&amp;$DM$2&amp;B879&amp;"_"&amp;C879&amp;D879&amp;"_"&amp;BasicInput!$D$7&amp;BasicInput!$D$8&amp;"_"&amp;DL879&amp;".xuf"</f>
        <v>C:\PWWORKING\east01\d2591108\Weave\__2019EX_PM_.xuf</v>
      </c>
    </row>
    <row r="880" spans="85:117" x14ac:dyDescent="0.2">
      <c r="CG880" s="18"/>
      <c r="CM880" s="18"/>
      <c r="DK880" s="31" t="str">
        <f t="shared" si="30"/>
        <v xml:space="preserve">  </v>
      </c>
      <c r="DL880" s="25" t="str">
        <f t="shared" si="31"/>
        <v/>
      </c>
      <c r="DM880" s="25" t="str">
        <f>BasicInput!$D$13&amp;$DM$2&amp;B880&amp;"_"&amp;C880&amp;D880&amp;"_"&amp;BasicInput!$D$7&amp;BasicInput!$D$8&amp;"_"&amp;DL880&amp;".xuf"</f>
        <v>C:\PWWORKING\east01\d2591108\Weave\__2019EX_PM_.xuf</v>
      </c>
    </row>
    <row r="881" spans="85:117" x14ac:dyDescent="0.2">
      <c r="CG881" s="18"/>
      <c r="CM881" s="18"/>
      <c r="DK881" s="31" t="str">
        <f t="shared" si="30"/>
        <v xml:space="preserve">  </v>
      </c>
      <c r="DL881" s="25" t="str">
        <f t="shared" si="31"/>
        <v/>
      </c>
      <c r="DM881" s="25" t="str">
        <f>BasicInput!$D$13&amp;$DM$2&amp;B881&amp;"_"&amp;C881&amp;D881&amp;"_"&amp;BasicInput!$D$7&amp;BasicInput!$D$8&amp;"_"&amp;DL881&amp;".xuf"</f>
        <v>C:\PWWORKING\east01\d2591108\Weave\__2019EX_PM_.xuf</v>
      </c>
    </row>
    <row r="882" spans="85:117" x14ac:dyDescent="0.2">
      <c r="CG882" s="18"/>
      <c r="CM882" s="18"/>
      <c r="DK882" s="31" t="str">
        <f t="shared" si="30"/>
        <v xml:space="preserve">  </v>
      </c>
      <c r="DL882" s="25" t="str">
        <f t="shared" si="31"/>
        <v/>
      </c>
      <c r="DM882" s="25" t="str">
        <f>BasicInput!$D$13&amp;$DM$2&amp;B882&amp;"_"&amp;C882&amp;D882&amp;"_"&amp;BasicInput!$D$7&amp;BasicInput!$D$8&amp;"_"&amp;DL882&amp;".xuf"</f>
        <v>C:\PWWORKING\east01\d2591108\Weave\__2019EX_PM_.xuf</v>
      </c>
    </row>
    <row r="883" spans="85:117" x14ac:dyDescent="0.2">
      <c r="CG883" s="18"/>
      <c r="CM883" s="18"/>
      <c r="DK883" s="31" t="str">
        <f t="shared" si="30"/>
        <v xml:space="preserve">  </v>
      </c>
      <c r="DL883" s="25" t="str">
        <f t="shared" si="31"/>
        <v/>
      </c>
      <c r="DM883" s="25" t="str">
        <f>BasicInput!$D$13&amp;$DM$2&amp;B883&amp;"_"&amp;C883&amp;D883&amp;"_"&amp;BasicInput!$D$7&amp;BasicInput!$D$8&amp;"_"&amp;DL883&amp;".xuf"</f>
        <v>C:\PWWORKING\east01\d2591108\Weave\__2019EX_PM_.xuf</v>
      </c>
    </row>
    <row r="884" spans="85:117" x14ac:dyDescent="0.2">
      <c r="CG884" s="18"/>
      <c r="CM884" s="18"/>
      <c r="DK884" s="31" t="str">
        <f t="shared" si="30"/>
        <v xml:space="preserve">  </v>
      </c>
      <c r="DL884" s="25" t="str">
        <f t="shared" si="31"/>
        <v/>
      </c>
      <c r="DM884" s="25" t="str">
        <f>BasicInput!$D$13&amp;$DM$2&amp;B884&amp;"_"&amp;C884&amp;D884&amp;"_"&amp;BasicInput!$D$7&amp;BasicInput!$D$8&amp;"_"&amp;DL884&amp;".xuf"</f>
        <v>C:\PWWORKING\east01\d2591108\Weave\__2019EX_PM_.xuf</v>
      </c>
    </row>
    <row r="885" spans="85:117" x14ac:dyDescent="0.2">
      <c r="CG885" s="18"/>
      <c r="CM885" s="18"/>
      <c r="DK885" s="31" t="str">
        <f t="shared" si="30"/>
        <v xml:space="preserve">  </v>
      </c>
      <c r="DL885" s="25" t="str">
        <f t="shared" si="31"/>
        <v/>
      </c>
      <c r="DM885" s="25" t="str">
        <f>BasicInput!$D$13&amp;$DM$2&amp;B885&amp;"_"&amp;C885&amp;D885&amp;"_"&amp;BasicInput!$D$7&amp;BasicInput!$D$8&amp;"_"&amp;DL885&amp;".xuf"</f>
        <v>C:\PWWORKING\east01\d2591108\Weave\__2019EX_PM_.xuf</v>
      </c>
    </row>
    <row r="886" spans="85:117" x14ac:dyDescent="0.2">
      <c r="CG886" s="18"/>
      <c r="CM886" s="18"/>
      <c r="DK886" s="31" t="str">
        <f t="shared" si="30"/>
        <v xml:space="preserve">  </v>
      </c>
      <c r="DL886" s="25" t="str">
        <f t="shared" si="31"/>
        <v/>
      </c>
      <c r="DM886" s="25" t="str">
        <f>BasicInput!$D$13&amp;$DM$2&amp;B886&amp;"_"&amp;C886&amp;D886&amp;"_"&amp;BasicInput!$D$7&amp;BasicInput!$D$8&amp;"_"&amp;DL886&amp;".xuf"</f>
        <v>C:\PWWORKING\east01\d2591108\Weave\__2019EX_PM_.xuf</v>
      </c>
    </row>
    <row r="887" spans="85:117" x14ac:dyDescent="0.2">
      <c r="CG887" s="18"/>
      <c r="CM887" s="18"/>
      <c r="DK887" s="31" t="str">
        <f t="shared" si="30"/>
        <v xml:space="preserve">  </v>
      </c>
      <c r="DL887" s="25" t="str">
        <f t="shared" si="31"/>
        <v/>
      </c>
      <c r="DM887" s="25" t="str">
        <f>BasicInput!$D$13&amp;$DM$2&amp;B887&amp;"_"&amp;C887&amp;D887&amp;"_"&amp;BasicInput!$D$7&amp;BasicInput!$D$8&amp;"_"&amp;DL887&amp;".xuf"</f>
        <v>C:\PWWORKING\east01\d2591108\Weave\__2019EX_PM_.xuf</v>
      </c>
    </row>
    <row r="888" spans="85:117" x14ac:dyDescent="0.2">
      <c r="CG888" s="18"/>
      <c r="CM888" s="18"/>
      <c r="DK888" s="31" t="str">
        <f t="shared" si="30"/>
        <v xml:space="preserve">  </v>
      </c>
      <c r="DL888" s="25" t="str">
        <f t="shared" si="31"/>
        <v/>
      </c>
      <c r="DM888" s="25" t="str">
        <f>BasicInput!$D$13&amp;$DM$2&amp;B888&amp;"_"&amp;C888&amp;D888&amp;"_"&amp;BasicInput!$D$7&amp;BasicInput!$D$8&amp;"_"&amp;DL888&amp;".xuf"</f>
        <v>C:\PWWORKING\east01\d2591108\Weave\__2019EX_PM_.xuf</v>
      </c>
    </row>
    <row r="889" spans="85:117" x14ac:dyDescent="0.2">
      <c r="CG889" s="18"/>
      <c r="CM889" s="18"/>
      <c r="DK889" s="31" t="str">
        <f t="shared" si="30"/>
        <v xml:space="preserve">  </v>
      </c>
      <c r="DL889" s="25" t="str">
        <f t="shared" si="31"/>
        <v/>
      </c>
      <c r="DM889" s="25" t="str">
        <f>BasicInput!$D$13&amp;$DM$2&amp;B889&amp;"_"&amp;C889&amp;D889&amp;"_"&amp;BasicInput!$D$7&amp;BasicInput!$D$8&amp;"_"&amp;DL889&amp;".xuf"</f>
        <v>C:\PWWORKING\east01\d2591108\Weave\__2019EX_PM_.xuf</v>
      </c>
    </row>
    <row r="890" spans="85:117" x14ac:dyDescent="0.2">
      <c r="CG890" s="18"/>
      <c r="CM890" s="18"/>
      <c r="DK890" s="31" t="str">
        <f t="shared" si="30"/>
        <v xml:space="preserve">  </v>
      </c>
      <c r="DL890" s="25" t="str">
        <f t="shared" si="31"/>
        <v/>
      </c>
      <c r="DM890" s="25" t="str">
        <f>BasicInput!$D$13&amp;$DM$2&amp;B890&amp;"_"&amp;C890&amp;D890&amp;"_"&amp;BasicInput!$D$7&amp;BasicInput!$D$8&amp;"_"&amp;DL890&amp;".xuf"</f>
        <v>C:\PWWORKING\east01\d2591108\Weave\__2019EX_PM_.xuf</v>
      </c>
    </row>
    <row r="891" spans="85:117" x14ac:dyDescent="0.2">
      <c r="CG891" s="18"/>
      <c r="CM891" s="18"/>
      <c r="DK891" s="31" t="str">
        <f t="shared" si="30"/>
        <v xml:space="preserve">  </v>
      </c>
      <c r="DL891" s="25" t="str">
        <f t="shared" si="31"/>
        <v/>
      </c>
      <c r="DM891" s="25" t="str">
        <f>BasicInput!$D$13&amp;$DM$2&amp;B891&amp;"_"&amp;C891&amp;D891&amp;"_"&amp;BasicInput!$D$7&amp;BasicInput!$D$8&amp;"_"&amp;DL891&amp;".xuf"</f>
        <v>C:\PWWORKING\east01\d2591108\Weave\__2019EX_PM_.xuf</v>
      </c>
    </row>
    <row r="892" spans="85:117" x14ac:dyDescent="0.2">
      <c r="CG892" s="18"/>
      <c r="CM892" s="18"/>
      <c r="DK892" s="31" t="str">
        <f t="shared" si="30"/>
        <v xml:space="preserve">  </v>
      </c>
      <c r="DL892" s="25" t="str">
        <f t="shared" si="31"/>
        <v/>
      </c>
      <c r="DM892" s="25" t="str">
        <f>BasicInput!$D$13&amp;$DM$2&amp;B892&amp;"_"&amp;C892&amp;D892&amp;"_"&amp;BasicInput!$D$7&amp;BasicInput!$D$8&amp;"_"&amp;DL892&amp;".xuf"</f>
        <v>C:\PWWORKING\east01\d2591108\Weave\__2019EX_PM_.xuf</v>
      </c>
    </row>
    <row r="893" spans="85:117" x14ac:dyDescent="0.2">
      <c r="CG893" s="18"/>
      <c r="CM893" s="18"/>
      <c r="DK893" s="31" t="str">
        <f t="shared" si="30"/>
        <v xml:space="preserve">  </v>
      </c>
      <c r="DL893" s="25" t="str">
        <f t="shared" si="31"/>
        <v/>
      </c>
      <c r="DM893" s="25" t="str">
        <f>BasicInput!$D$13&amp;$DM$2&amp;B893&amp;"_"&amp;C893&amp;D893&amp;"_"&amp;BasicInput!$D$7&amp;BasicInput!$D$8&amp;"_"&amp;DL893&amp;".xuf"</f>
        <v>C:\PWWORKING\east01\d2591108\Weave\__2019EX_PM_.xuf</v>
      </c>
    </row>
    <row r="894" spans="85:117" x14ac:dyDescent="0.2">
      <c r="CG894" s="18"/>
      <c r="CM894" s="18"/>
      <c r="DK894" s="31" t="str">
        <f t="shared" si="30"/>
        <v xml:space="preserve">  </v>
      </c>
      <c r="DL894" s="25" t="str">
        <f t="shared" si="31"/>
        <v/>
      </c>
      <c r="DM894" s="25" t="str">
        <f>BasicInput!$D$13&amp;$DM$2&amp;B894&amp;"_"&amp;C894&amp;D894&amp;"_"&amp;BasicInput!$D$7&amp;BasicInput!$D$8&amp;"_"&amp;DL894&amp;".xuf"</f>
        <v>C:\PWWORKING\east01\d2591108\Weave\__2019EX_PM_.xuf</v>
      </c>
    </row>
    <row r="895" spans="85:117" x14ac:dyDescent="0.2">
      <c r="CG895" s="18"/>
      <c r="CM895" s="18"/>
      <c r="DK895" s="31" t="str">
        <f t="shared" si="30"/>
        <v xml:space="preserve">  </v>
      </c>
      <c r="DL895" s="25" t="str">
        <f t="shared" si="31"/>
        <v/>
      </c>
      <c r="DM895" s="25" t="str">
        <f>BasicInput!$D$13&amp;$DM$2&amp;B895&amp;"_"&amp;C895&amp;D895&amp;"_"&amp;BasicInput!$D$7&amp;BasicInput!$D$8&amp;"_"&amp;DL895&amp;".xuf"</f>
        <v>C:\PWWORKING\east01\d2591108\Weave\__2019EX_PM_.xuf</v>
      </c>
    </row>
    <row r="896" spans="85:117" x14ac:dyDescent="0.2">
      <c r="CG896" s="18"/>
      <c r="CM896" s="18"/>
      <c r="DK896" s="31" t="str">
        <f t="shared" si="30"/>
        <v xml:space="preserve">  </v>
      </c>
      <c r="DL896" s="25" t="str">
        <f t="shared" si="31"/>
        <v/>
      </c>
      <c r="DM896" s="25" t="str">
        <f>BasicInput!$D$13&amp;$DM$2&amp;B896&amp;"_"&amp;C896&amp;D896&amp;"_"&amp;BasicInput!$D$7&amp;BasicInput!$D$8&amp;"_"&amp;DL896&amp;".xuf"</f>
        <v>C:\PWWORKING\east01\d2591108\Weave\__2019EX_PM_.xuf</v>
      </c>
    </row>
    <row r="897" spans="85:117" x14ac:dyDescent="0.2">
      <c r="CG897" s="18"/>
      <c r="CM897" s="18"/>
      <c r="DK897" s="31" t="str">
        <f t="shared" si="30"/>
        <v xml:space="preserve">  </v>
      </c>
      <c r="DL897" s="25" t="str">
        <f t="shared" si="31"/>
        <v/>
      </c>
      <c r="DM897" s="25" t="str">
        <f>BasicInput!$D$13&amp;$DM$2&amp;B897&amp;"_"&amp;C897&amp;D897&amp;"_"&amp;BasicInput!$D$7&amp;BasicInput!$D$8&amp;"_"&amp;DL897&amp;".xuf"</f>
        <v>C:\PWWORKING\east01\d2591108\Weave\__2019EX_PM_.xuf</v>
      </c>
    </row>
    <row r="898" spans="85:117" x14ac:dyDescent="0.2">
      <c r="CG898" s="18"/>
      <c r="CM898" s="18"/>
      <c r="DK898" s="31" t="str">
        <f t="shared" si="30"/>
        <v xml:space="preserve">  </v>
      </c>
      <c r="DL898" s="25" t="str">
        <f t="shared" si="31"/>
        <v/>
      </c>
      <c r="DM898" s="25" t="str">
        <f>BasicInput!$D$13&amp;$DM$2&amp;B898&amp;"_"&amp;C898&amp;D898&amp;"_"&amp;BasicInput!$D$7&amp;BasicInput!$D$8&amp;"_"&amp;DL898&amp;".xuf"</f>
        <v>C:\PWWORKING\east01\d2591108\Weave\__2019EX_PM_.xuf</v>
      </c>
    </row>
    <row r="899" spans="85:117" x14ac:dyDescent="0.2">
      <c r="CG899" s="18"/>
      <c r="CM899" s="18"/>
      <c r="DK899" s="31" t="str">
        <f t="shared" si="30"/>
        <v xml:space="preserve">  </v>
      </c>
      <c r="DL899" s="25" t="str">
        <f t="shared" si="31"/>
        <v/>
      </c>
      <c r="DM899" s="25" t="str">
        <f>BasicInput!$D$13&amp;$DM$2&amp;B899&amp;"_"&amp;C899&amp;D899&amp;"_"&amp;BasicInput!$D$7&amp;BasicInput!$D$8&amp;"_"&amp;DL899&amp;".xuf"</f>
        <v>C:\PWWORKING\east01\d2591108\Weave\__2019EX_PM_.xuf</v>
      </c>
    </row>
    <row r="900" spans="85:117" x14ac:dyDescent="0.2">
      <c r="CG900" s="18"/>
      <c r="CM900" s="18"/>
      <c r="DK900" s="31" t="str">
        <f t="shared" si="30"/>
        <v xml:space="preserve">  </v>
      </c>
      <c r="DL900" s="25" t="str">
        <f t="shared" si="31"/>
        <v/>
      </c>
      <c r="DM900" s="25" t="str">
        <f>BasicInput!$D$13&amp;$DM$2&amp;B900&amp;"_"&amp;C900&amp;D900&amp;"_"&amp;BasicInput!$D$7&amp;BasicInput!$D$8&amp;"_"&amp;DL900&amp;".xuf"</f>
        <v>C:\PWWORKING\east01\d2591108\Weave\__2019EX_PM_.xuf</v>
      </c>
    </row>
    <row r="901" spans="85:117" x14ac:dyDescent="0.2">
      <c r="CG901" s="18"/>
      <c r="CM901" s="18"/>
      <c r="DK901" s="31" t="str">
        <f t="shared" si="30"/>
        <v xml:space="preserve">  </v>
      </c>
      <c r="DL901" s="25" t="str">
        <f t="shared" si="31"/>
        <v/>
      </c>
      <c r="DM901" s="25" t="str">
        <f>BasicInput!$D$13&amp;$DM$2&amp;B901&amp;"_"&amp;C901&amp;D901&amp;"_"&amp;BasicInput!$D$7&amp;BasicInput!$D$8&amp;"_"&amp;DL901&amp;".xuf"</f>
        <v>C:\PWWORKING\east01\d2591108\Weave\__2019EX_PM_.xuf</v>
      </c>
    </row>
    <row r="902" spans="85:117" x14ac:dyDescent="0.2">
      <c r="CG902" s="18"/>
      <c r="CM902" s="18"/>
      <c r="DK902" s="31" t="str">
        <f t="shared" si="30"/>
        <v xml:space="preserve">  </v>
      </c>
      <c r="DL902" s="25" t="str">
        <f t="shared" si="31"/>
        <v/>
      </c>
      <c r="DM902" s="25" t="str">
        <f>BasicInput!$D$13&amp;$DM$2&amp;B902&amp;"_"&amp;C902&amp;D902&amp;"_"&amp;BasicInput!$D$7&amp;BasicInput!$D$8&amp;"_"&amp;DL902&amp;".xuf"</f>
        <v>C:\PWWORKING\east01\d2591108\Weave\__2019EX_PM_.xuf</v>
      </c>
    </row>
    <row r="903" spans="85:117" x14ac:dyDescent="0.2">
      <c r="CG903" s="18"/>
      <c r="CM903" s="18"/>
      <c r="DK903" s="31" t="str">
        <f t="shared" si="30"/>
        <v xml:space="preserve">  </v>
      </c>
      <c r="DL903" s="25" t="str">
        <f t="shared" si="31"/>
        <v/>
      </c>
      <c r="DM903" s="25" t="str">
        <f>BasicInput!$D$13&amp;$DM$2&amp;B903&amp;"_"&amp;C903&amp;D903&amp;"_"&amp;BasicInput!$D$7&amp;BasicInput!$D$8&amp;"_"&amp;DL903&amp;".xuf"</f>
        <v>C:\PWWORKING\east01\d2591108\Weave\__2019EX_PM_.xuf</v>
      </c>
    </row>
    <row r="904" spans="85:117" x14ac:dyDescent="0.2">
      <c r="CG904" s="18"/>
      <c r="CM904" s="18"/>
      <c r="DK904" s="31" t="str">
        <f t="shared" si="30"/>
        <v xml:space="preserve">  </v>
      </c>
      <c r="DL904" s="25" t="str">
        <f t="shared" si="31"/>
        <v/>
      </c>
      <c r="DM904" s="25" t="str">
        <f>BasicInput!$D$13&amp;$DM$2&amp;B904&amp;"_"&amp;C904&amp;D904&amp;"_"&amp;BasicInput!$D$7&amp;BasicInput!$D$8&amp;"_"&amp;DL904&amp;".xuf"</f>
        <v>C:\PWWORKING\east01\d2591108\Weave\__2019EX_PM_.xuf</v>
      </c>
    </row>
    <row r="905" spans="85:117" x14ac:dyDescent="0.2">
      <c r="CG905" s="18"/>
      <c r="CM905" s="18"/>
      <c r="DK905" s="31" t="str">
        <f t="shared" si="30"/>
        <v xml:space="preserve">  </v>
      </c>
      <c r="DL905" s="25" t="str">
        <f t="shared" si="31"/>
        <v/>
      </c>
      <c r="DM905" s="25" t="str">
        <f>BasicInput!$D$13&amp;$DM$2&amp;B905&amp;"_"&amp;C905&amp;D905&amp;"_"&amp;BasicInput!$D$7&amp;BasicInput!$D$8&amp;"_"&amp;DL905&amp;".xuf"</f>
        <v>C:\PWWORKING\east01\d2591108\Weave\__2019EX_PM_.xuf</v>
      </c>
    </row>
    <row r="906" spans="85:117" x14ac:dyDescent="0.2">
      <c r="CG906" s="18"/>
      <c r="CM906" s="18"/>
      <c r="DK906" s="31" t="str">
        <f t="shared" si="30"/>
        <v xml:space="preserve">  </v>
      </c>
      <c r="DL906" s="25" t="str">
        <f t="shared" si="31"/>
        <v/>
      </c>
      <c r="DM906" s="25" t="str">
        <f>BasicInput!$D$13&amp;$DM$2&amp;B906&amp;"_"&amp;C906&amp;D906&amp;"_"&amp;BasicInput!$D$7&amp;BasicInput!$D$8&amp;"_"&amp;DL906&amp;".xuf"</f>
        <v>C:\PWWORKING\east01\d2591108\Weave\__2019EX_PM_.xuf</v>
      </c>
    </row>
    <row r="907" spans="85:117" x14ac:dyDescent="0.2">
      <c r="CG907" s="18"/>
      <c r="CM907" s="18"/>
      <c r="DK907" s="31" t="str">
        <f t="shared" si="30"/>
        <v xml:space="preserve">  </v>
      </c>
      <c r="DL907" s="25" t="str">
        <f t="shared" si="31"/>
        <v/>
      </c>
      <c r="DM907" s="25" t="str">
        <f>BasicInput!$D$13&amp;$DM$2&amp;B907&amp;"_"&amp;C907&amp;D907&amp;"_"&amp;BasicInput!$D$7&amp;BasicInput!$D$8&amp;"_"&amp;DL907&amp;".xuf"</f>
        <v>C:\PWWORKING\east01\d2591108\Weave\__2019EX_PM_.xuf</v>
      </c>
    </row>
    <row r="908" spans="85:117" x14ac:dyDescent="0.2">
      <c r="CG908" s="18"/>
      <c r="CM908" s="18"/>
      <c r="DK908" s="31" t="str">
        <f t="shared" ref="DK908:DK971" si="32">C908&amp; " "&amp;D908&amp;" " &amp;E908</f>
        <v xml:space="preserve">  </v>
      </c>
      <c r="DL908" s="25" t="str">
        <f t="shared" ref="DL908:DL971" si="33">TRIM(LEFT(E908, 30))</f>
        <v/>
      </c>
      <c r="DM908" s="25" t="str">
        <f>BasicInput!$D$13&amp;$DM$2&amp;B908&amp;"_"&amp;C908&amp;D908&amp;"_"&amp;BasicInput!$D$7&amp;BasicInput!$D$8&amp;"_"&amp;DL908&amp;".xuf"</f>
        <v>C:\PWWORKING\east01\d2591108\Weave\__2019EX_PM_.xuf</v>
      </c>
    </row>
    <row r="909" spans="85:117" x14ac:dyDescent="0.2">
      <c r="CG909" s="18"/>
      <c r="CM909" s="18"/>
      <c r="DK909" s="31" t="str">
        <f t="shared" si="32"/>
        <v xml:space="preserve">  </v>
      </c>
      <c r="DL909" s="25" t="str">
        <f t="shared" si="33"/>
        <v/>
      </c>
      <c r="DM909" s="25" t="str">
        <f>BasicInput!$D$13&amp;$DM$2&amp;B909&amp;"_"&amp;C909&amp;D909&amp;"_"&amp;BasicInput!$D$7&amp;BasicInput!$D$8&amp;"_"&amp;DL909&amp;".xuf"</f>
        <v>C:\PWWORKING\east01\d2591108\Weave\__2019EX_PM_.xuf</v>
      </c>
    </row>
    <row r="910" spans="85:117" x14ac:dyDescent="0.2">
      <c r="CG910" s="18"/>
      <c r="CM910" s="18"/>
      <c r="DK910" s="31" t="str">
        <f t="shared" si="32"/>
        <v xml:space="preserve">  </v>
      </c>
      <c r="DL910" s="25" t="str">
        <f t="shared" si="33"/>
        <v/>
      </c>
      <c r="DM910" s="25" t="str">
        <f>BasicInput!$D$13&amp;$DM$2&amp;B910&amp;"_"&amp;C910&amp;D910&amp;"_"&amp;BasicInput!$D$7&amp;BasicInput!$D$8&amp;"_"&amp;DL910&amp;".xuf"</f>
        <v>C:\PWWORKING\east01\d2591108\Weave\__2019EX_PM_.xuf</v>
      </c>
    </row>
    <row r="911" spans="85:117" x14ac:dyDescent="0.2">
      <c r="CG911" s="18"/>
      <c r="CM911" s="18"/>
      <c r="DK911" s="31" t="str">
        <f t="shared" si="32"/>
        <v xml:space="preserve">  </v>
      </c>
      <c r="DL911" s="25" t="str">
        <f t="shared" si="33"/>
        <v/>
      </c>
      <c r="DM911" s="25" t="str">
        <f>BasicInput!$D$13&amp;$DM$2&amp;B911&amp;"_"&amp;C911&amp;D911&amp;"_"&amp;BasicInput!$D$7&amp;BasicInput!$D$8&amp;"_"&amp;DL911&amp;".xuf"</f>
        <v>C:\PWWORKING\east01\d2591108\Weave\__2019EX_PM_.xuf</v>
      </c>
    </row>
    <row r="912" spans="85:117" x14ac:dyDescent="0.2">
      <c r="CG912" s="18"/>
      <c r="CM912" s="18"/>
      <c r="DK912" s="31" t="str">
        <f t="shared" si="32"/>
        <v xml:space="preserve">  </v>
      </c>
      <c r="DL912" s="25" t="str">
        <f t="shared" si="33"/>
        <v/>
      </c>
      <c r="DM912" s="25" t="str">
        <f>BasicInput!$D$13&amp;$DM$2&amp;B912&amp;"_"&amp;C912&amp;D912&amp;"_"&amp;BasicInput!$D$7&amp;BasicInput!$D$8&amp;"_"&amp;DL912&amp;".xuf"</f>
        <v>C:\PWWORKING\east01\d2591108\Weave\__2019EX_PM_.xuf</v>
      </c>
    </row>
    <row r="913" spans="85:117" x14ac:dyDescent="0.2">
      <c r="CG913" s="18"/>
      <c r="CM913" s="18"/>
      <c r="DK913" s="31" t="str">
        <f t="shared" si="32"/>
        <v xml:space="preserve">  </v>
      </c>
      <c r="DL913" s="25" t="str">
        <f t="shared" si="33"/>
        <v/>
      </c>
      <c r="DM913" s="25" t="str">
        <f>BasicInput!$D$13&amp;$DM$2&amp;B913&amp;"_"&amp;C913&amp;D913&amp;"_"&amp;BasicInput!$D$7&amp;BasicInput!$D$8&amp;"_"&amp;DL913&amp;".xuf"</f>
        <v>C:\PWWORKING\east01\d2591108\Weave\__2019EX_PM_.xuf</v>
      </c>
    </row>
    <row r="914" spans="85:117" x14ac:dyDescent="0.2">
      <c r="CG914" s="18"/>
      <c r="CM914" s="18"/>
      <c r="DK914" s="31" t="str">
        <f t="shared" si="32"/>
        <v xml:space="preserve">  </v>
      </c>
      <c r="DL914" s="25" t="str">
        <f t="shared" si="33"/>
        <v/>
      </c>
      <c r="DM914" s="25" t="str">
        <f>BasicInput!$D$13&amp;$DM$2&amp;B914&amp;"_"&amp;C914&amp;D914&amp;"_"&amp;BasicInput!$D$7&amp;BasicInput!$D$8&amp;"_"&amp;DL914&amp;".xuf"</f>
        <v>C:\PWWORKING\east01\d2591108\Weave\__2019EX_PM_.xuf</v>
      </c>
    </row>
    <row r="915" spans="85:117" x14ac:dyDescent="0.2">
      <c r="CG915" s="18"/>
      <c r="CM915" s="18"/>
      <c r="DK915" s="31" t="str">
        <f t="shared" si="32"/>
        <v xml:space="preserve">  </v>
      </c>
      <c r="DL915" s="25" t="str">
        <f t="shared" si="33"/>
        <v/>
      </c>
      <c r="DM915" s="25" t="str">
        <f>BasicInput!$D$13&amp;$DM$2&amp;B915&amp;"_"&amp;C915&amp;D915&amp;"_"&amp;BasicInput!$D$7&amp;BasicInput!$D$8&amp;"_"&amp;DL915&amp;".xuf"</f>
        <v>C:\PWWORKING\east01\d2591108\Weave\__2019EX_PM_.xuf</v>
      </c>
    </row>
    <row r="916" spans="85:117" x14ac:dyDescent="0.2">
      <c r="CG916" s="18"/>
      <c r="CM916" s="18"/>
      <c r="DK916" s="31" t="str">
        <f t="shared" si="32"/>
        <v xml:space="preserve">  </v>
      </c>
      <c r="DL916" s="25" t="str">
        <f t="shared" si="33"/>
        <v/>
      </c>
      <c r="DM916" s="25" t="str">
        <f>BasicInput!$D$13&amp;$DM$2&amp;B916&amp;"_"&amp;C916&amp;D916&amp;"_"&amp;BasicInput!$D$7&amp;BasicInput!$D$8&amp;"_"&amp;DL916&amp;".xuf"</f>
        <v>C:\PWWORKING\east01\d2591108\Weave\__2019EX_PM_.xuf</v>
      </c>
    </row>
    <row r="917" spans="85:117" x14ac:dyDescent="0.2">
      <c r="CG917" s="18"/>
      <c r="CM917" s="18"/>
      <c r="DK917" s="31" t="str">
        <f t="shared" si="32"/>
        <v xml:space="preserve">  </v>
      </c>
      <c r="DL917" s="25" t="str">
        <f t="shared" si="33"/>
        <v/>
      </c>
      <c r="DM917" s="25" t="str">
        <f>BasicInput!$D$13&amp;$DM$2&amp;B917&amp;"_"&amp;C917&amp;D917&amp;"_"&amp;BasicInput!$D$7&amp;BasicInput!$D$8&amp;"_"&amp;DL917&amp;".xuf"</f>
        <v>C:\PWWORKING\east01\d2591108\Weave\__2019EX_PM_.xuf</v>
      </c>
    </row>
    <row r="918" spans="85:117" x14ac:dyDescent="0.2">
      <c r="CG918" s="18"/>
      <c r="CM918" s="18"/>
      <c r="DK918" s="31" t="str">
        <f t="shared" si="32"/>
        <v xml:space="preserve">  </v>
      </c>
      <c r="DL918" s="25" t="str">
        <f t="shared" si="33"/>
        <v/>
      </c>
      <c r="DM918" s="25" t="str">
        <f>BasicInput!$D$13&amp;$DM$2&amp;B918&amp;"_"&amp;C918&amp;D918&amp;"_"&amp;BasicInput!$D$7&amp;BasicInput!$D$8&amp;"_"&amp;DL918&amp;".xuf"</f>
        <v>C:\PWWORKING\east01\d2591108\Weave\__2019EX_PM_.xuf</v>
      </c>
    </row>
    <row r="919" spans="85:117" x14ac:dyDescent="0.2">
      <c r="CG919" s="18"/>
      <c r="CM919" s="18"/>
      <c r="DK919" s="31" t="str">
        <f t="shared" si="32"/>
        <v xml:space="preserve">  </v>
      </c>
      <c r="DL919" s="25" t="str">
        <f t="shared" si="33"/>
        <v/>
      </c>
      <c r="DM919" s="25" t="str">
        <f>BasicInput!$D$13&amp;$DM$2&amp;B919&amp;"_"&amp;C919&amp;D919&amp;"_"&amp;BasicInput!$D$7&amp;BasicInput!$D$8&amp;"_"&amp;DL919&amp;".xuf"</f>
        <v>C:\PWWORKING\east01\d2591108\Weave\__2019EX_PM_.xuf</v>
      </c>
    </row>
    <row r="920" spans="85:117" x14ac:dyDescent="0.2">
      <c r="CG920" s="18"/>
      <c r="CM920" s="18"/>
      <c r="DK920" s="31" t="str">
        <f t="shared" si="32"/>
        <v xml:space="preserve">  </v>
      </c>
      <c r="DL920" s="25" t="str">
        <f t="shared" si="33"/>
        <v/>
      </c>
      <c r="DM920" s="25" t="str">
        <f>BasicInput!$D$13&amp;$DM$2&amp;B920&amp;"_"&amp;C920&amp;D920&amp;"_"&amp;BasicInput!$D$7&amp;BasicInput!$D$8&amp;"_"&amp;DL920&amp;".xuf"</f>
        <v>C:\PWWORKING\east01\d2591108\Weave\__2019EX_PM_.xuf</v>
      </c>
    </row>
    <row r="921" spans="85:117" x14ac:dyDescent="0.2">
      <c r="CG921" s="18"/>
      <c r="CM921" s="18"/>
      <c r="DK921" s="31" t="str">
        <f t="shared" si="32"/>
        <v xml:space="preserve">  </v>
      </c>
      <c r="DL921" s="25" t="str">
        <f t="shared" si="33"/>
        <v/>
      </c>
      <c r="DM921" s="25" t="str">
        <f>BasicInput!$D$13&amp;$DM$2&amp;B921&amp;"_"&amp;C921&amp;D921&amp;"_"&amp;BasicInput!$D$7&amp;BasicInput!$D$8&amp;"_"&amp;DL921&amp;".xuf"</f>
        <v>C:\PWWORKING\east01\d2591108\Weave\__2019EX_PM_.xuf</v>
      </c>
    </row>
    <row r="922" spans="85:117" x14ac:dyDescent="0.2">
      <c r="CG922" s="18"/>
      <c r="CM922" s="18"/>
      <c r="DK922" s="31" t="str">
        <f t="shared" si="32"/>
        <v xml:space="preserve">  </v>
      </c>
      <c r="DL922" s="25" t="str">
        <f t="shared" si="33"/>
        <v/>
      </c>
      <c r="DM922" s="25" t="str">
        <f>BasicInput!$D$13&amp;$DM$2&amp;B922&amp;"_"&amp;C922&amp;D922&amp;"_"&amp;BasicInput!$D$7&amp;BasicInput!$D$8&amp;"_"&amp;DL922&amp;".xuf"</f>
        <v>C:\PWWORKING\east01\d2591108\Weave\__2019EX_PM_.xuf</v>
      </c>
    </row>
    <row r="923" spans="85:117" x14ac:dyDescent="0.2">
      <c r="CG923" s="18"/>
      <c r="CM923" s="18"/>
      <c r="DK923" s="31" t="str">
        <f t="shared" si="32"/>
        <v xml:space="preserve">  </v>
      </c>
      <c r="DL923" s="25" t="str">
        <f t="shared" si="33"/>
        <v/>
      </c>
      <c r="DM923" s="25" t="str">
        <f>BasicInput!$D$13&amp;$DM$2&amp;B923&amp;"_"&amp;C923&amp;D923&amp;"_"&amp;BasicInput!$D$7&amp;BasicInput!$D$8&amp;"_"&amp;DL923&amp;".xuf"</f>
        <v>C:\PWWORKING\east01\d2591108\Weave\__2019EX_PM_.xuf</v>
      </c>
    </row>
    <row r="924" spans="85:117" x14ac:dyDescent="0.2">
      <c r="CG924" s="18"/>
      <c r="CM924" s="18"/>
      <c r="DK924" s="31" t="str">
        <f t="shared" si="32"/>
        <v xml:space="preserve">  </v>
      </c>
      <c r="DL924" s="25" t="str">
        <f t="shared" si="33"/>
        <v/>
      </c>
      <c r="DM924" s="25" t="str">
        <f>BasicInput!$D$13&amp;$DM$2&amp;B924&amp;"_"&amp;C924&amp;D924&amp;"_"&amp;BasicInput!$D$7&amp;BasicInput!$D$8&amp;"_"&amp;DL924&amp;".xuf"</f>
        <v>C:\PWWORKING\east01\d2591108\Weave\__2019EX_PM_.xuf</v>
      </c>
    </row>
    <row r="925" spans="85:117" x14ac:dyDescent="0.2">
      <c r="CG925" s="18"/>
      <c r="CM925" s="18"/>
      <c r="DK925" s="31" t="str">
        <f t="shared" si="32"/>
        <v xml:space="preserve">  </v>
      </c>
      <c r="DL925" s="25" t="str">
        <f t="shared" si="33"/>
        <v/>
      </c>
      <c r="DM925" s="25" t="str">
        <f>BasicInput!$D$13&amp;$DM$2&amp;B925&amp;"_"&amp;C925&amp;D925&amp;"_"&amp;BasicInput!$D$7&amp;BasicInput!$D$8&amp;"_"&amp;DL925&amp;".xuf"</f>
        <v>C:\PWWORKING\east01\d2591108\Weave\__2019EX_PM_.xuf</v>
      </c>
    </row>
    <row r="926" spans="85:117" x14ac:dyDescent="0.2">
      <c r="CG926" s="18"/>
      <c r="CM926" s="18"/>
      <c r="DK926" s="31" t="str">
        <f t="shared" si="32"/>
        <v xml:space="preserve">  </v>
      </c>
      <c r="DL926" s="25" t="str">
        <f t="shared" si="33"/>
        <v/>
      </c>
      <c r="DM926" s="25" t="str">
        <f>BasicInput!$D$13&amp;$DM$2&amp;B926&amp;"_"&amp;C926&amp;D926&amp;"_"&amp;BasicInput!$D$7&amp;BasicInput!$D$8&amp;"_"&amp;DL926&amp;".xuf"</f>
        <v>C:\PWWORKING\east01\d2591108\Weave\__2019EX_PM_.xuf</v>
      </c>
    </row>
    <row r="927" spans="85:117" x14ac:dyDescent="0.2">
      <c r="CG927" s="18"/>
      <c r="CM927" s="18"/>
      <c r="DK927" s="31" t="str">
        <f t="shared" si="32"/>
        <v xml:space="preserve">  </v>
      </c>
      <c r="DL927" s="25" t="str">
        <f t="shared" si="33"/>
        <v/>
      </c>
      <c r="DM927" s="25" t="str">
        <f>BasicInput!$D$13&amp;$DM$2&amp;B927&amp;"_"&amp;C927&amp;D927&amp;"_"&amp;BasicInput!$D$7&amp;BasicInput!$D$8&amp;"_"&amp;DL927&amp;".xuf"</f>
        <v>C:\PWWORKING\east01\d2591108\Weave\__2019EX_PM_.xuf</v>
      </c>
    </row>
    <row r="928" spans="85:117" x14ac:dyDescent="0.2">
      <c r="CG928" s="18"/>
      <c r="CM928" s="18"/>
      <c r="DK928" s="31" t="str">
        <f t="shared" si="32"/>
        <v xml:space="preserve">  </v>
      </c>
      <c r="DL928" s="25" t="str">
        <f t="shared" si="33"/>
        <v/>
      </c>
      <c r="DM928" s="25" t="str">
        <f>BasicInput!$D$13&amp;$DM$2&amp;B928&amp;"_"&amp;C928&amp;D928&amp;"_"&amp;BasicInput!$D$7&amp;BasicInput!$D$8&amp;"_"&amp;DL928&amp;".xuf"</f>
        <v>C:\PWWORKING\east01\d2591108\Weave\__2019EX_PM_.xuf</v>
      </c>
    </row>
    <row r="929" spans="85:117" x14ac:dyDescent="0.2">
      <c r="CG929" s="18"/>
      <c r="CM929" s="18"/>
      <c r="DK929" s="31" t="str">
        <f t="shared" si="32"/>
        <v xml:space="preserve">  </v>
      </c>
      <c r="DL929" s="25" t="str">
        <f t="shared" si="33"/>
        <v/>
      </c>
      <c r="DM929" s="25" t="str">
        <f>BasicInput!$D$13&amp;$DM$2&amp;B929&amp;"_"&amp;C929&amp;D929&amp;"_"&amp;BasicInput!$D$7&amp;BasicInput!$D$8&amp;"_"&amp;DL929&amp;".xuf"</f>
        <v>C:\PWWORKING\east01\d2591108\Weave\__2019EX_PM_.xuf</v>
      </c>
    </row>
    <row r="930" spans="85:117" x14ac:dyDescent="0.2">
      <c r="CG930" s="18"/>
      <c r="CM930" s="18"/>
      <c r="DK930" s="31" t="str">
        <f t="shared" si="32"/>
        <v xml:space="preserve">  </v>
      </c>
      <c r="DL930" s="25" t="str">
        <f t="shared" si="33"/>
        <v/>
      </c>
      <c r="DM930" s="25" t="str">
        <f>BasicInput!$D$13&amp;$DM$2&amp;B930&amp;"_"&amp;C930&amp;D930&amp;"_"&amp;BasicInput!$D$7&amp;BasicInput!$D$8&amp;"_"&amp;DL930&amp;".xuf"</f>
        <v>C:\PWWORKING\east01\d2591108\Weave\__2019EX_PM_.xuf</v>
      </c>
    </row>
    <row r="931" spans="85:117" x14ac:dyDescent="0.2">
      <c r="CG931" s="18"/>
      <c r="CM931" s="18"/>
      <c r="DK931" s="31" t="str">
        <f t="shared" si="32"/>
        <v xml:space="preserve">  </v>
      </c>
      <c r="DL931" s="25" t="str">
        <f t="shared" si="33"/>
        <v/>
      </c>
      <c r="DM931" s="25" t="str">
        <f>BasicInput!$D$13&amp;$DM$2&amp;B931&amp;"_"&amp;C931&amp;D931&amp;"_"&amp;BasicInput!$D$7&amp;BasicInput!$D$8&amp;"_"&amp;DL931&amp;".xuf"</f>
        <v>C:\PWWORKING\east01\d2591108\Weave\__2019EX_PM_.xuf</v>
      </c>
    </row>
    <row r="932" spans="85:117" x14ac:dyDescent="0.2">
      <c r="CG932" s="18"/>
      <c r="CM932" s="18"/>
      <c r="DK932" s="31" t="str">
        <f t="shared" si="32"/>
        <v xml:space="preserve">  </v>
      </c>
      <c r="DL932" s="25" t="str">
        <f t="shared" si="33"/>
        <v/>
      </c>
      <c r="DM932" s="25" t="str">
        <f>BasicInput!$D$13&amp;$DM$2&amp;B932&amp;"_"&amp;C932&amp;D932&amp;"_"&amp;BasicInput!$D$7&amp;BasicInput!$D$8&amp;"_"&amp;DL932&amp;".xuf"</f>
        <v>C:\PWWORKING\east01\d2591108\Weave\__2019EX_PM_.xuf</v>
      </c>
    </row>
    <row r="933" spans="85:117" x14ac:dyDescent="0.2">
      <c r="CG933" s="18"/>
      <c r="CM933" s="18"/>
      <c r="DK933" s="31" t="str">
        <f t="shared" si="32"/>
        <v xml:space="preserve">  </v>
      </c>
      <c r="DL933" s="25" t="str">
        <f t="shared" si="33"/>
        <v/>
      </c>
      <c r="DM933" s="25" t="str">
        <f>BasicInput!$D$13&amp;$DM$2&amp;B933&amp;"_"&amp;C933&amp;D933&amp;"_"&amp;BasicInput!$D$7&amp;BasicInput!$D$8&amp;"_"&amp;DL933&amp;".xuf"</f>
        <v>C:\PWWORKING\east01\d2591108\Weave\__2019EX_PM_.xuf</v>
      </c>
    </row>
    <row r="934" spans="85:117" x14ac:dyDescent="0.2">
      <c r="CG934" s="18"/>
      <c r="CM934" s="18"/>
      <c r="DK934" s="31" t="str">
        <f t="shared" si="32"/>
        <v xml:space="preserve">  </v>
      </c>
      <c r="DL934" s="25" t="str">
        <f t="shared" si="33"/>
        <v/>
      </c>
      <c r="DM934" s="25" t="str">
        <f>BasicInput!$D$13&amp;$DM$2&amp;B934&amp;"_"&amp;C934&amp;D934&amp;"_"&amp;BasicInput!$D$7&amp;BasicInput!$D$8&amp;"_"&amp;DL934&amp;".xuf"</f>
        <v>C:\PWWORKING\east01\d2591108\Weave\__2019EX_PM_.xuf</v>
      </c>
    </row>
    <row r="935" spans="85:117" x14ac:dyDescent="0.2">
      <c r="CG935" s="18"/>
      <c r="CM935" s="18"/>
      <c r="DK935" s="31" t="str">
        <f t="shared" si="32"/>
        <v xml:space="preserve">  </v>
      </c>
      <c r="DL935" s="25" t="str">
        <f t="shared" si="33"/>
        <v/>
      </c>
      <c r="DM935" s="25" t="str">
        <f>BasicInput!$D$13&amp;$DM$2&amp;B935&amp;"_"&amp;C935&amp;D935&amp;"_"&amp;BasicInput!$D$7&amp;BasicInput!$D$8&amp;"_"&amp;DL935&amp;".xuf"</f>
        <v>C:\PWWORKING\east01\d2591108\Weave\__2019EX_PM_.xuf</v>
      </c>
    </row>
    <row r="936" spans="85:117" x14ac:dyDescent="0.2">
      <c r="CG936" s="18"/>
      <c r="CM936" s="18"/>
      <c r="DK936" s="31" t="str">
        <f t="shared" si="32"/>
        <v xml:space="preserve">  </v>
      </c>
      <c r="DL936" s="25" t="str">
        <f t="shared" si="33"/>
        <v/>
      </c>
      <c r="DM936" s="25" t="str">
        <f>BasicInput!$D$13&amp;$DM$2&amp;B936&amp;"_"&amp;C936&amp;D936&amp;"_"&amp;BasicInput!$D$7&amp;BasicInput!$D$8&amp;"_"&amp;DL936&amp;".xuf"</f>
        <v>C:\PWWORKING\east01\d2591108\Weave\__2019EX_PM_.xuf</v>
      </c>
    </row>
    <row r="937" spans="85:117" x14ac:dyDescent="0.2">
      <c r="CG937" s="18"/>
      <c r="CM937" s="18"/>
      <c r="DK937" s="31" t="str">
        <f t="shared" si="32"/>
        <v xml:space="preserve">  </v>
      </c>
      <c r="DL937" s="25" t="str">
        <f t="shared" si="33"/>
        <v/>
      </c>
      <c r="DM937" s="25" t="str">
        <f>BasicInput!$D$13&amp;$DM$2&amp;B937&amp;"_"&amp;C937&amp;D937&amp;"_"&amp;BasicInput!$D$7&amp;BasicInput!$D$8&amp;"_"&amp;DL937&amp;".xuf"</f>
        <v>C:\PWWORKING\east01\d2591108\Weave\__2019EX_PM_.xuf</v>
      </c>
    </row>
    <row r="938" spans="85:117" x14ac:dyDescent="0.2">
      <c r="CG938" s="18"/>
      <c r="CM938" s="18"/>
      <c r="DK938" s="31" t="str">
        <f t="shared" si="32"/>
        <v xml:space="preserve">  </v>
      </c>
      <c r="DL938" s="25" t="str">
        <f t="shared" si="33"/>
        <v/>
      </c>
      <c r="DM938" s="25" t="str">
        <f>BasicInput!$D$13&amp;$DM$2&amp;B938&amp;"_"&amp;C938&amp;D938&amp;"_"&amp;BasicInput!$D$7&amp;BasicInput!$D$8&amp;"_"&amp;DL938&amp;".xuf"</f>
        <v>C:\PWWORKING\east01\d2591108\Weave\__2019EX_PM_.xuf</v>
      </c>
    </row>
    <row r="939" spans="85:117" x14ac:dyDescent="0.2">
      <c r="CG939" s="18"/>
      <c r="CM939" s="18"/>
      <c r="DK939" s="31" t="str">
        <f t="shared" si="32"/>
        <v xml:space="preserve">  </v>
      </c>
      <c r="DL939" s="25" t="str">
        <f t="shared" si="33"/>
        <v/>
      </c>
      <c r="DM939" s="25" t="str">
        <f>BasicInput!$D$13&amp;$DM$2&amp;B939&amp;"_"&amp;C939&amp;D939&amp;"_"&amp;BasicInput!$D$7&amp;BasicInput!$D$8&amp;"_"&amp;DL939&amp;".xuf"</f>
        <v>C:\PWWORKING\east01\d2591108\Weave\__2019EX_PM_.xuf</v>
      </c>
    </row>
    <row r="940" spans="85:117" x14ac:dyDescent="0.2">
      <c r="CG940" s="18"/>
      <c r="CM940" s="18"/>
      <c r="DK940" s="31" t="str">
        <f t="shared" si="32"/>
        <v xml:space="preserve">  </v>
      </c>
      <c r="DL940" s="25" t="str">
        <f t="shared" si="33"/>
        <v/>
      </c>
      <c r="DM940" s="25" t="str">
        <f>BasicInput!$D$13&amp;$DM$2&amp;B940&amp;"_"&amp;C940&amp;D940&amp;"_"&amp;BasicInput!$D$7&amp;BasicInput!$D$8&amp;"_"&amp;DL940&amp;".xuf"</f>
        <v>C:\PWWORKING\east01\d2591108\Weave\__2019EX_PM_.xuf</v>
      </c>
    </row>
    <row r="941" spans="85:117" x14ac:dyDescent="0.2">
      <c r="CG941" s="18"/>
      <c r="CM941" s="18"/>
      <c r="DK941" s="31" t="str">
        <f t="shared" si="32"/>
        <v xml:space="preserve">  </v>
      </c>
      <c r="DL941" s="25" t="str">
        <f t="shared" si="33"/>
        <v/>
      </c>
      <c r="DM941" s="25" t="str">
        <f>BasicInput!$D$13&amp;$DM$2&amp;B941&amp;"_"&amp;C941&amp;D941&amp;"_"&amp;BasicInput!$D$7&amp;BasicInput!$D$8&amp;"_"&amp;DL941&amp;".xuf"</f>
        <v>C:\PWWORKING\east01\d2591108\Weave\__2019EX_PM_.xuf</v>
      </c>
    </row>
    <row r="942" spans="85:117" x14ac:dyDescent="0.2">
      <c r="CG942" s="18"/>
      <c r="CM942" s="18"/>
      <c r="DK942" s="31" t="str">
        <f t="shared" si="32"/>
        <v xml:space="preserve">  </v>
      </c>
      <c r="DL942" s="25" t="str">
        <f t="shared" si="33"/>
        <v/>
      </c>
      <c r="DM942" s="25" t="str">
        <f>BasicInput!$D$13&amp;$DM$2&amp;B942&amp;"_"&amp;C942&amp;D942&amp;"_"&amp;BasicInput!$D$7&amp;BasicInput!$D$8&amp;"_"&amp;DL942&amp;".xuf"</f>
        <v>C:\PWWORKING\east01\d2591108\Weave\__2019EX_PM_.xuf</v>
      </c>
    </row>
    <row r="943" spans="85:117" x14ac:dyDescent="0.2">
      <c r="CG943" s="18"/>
      <c r="CM943" s="18"/>
      <c r="DK943" s="31" t="str">
        <f t="shared" si="32"/>
        <v xml:space="preserve">  </v>
      </c>
      <c r="DL943" s="25" t="str">
        <f t="shared" si="33"/>
        <v/>
      </c>
      <c r="DM943" s="25" t="str">
        <f>BasicInput!$D$13&amp;$DM$2&amp;B943&amp;"_"&amp;C943&amp;D943&amp;"_"&amp;BasicInput!$D$7&amp;BasicInput!$D$8&amp;"_"&amp;DL943&amp;".xuf"</f>
        <v>C:\PWWORKING\east01\d2591108\Weave\__2019EX_PM_.xuf</v>
      </c>
    </row>
    <row r="944" spans="85:117" x14ac:dyDescent="0.2">
      <c r="CG944" s="18"/>
      <c r="CM944" s="18"/>
      <c r="DK944" s="31" t="str">
        <f t="shared" si="32"/>
        <v xml:space="preserve">  </v>
      </c>
      <c r="DL944" s="25" t="str">
        <f t="shared" si="33"/>
        <v/>
      </c>
      <c r="DM944" s="25" t="str">
        <f>BasicInput!$D$13&amp;$DM$2&amp;B944&amp;"_"&amp;C944&amp;D944&amp;"_"&amp;BasicInput!$D$7&amp;BasicInput!$D$8&amp;"_"&amp;DL944&amp;".xuf"</f>
        <v>C:\PWWORKING\east01\d2591108\Weave\__2019EX_PM_.xuf</v>
      </c>
    </row>
    <row r="945" spans="85:117" x14ac:dyDescent="0.2">
      <c r="CG945" s="18"/>
      <c r="CM945" s="18"/>
      <c r="DK945" s="31" t="str">
        <f t="shared" si="32"/>
        <v xml:space="preserve">  </v>
      </c>
      <c r="DL945" s="25" t="str">
        <f t="shared" si="33"/>
        <v/>
      </c>
      <c r="DM945" s="25" t="str">
        <f>BasicInput!$D$13&amp;$DM$2&amp;B945&amp;"_"&amp;C945&amp;D945&amp;"_"&amp;BasicInput!$D$7&amp;BasicInput!$D$8&amp;"_"&amp;DL945&amp;".xuf"</f>
        <v>C:\PWWORKING\east01\d2591108\Weave\__2019EX_PM_.xuf</v>
      </c>
    </row>
    <row r="946" spans="85:117" x14ac:dyDescent="0.2">
      <c r="CG946" s="18"/>
      <c r="CM946" s="18"/>
      <c r="DK946" s="31" t="str">
        <f t="shared" si="32"/>
        <v xml:space="preserve">  </v>
      </c>
      <c r="DL946" s="25" t="str">
        <f t="shared" si="33"/>
        <v/>
      </c>
      <c r="DM946" s="25" t="str">
        <f>BasicInput!$D$13&amp;$DM$2&amp;B946&amp;"_"&amp;C946&amp;D946&amp;"_"&amp;BasicInput!$D$7&amp;BasicInput!$D$8&amp;"_"&amp;DL946&amp;".xuf"</f>
        <v>C:\PWWORKING\east01\d2591108\Weave\__2019EX_PM_.xuf</v>
      </c>
    </row>
    <row r="947" spans="85:117" x14ac:dyDescent="0.2">
      <c r="CG947" s="18"/>
      <c r="CM947" s="18"/>
      <c r="DK947" s="31" t="str">
        <f t="shared" si="32"/>
        <v xml:space="preserve">  </v>
      </c>
      <c r="DL947" s="25" t="str">
        <f t="shared" si="33"/>
        <v/>
      </c>
      <c r="DM947" s="25" t="str">
        <f>BasicInput!$D$13&amp;$DM$2&amp;B947&amp;"_"&amp;C947&amp;D947&amp;"_"&amp;BasicInput!$D$7&amp;BasicInput!$D$8&amp;"_"&amp;DL947&amp;".xuf"</f>
        <v>C:\PWWORKING\east01\d2591108\Weave\__2019EX_PM_.xuf</v>
      </c>
    </row>
    <row r="948" spans="85:117" x14ac:dyDescent="0.2">
      <c r="CG948" s="18"/>
      <c r="CM948" s="18"/>
      <c r="DK948" s="31" t="str">
        <f t="shared" si="32"/>
        <v xml:space="preserve">  </v>
      </c>
      <c r="DL948" s="25" t="str">
        <f t="shared" si="33"/>
        <v/>
      </c>
      <c r="DM948" s="25" t="str">
        <f>BasicInput!$D$13&amp;$DM$2&amp;B948&amp;"_"&amp;C948&amp;D948&amp;"_"&amp;BasicInput!$D$7&amp;BasicInput!$D$8&amp;"_"&amp;DL948&amp;".xuf"</f>
        <v>C:\PWWORKING\east01\d2591108\Weave\__2019EX_PM_.xuf</v>
      </c>
    </row>
    <row r="949" spans="85:117" x14ac:dyDescent="0.2">
      <c r="CG949" s="18"/>
      <c r="CM949" s="18"/>
      <c r="DK949" s="31" t="str">
        <f t="shared" si="32"/>
        <v xml:space="preserve">  </v>
      </c>
      <c r="DL949" s="25" t="str">
        <f t="shared" si="33"/>
        <v/>
      </c>
      <c r="DM949" s="25" t="str">
        <f>BasicInput!$D$13&amp;$DM$2&amp;B949&amp;"_"&amp;C949&amp;D949&amp;"_"&amp;BasicInput!$D$7&amp;BasicInput!$D$8&amp;"_"&amp;DL949&amp;".xuf"</f>
        <v>C:\PWWORKING\east01\d2591108\Weave\__2019EX_PM_.xuf</v>
      </c>
    </row>
    <row r="950" spans="85:117" x14ac:dyDescent="0.2">
      <c r="CG950" s="18"/>
      <c r="CM950" s="18"/>
      <c r="DK950" s="31" t="str">
        <f t="shared" si="32"/>
        <v xml:space="preserve">  </v>
      </c>
      <c r="DL950" s="25" t="str">
        <f t="shared" si="33"/>
        <v/>
      </c>
      <c r="DM950" s="25" t="str">
        <f>BasicInput!$D$13&amp;$DM$2&amp;B950&amp;"_"&amp;C950&amp;D950&amp;"_"&amp;BasicInput!$D$7&amp;BasicInput!$D$8&amp;"_"&amp;DL950&amp;".xuf"</f>
        <v>C:\PWWORKING\east01\d2591108\Weave\__2019EX_PM_.xuf</v>
      </c>
    </row>
    <row r="951" spans="85:117" x14ac:dyDescent="0.2">
      <c r="CG951" s="18"/>
      <c r="CM951" s="18"/>
      <c r="DK951" s="31" t="str">
        <f t="shared" si="32"/>
        <v xml:space="preserve">  </v>
      </c>
      <c r="DL951" s="25" t="str">
        <f t="shared" si="33"/>
        <v/>
      </c>
      <c r="DM951" s="25" t="str">
        <f>BasicInput!$D$13&amp;$DM$2&amp;B951&amp;"_"&amp;C951&amp;D951&amp;"_"&amp;BasicInput!$D$7&amp;BasicInput!$D$8&amp;"_"&amp;DL951&amp;".xuf"</f>
        <v>C:\PWWORKING\east01\d2591108\Weave\__2019EX_PM_.xuf</v>
      </c>
    </row>
    <row r="952" spans="85:117" x14ac:dyDescent="0.2">
      <c r="CG952" s="18"/>
      <c r="CM952" s="18"/>
      <c r="DK952" s="31" t="str">
        <f t="shared" si="32"/>
        <v xml:space="preserve">  </v>
      </c>
      <c r="DL952" s="25" t="str">
        <f t="shared" si="33"/>
        <v/>
      </c>
      <c r="DM952" s="25" t="str">
        <f>BasicInput!$D$13&amp;$DM$2&amp;B952&amp;"_"&amp;C952&amp;D952&amp;"_"&amp;BasicInput!$D$7&amp;BasicInput!$D$8&amp;"_"&amp;DL952&amp;".xuf"</f>
        <v>C:\PWWORKING\east01\d2591108\Weave\__2019EX_PM_.xuf</v>
      </c>
    </row>
    <row r="953" spans="85:117" x14ac:dyDescent="0.2">
      <c r="CG953" s="18"/>
      <c r="CM953" s="18"/>
      <c r="DK953" s="31" t="str">
        <f t="shared" si="32"/>
        <v xml:space="preserve">  </v>
      </c>
      <c r="DL953" s="25" t="str">
        <f t="shared" si="33"/>
        <v/>
      </c>
      <c r="DM953" s="25" t="str">
        <f>BasicInput!$D$13&amp;$DM$2&amp;B953&amp;"_"&amp;C953&amp;D953&amp;"_"&amp;BasicInput!$D$7&amp;BasicInput!$D$8&amp;"_"&amp;DL953&amp;".xuf"</f>
        <v>C:\PWWORKING\east01\d2591108\Weave\__2019EX_PM_.xuf</v>
      </c>
    </row>
    <row r="954" spans="85:117" x14ac:dyDescent="0.2">
      <c r="CG954" s="18"/>
      <c r="CM954" s="18"/>
      <c r="DK954" s="31" t="str">
        <f t="shared" si="32"/>
        <v xml:space="preserve">  </v>
      </c>
      <c r="DL954" s="25" t="str">
        <f t="shared" si="33"/>
        <v/>
      </c>
      <c r="DM954" s="25" t="str">
        <f>BasicInput!$D$13&amp;$DM$2&amp;B954&amp;"_"&amp;C954&amp;D954&amp;"_"&amp;BasicInput!$D$7&amp;BasicInput!$D$8&amp;"_"&amp;DL954&amp;".xuf"</f>
        <v>C:\PWWORKING\east01\d2591108\Weave\__2019EX_PM_.xuf</v>
      </c>
    </row>
    <row r="955" spans="85:117" x14ac:dyDescent="0.2">
      <c r="CG955" s="18"/>
      <c r="CM955" s="18"/>
      <c r="DK955" s="31" t="str">
        <f t="shared" si="32"/>
        <v xml:space="preserve">  </v>
      </c>
      <c r="DL955" s="25" t="str">
        <f t="shared" si="33"/>
        <v/>
      </c>
      <c r="DM955" s="25" t="str">
        <f>BasicInput!$D$13&amp;$DM$2&amp;B955&amp;"_"&amp;C955&amp;D955&amp;"_"&amp;BasicInput!$D$7&amp;BasicInput!$D$8&amp;"_"&amp;DL955&amp;".xuf"</f>
        <v>C:\PWWORKING\east01\d2591108\Weave\__2019EX_PM_.xuf</v>
      </c>
    </row>
    <row r="956" spans="85:117" x14ac:dyDescent="0.2">
      <c r="CG956" s="18"/>
      <c r="CM956" s="18"/>
      <c r="DK956" s="31" t="str">
        <f t="shared" si="32"/>
        <v xml:space="preserve">  </v>
      </c>
      <c r="DL956" s="25" t="str">
        <f t="shared" si="33"/>
        <v/>
      </c>
      <c r="DM956" s="25" t="str">
        <f>BasicInput!$D$13&amp;$DM$2&amp;B956&amp;"_"&amp;C956&amp;D956&amp;"_"&amp;BasicInput!$D$7&amp;BasicInput!$D$8&amp;"_"&amp;DL956&amp;".xuf"</f>
        <v>C:\PWWORKING\east01\d2591108\Weave\__2019EX_PM_.xuf</v>
      </c>
    </row>
    <row r="957" spans="85:117" x14ac:dyDescent="0.2">
      <c r="CG957" s="18"/>
      <c r="CM957" s="18"/>
      <c r="DK957" s="31" t="str">
        <f t="shared" si="32"/>
        <v xml:space="preserve">  </v>
      </c>
      <c r="DL957" s="25" t="str">
        <f t="shared" si="33"/>
        <v/>
      </c>
      <c r="DM957" s="25" t="str">
        <f>BasicInput!$D$13&amp;$DM$2&amp;B957&amp;"_"&amp;C957&amp;D957&amp;"_"&amp;BasicInput!$D$7&amp;BasicInput!$D$8&amp;"_"&amp;DL957&amp;".xuf"</f>
        <v>C:\PWWORKING\east01\d2591108\Weave\__2019EX_PM_.xuf</v>
      </c>
    </row>
    <row r="958" spans="85:117" x14ac:dyDescent="0.2">
      <c r="CG958" s="18"/>
      <c r="CM958" s="18"/>
      <c r="DK958" s="31" t="str">
        <f t="shared" si="32"/>
        <v xml:space="preserve">  </v>
      </c>
      <c r="DL958" s="25" t="str">
        <f t="shared" si="33"/>
        <v/>
      </c>
      <c r="DM958" s="25" t="str">
        <f>BasicInput!$D$13&amp;$DM$2&amp;B958&amp;"_"&amp;C958&amp;D958&amp;"_"&amp;BasicInput!$D$7&amp;BasicInput!$D$8&amp;"_"&amp;DL958&amp;".xuf"</f>
        <v>C:\PWWORKING\east01\d2591108\Weave\__2019EX_PM_.xuf</v>
      </c>
    </row>
    <row r="959" spans="85:117" x14ac:dyDescent="0.2">
      <c r="CG959" s="18"/>
      <c r="CM959" s="18"/>
      <c r="DK959" s="31" t="str">
        <f t="shared" si="32"/>
        <v xml:space="preserve">  </v>
      </c>
      <c r="DL959" s="25" t="str">
        <f t="shared" si="33"/>
        <v/>
      </c>
      <c r="DM959" s="25" t="str">
        <f>BasicInput!$D$13&amp;$DM$2&amp;B959&amp;"_"&amp;C959&amp;D959&amp;"_"&amp;BasicInput!$D$7&amp;BasicInput!$D$8&amp;"_"&amp;DL959&amp;".xuf"</f>
        <v>C:\PWWORKING\east01\d2591108\Weave\__2019EX_PM_.xuf</v>
      </c>
    </row>
    <row r="960" spans="85:117" x14ac:dyDescent="0.2">
      <c r="CG960" s="18"/>
      <c r="CM960" s="18"/>
      <c r="DK960" s="31" t="str">
        <f t="shared" si="32"/>
        <v xml:space="preserve">  </v>
      </c>
      <c r="DL960" s="25" t="str">
        <f t="shared" si="33"/>
        <v/>
      </c>
      <c r="DM960" s="25" t="str">
        <f>BasicInput!$D$13&amp;$DM$2&amp;B960&amp;"_"&amp;C960&amp;D960&amp;"_"&amp;BasicInput!$D$7&amp;BasicInput!$D$8&amp;"_"&amp;DL960&amp;".xuf"</f>
        <v>C:\PWWORKING\east01\d2591108\Weave\__2019EX_PM_.xuf</v>
      </c>
    </row>
    <row r="961" spans="85:117" x14ac:dyDescent="0.2">
      <c r="CG961" s="18"/>
      <c r="CM961" s="18"/>
      <c r="DK961" s="31" t="str">
        <f t="shared" si="32"/>
        <v xml:space="preserve">  </v>
      </c>
      <c r="DL961" s="25" t="str">
        <f t="shared" si="33"/>
        <v/>
      </c>
      <c r="DM961" s="25" t="str">
        <f>BasicInput!$D$13&amp;$DM$2&amp;B961&amp;"_"&amp;C961&amp;D961&amp;"_"&amp;BasicInput!$D$7&amp;BasicInput!$D$8&amp;"_"&amp;DL961&amp;".xuf"</f>
        <v>C:\PWWORKING\east01\d2591108\Weave\__2019EX_PM_.xuf</v>
      </c>
    </row>
    <row r="962" spans="85:117" x14ac:dyDescent="0.2">
      <c r="CG962" s="18"/>
      <c r="CM962" s="18"/>
      <c r="DK962" s="31" t="str">
        <f t="shared" si="32"/>
        <v xml:space="preserve">  </v>
      </c>
      <c r="DL962" s="25" t="str">
        <f t="shared" si="33"/>
        <v/>
      </c>
      <c r="DM962" s="25" t="str">
        <f>BasicInput!$D$13&amp;$DM$2&amp;B962&amp;"_"&amp;C962&amp;D962&amp;"_"&amp;BasicInput!$D$7&amp;BasicInput!$D$8&amp;"_"&amp;DL962&amp;".xuf"</f>
        <v>C:\PWWORKING\east01\d2591108\Weave\__2019EX_PM_.xuf</v>
      </c>
    </row>
    <row r="963" spans="85:117" x14ac:dyDescent="0.2">
      <c r="CG963" s="18"/>
      <c r="CM963" s="18"/>
      <c r="DK963" s="31" t="str">
        <f t="shared" si="32"/>
        <v xml:space="preserve">  </v>
      </c>
      <c r="DL963" s="25" t="str">
        <f t="shared" si="33"/>
        <v/>
      </c>
      <c r="DM963" s="25" t="str">
        <f>BasicInput!$D$13&amp;$DM$2&amp;B963&amp;"_"&amp;C963&amp;D963&amp;"_"&amp;BasicInput!$D$7&amp;BasicInput!$D$8&amp;"_"&amp;DL963&amp;".xuf"</f>
        <v>C:\PWWORKING\east01\d2591108\Weave\__2019EX_PM_.xuf</v>
      </c>
    </row>
    <row r="964" spans="85:117" x14ac:dyDescent="0.2">
      <c r="CG964" s="18"/>
      <c r="CM964" s="18"/>
      <c r="DK964" s="31" t="str">
        <f t="shared" si="32"/>
        <v xml:space="preserve">  </v>
      </c>
      <c r="DL964" s="25" t="str">
        <f t="shared" si="33"/>
        <v/>
      </c>
      <c r="DM964" s="25" t="str">
        <f>BasicInput!$D$13&amp;$DM$2&amp;B964&amp;"_"&amp;C964&amp;D964&amp;"_"&amp;BasicInput!$D$7&amp;BasicInput!$D$8&amp;"_"&amp;DL964&amp;".xuf"</f>
        <v>C:\PWWORKING\east01\d2591108\Weave\__2019EX_PM_.xuf</v>
      </c>
    </row>
    <row r="965" spans="85:117" x14ac:dyDescent="0.2">
      <c r="CG965" s="18"/>
      <c r="CM965" s="18"/>
      <c r="DK965" s="31" t="str">
        <f t="shared" si="32"/>
        <v xml:space="preserve">  </v>
      </c>
      <c r="DL965" s="25" t="str">
        <f t="shared" si="33"/>
        <v/>
      </c>
      <c r="DM965" s="25" t="str">
        <f>BasicInput!$D$13&amp;$DM$2&amp;B965&amp;"_"&amp;C965&amp;D965&amp;"_"&amp;BasicInput!$D$7&amp;BasicInput!$D$8&amp;"_"&amp;DL965&amp;".xuf"</f>
        <v>C:\PWWORKING\east01\d2591108\Weave\__2019EX_PM_.xuf</v>
      </c>
    </row>
    <row r="966" spans="85:117" x14ac:dyDescent="0.2">
      <c r="CG966" s="18"/>
      <c r="CM966" s="18"/>
      <c r="DK966" s="31" t="str">
        <f t="shared" si="32"/>
        <v xml:space="preserve">  </v>
      </c>
      <c r="DL966" s="25" t="str">
        <f t="shared" si="33"/>
        <v/>
      </c>
      <c r="DM966" s="25" t="str">
        <f>BasicInput!$D$13&amp;$DM$2&amp;B966&amp;"_"&amp;C966&amp;D966&amp;"_"&amp;BasicInput!$D$7&amp;BasicInput!$D$8&amp;"_"&amp;DL966&amp;".xuf"</f>
        <v>C:\PWWORKING\east01\d2591108\Weave\__2019EX_PM_.xuf</v>
      </c>
    </row>
    <row r="967" spans="85:117" x14ac:dyDescent="0.2">
      <c r="CG967" s="18"/>
      <c r="CM967" s="18"/>
      <c r="DK967" s="31" t="str">
        <f t="shared" si="32"/>
        <v xml:space="preserve">  </v>
      </c>
      <c r="DL967" s="25" t="str">
        <f t="shared" si="33"/>
        <v/>
      </c>
      <c r="DM967" s="25" t="str">
        <f>BasicInput!$D$13&amp;$DM$2&amp;B967&amp;"_"&amp;C967&amp;D967&amp;"_"&amp;BasicInput!$D$7&amp;BasicInput!$D$8&amp;"_"&amp;DL967&amp;".xuf"</f>
        <v>C:\PWWORKING\east01\d2591108\Weave\__2019EX_PM_.xuf</v>
      </c>
    </row>
    <row r="968" spans="85:117" x14ac:dyDescent="0.2">
      <c r="CG968" s="18"/>
      <c r="CM968" s="18"/>
      <c r="DK968" s="31" t="str">
        <f t="shared" si="32"/>
        <v xml:space="preserve">  </v>
      </c>
      <c r="DL968" s="25" t="str">
        <f t="shared" si="33"/>
        <v/>
      </c>
      <c r="DM968" s="25" t="str">
        <f>BasicInput!$D$13&amp;$DM$2&amp;B968&amp;"_"&amp;C968&amp;D968&amp;"_"&amp;BasicInput!$D$7&amp;BasicInput!$D$8&amp;"_"&amp;DL968&amp;".xuf"</f>
        <v>C:\PWWORKING\east01\d2591108\Weave\__2019EX_PM_.xuf</v>
      </c>
    </row>
    <row r="969" spans="85:117" x14ac:dyDescent="0.2">
      <c r="CG969" s="18"/>
      <c r="CM969" s="18"/>
      <c r="DK969" s="31" t="str">
        <f t="shared" si="32"/>
        <v xml:space="preserve">  </v>
      </c>
      <c r="DL969" s="25" t="str">
        <f t="shared" si="33"/>
        <v/>
      </c>
      <c r="DM969" s="25" t="str">
        <f>BasicInput!$D$13&amp;$DM$2&amp;B969&amp;"_"&amp;C969&amp;D969&amp;"_"&amp;BasicInput!$D$7&amp;BasicInput!$D$8&amp;"_"&amp;DL969&amp;".xuf"</f>
        <v>C:\PWWORKING\east01\d2591108\Weave\__2019EX_PM_.xuf</v>
      </c>
    </row>
    <row r="970" spans="85:117" x14ac:dyDescent="0.2">
      <c r="CG970" s="18"/>
      <c r="CM970" s="18"/>
      <c r="DK970" s="31" t="str">
        <f t="shared" si="32"/>
        <v xml:space="preserve">  </v>
      </c>
      <c r="DL970" s="25" t="str">
        <f t="shared" si="33"/>
        <v/>
      </c>
      <c r="DM970" s="25" t="str">
        <f>BasicInput!$D$13&amp;$DM$2&amp;B970&amp;"_"&amp;C970&amp;D970&amp;"_"&amp;BasicInput!$D$7&amp;BasicInput!$D$8&amp;"_"&amp;DL970&amp;".xuf"</f>
        <v>C:\PWWORKING\east01\d2591108\Weave\__2019EX_PM_.xuf</v>
      </c>
    </row>
    <row r="971" spans="85:117" x14ac:dyDescent="0.2">
      <c r="CG971" s="18"/>
      <c r="CM971" s="18"/>
      <c r="DK971" s="31" t="str">
        <f t="shared" si="32"/>
        <v xml:space="preserve">  </v>
      </c>
      <c r="DL971" s="25" t="str">
        <f t="shared" si="33"/>
        <v/>
      </c>
      <c r="DM971" s="25" t="str">
        <f>BasicInput!$D$13&amp;$DM$2&amp;B971&amp;"_"&amp;C971&amp;D971&amp;"_"&amp;BasicInput!$D$7&amp;BasicInput!$D$8&amp;"_"&amp;DL971&amp;".xuf"</f>
        <v>C:\PWWORKING\east01\d2591108\Weave\__2019EX_PM_.xuf</v>
      </c>
    </row>
    <row r="972" spans="85:117" x14ac:dyDescent="0.2">
      <c r="CG972" s="18"/>
      <c r="CM972" s="18"/>
      <c r="DK972" s="31" t="str">
        <f t="shared" ref="DK972:DK1035" si="34">C972&amp; " "&amp;D972&amp;" " &amp;E972</f>
        <v xml:space="preserve">  </v>
      </c>
      <c r="DL972" s="25" t="str">
        <f t="shared" ref="DL972:DL1035" si="35">TRIM(LEFT(E972, 30))</f>
        <v/>
      </c>
      <c r="DM972" s="25" t="str">
        <f>BasicInput!$D$13&amp;$DM$2&amp;B972&amp;"_"&amp;C972&amp;D972&amp;"_"&amp;BasicInput!$D$7&amp;BasicInput!$D$8&amp;"_"&amp;DL972&amp;".xuf"</f>
        <v>C:\PWWORKING\east01\d2591108\Weave\__2019EX_PM_.xuf</v>
      </c>
    </row>
    <row r="973" spans="85:117" x14ac:dyDescent="0.2">
      <c r="CG973" s="18"/>
      <c r="CM973" s="18"/>
      <c r="DK973" s="31" t="str">
        <f t="shared" si="34"/>
        <v xml:space="preserve">  </v>
      </c>
      <c r="DL973" s="25" t="str">
        <f t="shared" si="35"/>
        <v/>
      </c>
      <c r="DM973" s="25" t="str">
        <f>BasicInput!$D$13&amp;$DM$2&amp;B973&amp;"_"&amp;C973&amp;D973&amp;"_"&amp;BasicInput!$D$7&amp;BasicInput!$D$8&amp;"_"&amp;DL973&amp;".xuf"</f>
        <v>C:\PWWORKING\east01\d2591108\Weave\__2019EX_PM_.xuf</v>
      </c>
    </row>
    <row r="974" spans="85:117" x14ac:dyDescent="0.2">
      <c r="CG974" s="18"/>
      <c r="CM974" s="18"/>
      <c r="DK974" s="31" t="str">
        <f t="shared" si="34"/>
        <v xml:space="preserve">  </v>
      </c>
      <c r="DL974" s="25" t="str">
        <f t="shared" si="35"/>
        <v/>
      </c>
      <c r="DM974" s="25" t="str">
        <f>BasicInput!$D$13&amp;$DM$2&amp;B974&amp;"_"&amp;C974&amp;D974&amp;"_"&amp;BasicInput!$D$7&amp;BasicInput!$D$8&amp;"_"&amp;DL974&amp;".xuf"</f>
        <v>C:\PWWORKING\east01\d2591108\Weave\__2019EX_PM_.xuf</v>
      </c>
    </row>
    <row r="975" spans="85:117" x14ac:dyDescent="0.2">
      <c r="CG975" s="18"/>
      <c r="CM975" s="18"/>
      <c r="DK975" s="31" t="str">
        <f t="shared" si="34"/>
        <v xml:space="preserve">  </v>
      </c>
      <c r="DL975" s="25" t="str">
        <f t="shared" si="35"/>
        <v/>
      </c>
      <c r="DM975" s="25" t="str">
        <f>BasicInput!$D$13&amp;$DM$2&amp;B975&amp;"_"&amp;C975&amp;D975&amp;"_"&amp;BasicInput!$D$7&amp;BasicInput!$D$8&amp;"_"&amp;DL975&amp;".xuf"</f>
        <v>C:\PWWORKING\east01\d2591108\Weave\__2019EX_PM_.xuf</v>
      </c>
    </row>
    <row r="976" spans="85:117" x14ac:dyDescent="0.2">
      <c r="CG976" s="18"/>
      <c r="CM976" s="18"/>
      <c r="DK976" s="31" t="str">
        <f t="shared" si="34"/>
        <v xml:space="preserve">  </v>
      </c>
      <c r="DL976" s="25" t="str">
        <f t="shared" si="35"/>
        <v/>
      </c>
      <c r="DM976" s="25" t="str">
        <f>BasicInput!$D$13&amp;$DM$2&amp;B976&amp;"_"&amp;C976&amp;D976&amp;"_"&amp;BasicInput!$D$7&amp;BasicInput!$D$8&amp;"_"&amp;DL976&amp;".xuf"</f>
        <v>C:\PWWORKING\east01\d2591108\Weave\__2019EX_PM_.xuf</v>
      </c>
    </row>
    <row r="977" spans="85:117" x14ac:dyDescent="0.2">
      <c r="CG977" s="18"/>
      <c r="CM977" s="18"/>
      <c r="DK977" s="31" t="str">
        <f t="shared" si="34"/>
        <v xml:space="preserve">  </v>
      </c>
      <c r="DL977" s="25" t="str">
        <f t="shared" si="35"/>
        <v/>
      </c>
      <c r="DM977" s="25" t="str">
        <f>BasicInput!$D$13&amp;$DM$2&amp;B977&amp;"_"&amp;C977&amp;D977&amp;"_"&amp;BasicInput!$D$7&amp;BasicInput!$D$8&amp;"_"&amp;DL977&amp;".xuf"</f>
        <v>C:\PWWORKING\east01\d2591108\Weave\__2019EX_PM_.xuf</v>
      </c>
    </row>
    <row r="978" spans="85:117" x14ac:dyDescent="0.2">
      <c r="CG978" s="18"/>
      <c r="CM978" s="18"/>
      <c r="DK978" s="31" t="str">
        <f t="shared" si="34"/>
        <v xml:space="preserve">  </v>
      </c>
      <c r="DL978" s="25" t="str">
        <f t="shared" si="35"/>
        <v/>
      </c>
      <c r="DM978" s="25" t="str">
        <f>BasicInput!$D$13&amp;$DM$2&amp;B978&amp;"_"&amp;C978&amp;D978&amp;"_"&amp;BasicInput!$D$7&amp;BasicInput!$D$8&amp;"_"&amp;DL978&amp;".xuf"</f>
        <v>C:\PWWORKING\east01\d2591108\Weave\__2019EX_PM_.xuf</v>
      </c>
    </row>
    <row r="979" spans="85:117" x14ac:dyDescent="0.2">
      <c r="CG979" s="18"/>
      <c r="CM979" s="18"/>
      <c r="DK979" s="31" t="str">
        <f t="shared" si="34"/>
        <v xml:space="preserve">  </v>
      </c>
      <c r="DL979" s="25" t="str">
        <f t="shared" si="35"/>
        <v/>
      </c>
      <c r="DM979" s="25" t="str">
        <f>BasicInput!$D$13&amp;$DM$2&amp;B979&amp;"_"&amp;C979&amp;D979&amp;"_"&amp;BasicInput!$D$7&amp;BasicInput!$D$8&amp;"_"&amp;DL979&amp;".xuf"</f>
        <v>C:\PWWORKING\east01\d2591108\Weave\__2019EX_PM_.xuf</v>
      </c>
    </row>
    <row r="980" spans="85:117" x14ac:dyDescent="0.2">
      <c r="CG980" s="18"/>
      <c r="CM980" s="18"/>
      <c r="DK980" s="31" t="str">
        <f t="shared" si="34"/>
        <v xml:space="preserve">  </v>
      </c>
      <c r="DL980" s="25" t="str">
        <f t="shared" si="35"/>
        <v/>
      </c>
      <c r="DM980" s="25" t="str">
        <f>BasicInput!$D$13&amp;$DM$2&amp;B980&amp;"_"&amp;C980&amp;D980&amp;"_"&amp;BasicInput!$D$7&amp;BasicInput!$D$8&amp;"_"&amp;DL980&amp;".xuf"</f>
        <v>C:\PWWORKING\east01\d2591108\Weave\__2019EX_PM_.xuf</v>
      </c>
    </row>
    <row r="981" spans="85:117" x14ac:dyDescent="0.2">
      <c r="CG981" s="18"/>
      <c r="CM981" s="18"/>
      <c r="DK981" s="31" t="str">
        <f t="shared" si="34"/>
        <v xml:space="preserve">  </v>
      </c>
      <c r="DL981" s="25" t="str">
        <f t="shared" si="35"/>
        <v/>
      </c>
      <c r="DM981" s="25" t="str">
        <f>BasicInput!$D$13&amp;$DM$2&amp;B981&amp;"_"&amp;C981&amp;D981&amp;"_"&amp;BasicInput!$D$7&amp;BasicInput!$D$8&amp;"_"&amp;DL981&amp;".xuf"</f>
        <v>C:\PWWORKING\east01\d2591108\Weave\__2019EX_PM_.xuf</v>
      </c>
    </row>
    <row r="982" spans="85:117" x14ac:dyDescent="0.2">
      <c r="CG982" s="18"/>
      <c r="CM982" s="18"/>
      <c r="DK982" s="31" t="str">
        <f t="shared" si="34"/>
        <v xml:space="preserve">  </v>
      </c>
      <c r="DL982" s="25" t="str">
        <f t="shared" si="35"/>
        <v/>
      </c>
      <c r="DM982" s="25" t="str">
        <f>BasicInput!$D$13&amp;$DM$2&amp;B982&amp;"_"&amp;C982&amp;D982&amp;"_"&amp;BasicInput!$D$7&amp;BasicInput!$D$8&amp;"_"&amp;DL982&amp;".xuf"</f>
        <v>C:\PWWORKING\east01\d2591108\Weave\__2019EX_PM_.xuf</v>
      </c>
    </row>
    <row r="983" spans="85:117" x14ac:dyDescent="0.2">
      <c r="CG983" s="18"/>
      <c r="CM983" s="18"/>
      <c r="DK983" s="31" t="str">
        <f t="shared" si="34"/>
        <v xml:space="preserve">  </v>
      </c>
      <c r="DL983" s="25" t="str">
        <f t="shared" si="35"/>
        <v/>
      </c>
      <c r="DM983" s="25" t="str">
        <f>BasicInput!$D$13&amp;$DM$2&amp;B983&amp;"_"&amp;C983&amp;D983&amp;"_"&amp;BasicInput!$D$7&amp;BasicInput!$D$8&amp;"_"&amp;DL983&amp;".xuf"</f>
        <v>C:\PWWORKING\east01\d2591108\Weave\__2019EX_PM_.xuf</v>
      </c>
    </row>
    <row r="984" spans="85:117" x14ac:dyDescent="0.2">
      <c r="CG984" s="18"/>
      <c r="CM984" s="18"/>
      <c r="DK984" s="31" t="str">
        <f t="shared" si="34"/>
        <v xml:space="preserve">  </v>
      </c>
      <c r="DL984" s="25" t="str">
        <f t="shared" si="35"/>
        <v/>
      </c>
      <c r="DM984" s="25" t="str">
        <f>BasicInput!$D$13&amp;$DM$2&amp;B984&amp;"_"&amp;C984&amp;D984&amp;"_"&amp;BasicInput!$D$7&amp;BasicInput!$D$8&amp;"_"&amp;DL984&amp;".xuf"</f>
        <v>C:\PWWORKING\east01\d2591108\Weave\__2019EX_PM_.xuf</v>
      </c>
    </row>
    <row r="985" spans="85:117" x14ac:dyDescent="0.2">
      <c r="CG985" s="18"/>
      <c r="CM985" s="18"/>
      <c r="DK985" s="31" t="str">
        <f t="shared" si="34"/>
        <v xml:space="preserve">  </v>
      </c>
      <c r="DL985" s="25" t="str">
        <f t="shared" si="35"/>
        <v/>
      </c>
      <c r="DM985" s="25" t="str">
        <f>BasicInput!$D$13&amp;$DM$2&amp;B985&amp;"_"&amp;C985&amp;D985&amp;"_"&amp;BasicInput!$D$7&amp;BasicInput!$D$8&amp;"_"&amp;DL985&amp;".xuf"</f>
        <v>C:\PWWORKING\east01\d2591108\Weave\__2019EX_PM_.xuf</v>
      </c>
    </row>
    <row r="986" spans="85:117" x14ac:dyDescent="0.2">
      <c r="CG986" s="18"/>
      <c r="CM986" s="18"/>
      <c r="DK986" s="31" t="str">
        <f t="shared" si="34"/>
        <v xml:space="preserve">  </v>
      </c>
      <c r="DL986" s="25" t="str">
        <f t="shared" si="35"/>
        <v/>
      </c>
      <c r="DM986" s="25" t="str">
        <f>BasicInput!$D$13&amp;$DM$2&amp;B986&amp;"_"&amp;C986&amp;D986&amp;"_"&amp;BasicInput!$D$7&amp;BasicInput!$D$8&amp;"_"&amp;DL986&amp;".xuf"</f>
        <v>C:\PWWORKING\east01\d2591108\Weave\__2019EX_PM_.xuf</v>
      </c>
    </row>
    <row r="987" spans="85:117" x14ac:dyDescent="0.2">
      <c r="CG987" s="18"/>
      <c r="CM987" s="18"/>
      <c r="DK987" s="31" t="str">
        <f t="shared" si="34"/>
        <v xml:space="preserve">  </v>
      </c>
      <c r="DL987" s="25" t="str">
        <f t="shared" si="35"/>
        <v/>
      </c>
      <c r="DM987" s="25" t="str">
        <f>BasicInput!$D$13&amp;$DM$2&amp;B987&amp;"_"&amp;C987&amp;D987&amp;"_"&amp;BasicInput!$D$7&amp;BasicInput!$D$8&amp;"_"&amp;DL987&amp;".xuf"</f>
        <v>C:\PWWORKING\east01\d2591108\Weave\__2019EX_PM_.xuf</v>
      </c>
    </row>
    <row r="988" spans="85:117" x14ac:dyDescent="0.2">
      <c r="CG988" s="18"/>
      <c r="CM988" s="18"/>
      <c r="DK988" s="31" t="str">
        <f t="shared" si="34"/>
        <v xml:space="preserve">  </v>
      </c>
      <c r="DL988" s="25" t="str">
        <f t="shared" si="35"/>
        <v/>
      </c>
      <c r="DM988" s="25" t="str">
        <f>BasicInput!$D$13&amp;$DM$2&amp;B988&amp;"_"&amp;C988&amp;D988&amp;"_"&amp;BasicInput!$D$7&amp;BasicInput!$D$8&amp;"_"&amp;DL988&amp;".xuf"</f>
        <v>C:\PWWORKING\east01\d2591108\Weave\__2019EX_PM_.xuf</v>
      </c>
    </row>
    <row r="989" spans="85:117" x14ac:dyDescent="0.2">
      <c r="CG989" s="18"/>
      <c r="CM989" s="18"/>
      <c r="DK989" s="31" t="str">
        <f t="shared" si="34"/>
        <v xml:space="preserve">  </v>
      </c>
      <c r="DL989" s="25" t="str">
        <f t="shared" si="35"/>
        <v/>
      </c>
      <c r="DM989" s="25" t="str">
        <f>BasicInput!$D$13&amp;$DM$2&amp;B989&amp;"_"&amp;C989&amp;D989&amp;"_"&amp;BasicInput!$D$7&amp;BasicInput!$D$8&amp;"_"&amp;DL989&amp;".xuf"</f>
        <v>C:\PWWORKING\east01\d2591108\Weave\__2019EX_PM_.xuf</v>
      </c>
    </row>
    <row r="990" spans="85:117" x14ac:dyDescent="0.2">
      <c r="CG990" s="18"/>
      <c r="CM990" s="18"/>
      <c r="DK990" s="31" t="str">
        <f t="shared" si="34"/>
        <v xml:space="preserve">  </v>
      </c>
      <c r="DL990" s="25" t="str">
        <f t="shared" si="35"/>
        <v/>
      </c>
      <c r="DM990" s="25" t="str">
        <f>BasicInput!$D$13&amp;$DM$2&amp;B990&amp;"_"&amp;C990&amp;D990&amp;"_"&amp;BasicInput!$D$7&amp;BasicInput!$D$8&amp;"_"&amp;DL990&amp;".xuf"</f>
        <v>C:\PWWORKING\east01\d2591108\Weave\__2019EX_PM_.xuf</v>
      </c>
    </row>
    <row r="991" spans="85:117" x14ac:dyDescent="0.2">
      <c r="DK991" s="31" t="str">
        <f t="shared" si="34"/>
        <v xml:space="preserve">  </v>
      </c>
      <c r="DL991" s="25" t="str">
        <f t="shared" si="35"/>
        <v/>
      </c>
      <c r="DM991" s="25" t="str">
        <f>BasicInput!$D$13&amp;$DM$2&amp;B991&amp;"_"&amp;C991&amp;D991&amp;"_"&amp;BasicInput!$D$7&amp;BasicInput!$D$8&amp;"_"&amp;DL991&amp;".xuf"</f>
        <v>C:\PWWORKING\east01\d2591108\Weave\__2019EX_PM_.xuf</v>
      </c>
    </row>
    <row r="992" spans="85:117" x14ac:dyDescent="0.2">
      <c r="DK992" s="31" t="str">
        <f t="shared" si="34"/>
        <v xml:space="preserve">  </v>
      </c>
      <c r="DL992" s="25" t="str">
        <f t="shared" si="35"/>
        <v/>
      </c>
      <c r="DM992" s="25" t="str">
        <f>BasicInput!$D$13&amp;$DM$2&amp;B992&amp;"_"&amp;C992&amp;D992&amp;"_"&amp;BasicInput!$D$7&amp;BasicInput!$D$8&amp;"_"&amp;DL992&amp;".xuf"</f>
        <v>C:\PWWORKING\east01\d2591108\Weave\__2019EX_PM_.xuf</v>
      </c>
    </row>
    <row r="993" spans="115:117" x14ac:dyDescent="0.2">
      <c r="DK993" s="31" t="str">
        <f t="shared" si="34"/>
        <v xml:space="preserve">  </v>
      </c>
      <c r="DL993" s="25" t="str">
        <f t="shared" si="35"/>
        <v/>
      </c>
      <c r="DM993" s="25" t="str">
        <f>BasicInput!$D$13&amp;$DM$2&amp;B993&amp;"_"&amp;C993&amp;D993&amp;"_"&amp;BasicInput!$D$7&amp;BasicInput!$D$8&amp;"_"&amp;DL993&amp;".xuf"</f>
        <v>C:\PWWORKING\east01\d2591108\Weave\__2019EX_PM_.xuf</v>
      </c>
    </row>
    <row r="994" spans="115:117" x14ac:dyDescent="0.2">
      <c r="DK994" s="31" t="str">
        <f t="shared" si="34"/>
        <v xml:space="preserve">  </v>
      </c>
      <c r="DL994" s="25" t="str">
        <f t="shared" si="35"/>
        <v/>
      </c>
      <c r="DM994" s="25" t="str">
        <f>BasicInput!$D$13&amp;$DM$2&amp;B994&amp;"_"&amp;C994&amp;D994&amp;"_"&amp;BasicInput!$D$7&amp;BasicInput!$D$8&amp;"_"&amp;DL994&amp;".xuf"</f>
        <v>C:\PWWORKING\east01\d2591108\Weave\__2019EX_PM_.xuf</v>
      </c>
    </row>
    <row r="995" spans="115:117" x14ac:dyDescent="0.2">
      <c r="DK995" s="31" t="str">
        <f t="shared" si="34"/>
        <v xml:space="preserve">  </v>
      </c>
      <c r="DL995" s="25" t="str">
        <f t="shared" si="35"/>
        <v/>
      </c>
      <c r="DM995" s="25" t="str">
        <f>BasicInput!$D$13&amp;$DM$2&amp;B995&amp;"_"&amp;C995&amp;D995&amp;"_"&amp;BasicInput!$D$7&amp;BasicInput!$D$8&amp;"_"&amp;DL995&amp;".xuf"</f>
        <v>C:\PWWORKING\east01\d2591108\Weave\__2019EX_PM_.xuf</v>
      </c>
    </row>
    <row r="996" spans="115:117" x14ac:dyDescent="0.2">
      <c r="DK996" s="31" t="str">
        <f t="shared" si="34"/>
        <v xml:space="preserve">  </v>
      </c>
      <c r="DL996" s="25" t="str">
        <f t="shared" si="35"/>
        <v/>
      </c>
      <c r="DM996" s="25" t="str">
        <f>BasicInput!$D$13&amp;$DM$2&amp;B996&amp;"_"&amp;C996&amp;D996&amp;"_"&amp;BasicInput!$D$7&amp;BasicInput!$D$8&amp;"_"&amp;DL996&amp;".xuf"</f>
        <v>C:\PWWORKING\east01\d2591108\Weave\__2019EX_PM_.xuf</v>
      </c>
    </row>
    <row r="997" spans="115:117" x14ac:dyDescent="0.2">
      <c r="DK997" s="31" t="str">
        <f t="shared" si="34"/>
        <v xml:space="preserve">  </v>
      </c>
      <c r="DL997" s="25" t="str">
        <f t="shared" si="35"/>
        <v/>
      </c>
      <c r="DM997" s="25" t="str">
        <f>BasicInput!$D$13&amp;$DM$2&amp;B997&amp;"_"&amp;C997&amp;D997&amp;"_"&amp;BasicInput!$D$7&amp;BasicInput!$D$8&amp;"_"&amp;DL997&amp;".xuf"</f>
        <v>C:\PWWORKING\east01\d2591108\Weave\__2019EX_PM_.xuf</v>
      </c>
    </row>
    <row r="998" spans="115:117" x14ac:dyDescent="0.2">
      <c r="DK998" s="31" t="str">
        <f t="shared" si="34"/>
        <v xml:space="preserve">  </v>
      </c>
      <c r="DL998" s="25" t="str">
        <f t="shared" si="35"/>
        <v/>
      </c>
      <c r="DM998" s="25" t="str">
        <f>BasicInput!$D$13&amp;$DM$2&amp;B998&amp;"_"&amp;C998&amp;D998&amp;"_"&amp;BasicInput!$D$7&amp;BasicInput!$D$8&amp;"_"&amp;DL998&amp;".xuf"</f>
        <v>C:\PWWORKING\east01\d2591108\Weave\__2019EX_PM_.xuf</v>
      </c>
    </row>
    <row r="999" spans="115:117" x14ac:dyDescent="0.2">
      <c r="DK999" s="31" t="str">
        <f t="shared" si="34"/>
        <v xml:space="preserve">  </v>
      </c>
      <c r="DL999" s="25" t="str">
        <f t="shared" si="35"/>
        <v/>
      </c>
      <c r="DM999" s="25" t="str">
        <f>BasicInput!$D$13&amp;$DM$2&amp;B999&amp;"_"&amp;C999&amp;D999&amp;"_"&amp;BasicInput!$D$7&amp;BasicInput!$D$8&amp;"_"&amp;DL999&amp;".xuf"</f>
        <v>C:\PWWORKING\east01\d2591108\Weave\__2019EX_PM_.xuf</v>
      </c>
    </row>
    <row r="1000" spans="115:117" x14ac:dyDescent="0.2">
      <c r="DK1000" s="31" t="str">
        <f t="shared" si="34"/>
        <v xml:space="preserve">  </v>
      </c>
      <c r="DL1000" s="25" t="str">
        <f t="shared" si="35"/>
        <v/>
      </c>
      <c r="DM1000" s="25" t="str">
        <f>BasicInput!$D$13&amp;$DM$2&amp;B1000&amp;"_"&amp;C1000&amp;D1000&amp;"_"&amp;BasicInput!$D$7&amp;BasicInput!$D$8&amp;"_"&amp;DL1000&amp;".xuf"</f>
        <v>C:\PWWORKING\east01\d2591108\Weave\__2019EX_PM_.xuf</v>
      </c>
    </row>
    <row r="1001" spans="115:117" x14ac:dyDescent="0.2">
      <c r="DK1001" s="31" t="str">
        <f t="shared" si="34"/>
        <v xml:space="preserve">  </v>
      </c>
      <c r="DL1001" s="25" t="str">
        <f t="shared" si="35"/>
        <v/>
      </c>
      <c r="DM1001" s="25" t="str">
        <f>BasicInput!$D$13&amp;$DM$2&amp;B1001&amp;"_"&amp;C1001&amp;D1001&amp;"_"&amp;BasicInput!$D$7&amp;BasicInput!$D$8&amp;"_"&amp;DL1001&amp;".xuf"</f>
        <v>C:\PWWORKING\east01\d2591108\Weave\__2019EX_PM_.xuf</v>
      </c>
    </row>
    <row r="1002" spans="115:117" x14ac:dyDescent="0.2">
      <c r="DK1002" s="31" t="str">
        <f t="shared" si="34"/>
        <v xml:space="preserve">  </v>
      </c>
      <c r="DL1002" s="25" t="str">
        <f t="shared" si="35"/>
        <v/>
      </c>
      <c r="DM1002" s="25" t="str">
        <f>BasicInput!$D$13&amp;$DM$2&amp;B1002&amp;"_"&amp;C1002&amp;D1002&amp;"_"&amp;BasicInput!$D$7&amp;BasicInput!$D$8&amp;"_"&amp;DL1002&amp;".xuf"</f>
        <v>C:\PWWORKING\east01\d2591108\Weave\__2019EX_PM_.xuf</v>
      </c>
    </row>
    <row r="1003" spans="115:117" x14ac:dyDescent="0.2">
      <c r="DK1003" s="31" t="str">
        <f t="shared" si="34"/>
        <v xml:space="preserve">  </v>
      </c>
      <c r="DL1003" s="25" t="str">
        <f t="shared" si="35"/>
        <v/>
      </c>
      <c r="DM1003" s="25" t="str">
        <f>BasicInput!$D$13&amp;$DM$2&amp;B1003&amp;"_"&amp;C1003&amp;D1003&amp;"_"&amp;BasicInput!$D$7&amp;BasicInput!$D$8&amp;"_"&amp;DL1003&amp;".xuf"</f>
        <v>C:\PWWORKING\east01\d2591108\Weave\__2019EX_PM_.xuf</v>
      </c>
    </row>
    <row r="1004" spans="115:117" x14ac:dyDescent="0.2">
      <c r="DK1004" s="31" t="str">
        <f t="shared" si="34"/>
        <v xml:space="preserve">  </v>
      </c>
      <c r="DL1004" s="25" t="str">
        <f t="shared" si="35"/>
        <v/>
      </c>
      <c r="DM1004" s="25" t="str">
        <f>BasicInput!$D$13&amp;$DM$2&amp;B1004&amp;"_"&amp;C1004&amp;D1004&amp;"_"&amp;BasicInput!$D$7&amp;BasicInput!$D$8&amp;"_"&amp;DL1004&amp;".xuf"</f>
        <v>C:\PWWORKING\east01\d2591108\Weave\__2019EX_PM_.xuf</v>
      </c>
    </row>
    <row r="1005" spans="115:117" x14ac:dyDescent="0.2">
      <c r="DK1005" s="31" t="str">
        <f t="shared" si="34"/>
        <v xml:space="preserve">  </v>
      </c>
      <c r="DL1005" s="25" t="str">
        <f t="shared" si="35"/>
        <v/>
      </c>
      <c r="DM1005" s="25" t="str">
        <f>BasicInput!$D$13&amp;$DM$2&amp;B1005&amp;"_"&amp;C1005&amp;D1005&amp;"_"&amp;BasicInput!$D$7&amp;BasicInput!$D$8&amp;"_"&amp;DL1005&amp;".xuf"</f>
        <v>C:\PWWORKING\east01\d2591108\Weave\__2019EX_PM_.xuf</v>
      </c>
    </row>
    <row r="1006" spans="115:117" x14ac:dyDescent="0.2">
      <c r="DK1006" s="31" t="str">
        <f t="shared" si="34"/>
        <v xml:space="preserve">  </v>
      </c>
      <c r="DL1006" s="25" t="str">
        <f t="shared" si="35"/>
        <v/>
      </c>
      <c r="DM1006" s="25" t="str">
        <f>BasicInput!$D$13&amp;$DM$2&amp;B1006&amp;"_"&amp;C1006&amp;D1006&amp;"_"&amp;BasicInput!$D$7&amp;BasicInput!$D$8&amp;"_"&amp;DL1006&amp;".xuf"</f>
        <v>C:\PWWORKING\east01\d2591108\Weave\__2019EX_PM_.xuf</v>
      </c>
    </row>
    <row r="1007" spans="115:117" x14ac:dyDescent="0.2">
      <c r="DK1007" s="31" t="str">
        <f t="shared" si="34"/>
        <v xml:space="preserve">  </v>
      </c>
      <c r="DL1007" s="25" t="str">
        <f t="shared" si="35"/>
        <v/>
      </c>
      <c r="DM1007" s="25" t="str">
        <f>BasicInput!$D$13&amp;$DM$2&amp;B1007&amp;"_"&amp;C1007&amp;D1007&amp;"_"&amp;BasicInput!$D$7&amp;BasicInput!$D$8&amp;"_"&amp;DL1007&amp;".xuf"</f>
        <v>C:\PWWORKING\east01\d2591108\Weave\__2019EX_PM_.xuf</v>
      </c>
    </row>
    <row r="1008" spans="115:117" x14ac:dyDescent="0.2">
      <c r="DK1008" s="31" t="str">
        <f t="shared" si="34"/>
        <v xml:space="preserve">  </v>
      </c>
      <c r="DL1008" s="25" t="str">
        <f t="shared" si="35"/>
        <v/>
      </c>
      <c r="DM1008" s="25" t="str">
        <f>BasicInput!$D$13&amp;$DM$2&amp;B1008&amp;"_"&amp;C1008&amp;D1008&amp;"_"&amp;BasicInput!$D$7&amp;BasicInput!$D$8&amp;"_"&amp;DL1008&amp;".xuf"</f>
        <v>C:\PWWORKING\east01\d2591108\Weave\__2019EX_PM_.xuf</v>
      </c>
    </row>
    <row r="1009" spans="115:117" x14ac:dyDescent="0.2">
      <c r="DK1009" s="31" t="str">
        <f t="shared" si="34"/>
        <v xml:space="preserve">  </v>
      </c>
      <c r="DL1009" s="25" t="str">
        <f t="shared" si="35"/>
        <v/>
      </c>
      <c r="DM1009" s="25" t="str">
        <f>BasicInput!$D$13&amp;$DM$2&amp;B1009&amp;"_"&amp;C1009&amp;D1009&amp;"_"&amp;BasicInput!$D$7&amp;BasicInput!$D$8&amp;"_"&amp;DL1009&amp;".xuf"</f>
        <v>C:\PWWORKING\east01\d2591108\Weave\__2019EX_PM_.xuf</v>
      </c>
    </row>
    <row r="1010" spans="115:117" x14ac:dyDescent="0.2">
      <c r="DK1010" s="31" t="str">
        <f t="shared" si="34"/>
        <v xml:space="preserve">  </v>
      </c>
      <c r="DL1010" s="25" t="str">
        <f t="shared" si="35"/>
        <v/>
      </c>
      <c r="DM1010" s="25" t="str">
        <f>BasicInput!$D$13&amp;$DM$2&amp;B1010&amp;"_"&amp;C1010&amp;D1010&amp;"_"&amp;BasicInput!$D$7&amp;BasicInput!$D$8&amp;"_"&amp;DL1010&amp;".xuf"</f>
        <v>C:\PWWORKING\east01\d2591108\Weave\__2019EX_PM_.xuf</v>
      </c>
    </row>
    <row r="1011" spans="115:117" x14ac:dyDescent="0.2">
      <c r="DK1011" s="31" t="str">
        <f t="shared" si="34"/>
        <v xml:space="preserve">  </v>
      </c>
      <c r="DL1011" s="25" t="str">
        <f t="shared" si="35"/>
        <v/>
      </c>
      <c r="DM1011" s="25" t="str">
        <f>BasicInput!$D$13&amp;$DM$2&amp;B1011&amp;"_"&amp;C1011&amp;D1011&amp;"_"&amp;BasicInput!$D$7&amp;BasicInput!$D$8&amp;"_"&amp;DL1011&amp;".xuf"</f>
        <v>C:\PWWORKING\east01\d2591108\Weave\__2019EX_PM_.xuf</v>
      </c>
    </row>
    <row r="1012" spans="115:117" x14ac:dyDescent="0.2">
      <c r="DK1012" s="31" t="str">
        <f t="shared" si="34"/>
        <v xml:space="preserve">  </v>
      </c>
      <c r="DL1012" s="25" t="str">
        <f t="shared" si="35"/>
        <v/>
      </c>
      <c r="DM1012" s="25" t="str">
        <f>BasicInput!$D$13&amp;$DM$2&amp;B1012&amp;"_"&amp;C1012&amp;D1012&amp;"_"&amp;BasicInput!$D$7&amp;BasicInput!$D$8&amp;"_"&amp;DL1012&amp;".xuf"</f>
        <v>C:\PWWORKING\east01\d2591108\Weave\__2019EX_PM_.xuf</v>
      </c>
    </row>
    <row r="1013" spans="115:117" x14ac:dyDescent="0.2">
      <c r="DK1013" s="31" t="str">
        <f t="shared" si="34"/>
        <v xml:space="preserve">  </v>
      </c>
      <c r="DL1013" s="25" t="str">
        <f t="shared" si="35"/>
        <v/>
      </c>
      <c r="DM1013" s="25" t="str">
        <f>BasicInput!$D$13&amp;$DM$2&amp;B1013&amp;"_"&amp;C1013&amp;D1013&amp;"_"&amp;BasicInput!$D$7&amp;BasicInput!$D$8&amp;"_"&amp;DL1013&amp;".xuf"</f>
        <v>C:\PWWORKING\east01\d2591108\Weave\__2019EX_PM_.xuf</v>
      </c>
    </row>
    <row r="1014" spans="115:117" x14ac:dyDescent="0.2">
      <c r="DK1014" s="31" t="str">
        <f t="shared" si="34"/>
        <v xml:space="preserve">  </v>
      </c>
      <c r="DL1014" s="25" t="str">
        <f t="shared" si="35"/>
        <v/>
      </c>
      <c r="DM1014" s="25" t="str">
        <f>BasicInput!$D$13&amp;$DM$2&amp;B1014&amp;"_"&amp;C1014&amp;D1014&amp;"_"&amp;BasicInput!$D$7&amp;BasicInput!$D$8&amp;"_"&amp;DL1014&amp;".xuf"</f>
        <v>C:\PWWORKING\east01\d2591108\Weave\__2019EX_PM_.xuf</v>
      </c>
    </row>
    <row r="1015" spans="115:117" x14ac:dyDescent="0.2">
      <c r="DK1015" s="31" t="str">
        <f t="shared" si="34"/>
        <v xml:space="preserve">  </v>
      </c>
      <c r="DL1015" s="25" t="str">
        <f t="shared" si="35"/>
        <v/>
      </c>
      <c r="DM1015" s="25" t="str">
        <f>BasicInput!$D$13&amp;$DM$2&amp;B1015&amp;"_"&amp;C1015&amp;D1015&amp;"_"&amp;BasicInput!$D$7&amp;BasicInput!$D$8&amp;"_"&amp;DL1015&amp;".xuf"</f>
        <v>C:\PWWORKING\east01\d2591108\Weave\__2019EX_PM_.xuf</v>
      </c>
    </row>
    <row r="1016" spans="115:117" x14ac:dyDescent="0.2">
      <c r="DK1016" s="31" t="str">
        <f t="shared" si="34"/>
        <v xml:space="preserve">  </v>
      </c>
      <c r="DL1016" s="25" t="str">
        <f t="shared" si="35"/>
        <v/>
      </c>
      <c r="DM1016" s="25" t="str">
        <f>BasicInput!$D$13&amp;$DM$2&amp;B1016&amp;"_"&amp;C1016&amp;D1016&amp;"_"&amp;BasicInput!$D$7&amp;BasicInput!$D$8&amp;"_"&amp;DL1016&amp;".xuf"</f>
        <v>C:\PWWORKING\east01\d2591108\Weave\__2019EX_PM_.xuf</v>
      </c>
    </row>
    <row r="1017" spans="115:117" x14ac:dyDescent="0.2">
      <c r="DK1017" s="31" t="str">
        <f t="shared" si="34"/>
        <v xml:space="preserve">  </v>
      </c>
      <c r="DL1017" s="25" t="str">
        <f t="shared" si="35"/>
        <v/>
      </c>
      <c r="DM1017" s="25" t="str">
        <f>BasicInput!$D$13&amp;$DM$2&amp;B1017&amp;"_"&amp;C1017&amp;D1017&amp;"_"&amp;BasicInput!$D$7&amp;BasicInput!$D$8&amp;"_"&amp;DL1017&amp;".xuf"</f>
        <v>C:\PWWORKING\east01\d2591108\Weave\__2019EX_PM_.xuf</v>
      </c>
    </row>
    <row r="1018" spans="115:117" x14ac:dyDescent="0.2">
      <c r="DK1018" s="31" t="str">
        <f t="shared" si="34"/>
        <v xml:space="preserve">  </v>
      </c>
      <c r="DL1018" s="25" t="str">
        <f t="shared" si="35"/>
        <v/>
      </c>
      <c r="DM1018" s="25" t="str">
        <f>BasicInput!$D$13&amp;$DM$2&amp;B1018&amp;"_"&amp;C1018&amp;D1018&amp;"_"&amp;BasicInput!$D$7&amp;BasicInput!$D$8&amp;"_"&amp;DL1018&amp;".xuf"</f>
        <v>C:\PWWORKING\east01\d2591108\Weave\__2019EX_PM_.xuf</v>
      </c>
    </row>
    <row r="1019" spans="115:117" x14ac:dyDescent="0.2">
      <c r="DK1019" s="31" t="str">
        <f t="shared" si="34"/>
        <v xml:space="preserve">  </v>
      </c>
      <c r="DL1019" s="25" t="str">
        <f t="shared" si="35"/>
        <v/>
      </c>
      <c r="DM1019" s="25" t="str">
        <f>BasicInput!$D$13&amp;$DM$2&amp;B1019&amp;"_"&amp;C1019&amp;D1019&amp;"_"&amp;BasicInput!$D$7&amp;BasicInput!$D$8&amp;"_"&amp;DL1019&amp;".xuf"</f>
        <v>C:\PWWORKING\east01\d2591108\Weave\__2019EX_PM_.xuf</v>
      </c>
    </row>
    <row r="1020" spans="115:117" x14ac:dyDescent="0.2">
      <c r="DK1020" s="31" t="str">
        <f t="shared" si="34"/>
        <v xml:space="preserve">  </v>
      </c>
      <c r="DL1020" s="25" t="str">
        <f t="shared" si="35"/>
        <v/>
      </c>
      <c r="DM1020" s="25" t="str">
        <f>BasicInput!$D$13&amp;$DM$2&amp;B1020&amp;"_"&amp;C1020&amp;D1020&amp;"_"&amp;BasicInput!$D$7&amp;BasicInput!$D$8&amp;"_"&amp;DL1020&amp;".xuf"</f>
        <v>C:\PWWORKING\east01\d2591108\Weave\__2019EX_PM_.xuf</v>
      </c>
    </row>
    <row r="1021" spans="115:117" x14ac:dyDescent="0.2">
      <c r="DK1021" s="31" t="str">
        <f t="shared" si="34"/>
        <v xml:space="preserve">  </v>
      </c>
      <c r="DL1021" s="25" t="str">
        <f t="shared" si="35"/>
        <v/>
      </c>
      <c r="DM1021" s="25" t="str">
        <f>BasicInput!$D$13&amp;$DM$2&amp;B1021&amp;"_"&amp;C1021&amp;D1021&amp;"_"&amp;BasicInput!$D$7&amp;BasicInput!$D$8&amp;"_"&amp;DL1021&amp;".xuf"</f>
        <v>C:\PWWORKING\east01\d2591108\Weave\__2019EX_PM_.xuf</v>
      </c>
    </row>
    <row r="1022" spans="115:117" x14ac:dyDescent="0.2">
      <c r="DK1022" s="31" t="str">
        <f t="shared" si="34"/>
        <v xml:space="preserve">  </v>
      </c>
      <c r="DL1022" s="25" t="str">
        <f t="shared" si="35"/>
        <v/>
      </c>
      <c r="DM1022" s="25" t="str">
        <f>BasicInput!$D$13&amp;$DM$2&amp;B1022&amp;"_"&amp;C1022&amp;D1022&amp;"_"&amp;BasicInput!$D$7&amp;BasicInput!$D$8&amp;"_"&amp;DL1022&amp;".xuf"</f>
        <v>C:\PWWORKING\east01\d2591108\Weave\__2019EX_PM_.xuf</v>
      </c>
    </row>
    <row r="1023" spans="115:117" x14ac:dyDescent="0.2">
      <c r="DK1023" s="31" t="str">
        <f t="shared" si="34"/>
        <v xml:space="preserve">  </v>
      </c>
      <c r="DL1023" s="25" t="str">
        <f t="shared" si="35"/>
        <v/>
      </c>
      <c r="DM1023" s="25" t="str">
        <f>BasicInput!$D$13&amp;$DM$2&amp;B1023&amp;"_"&amp;C1023&amp;D1023&amp;"_"&amp;BasicInput!$D$7&amp;BasicInput!$D$8&amp;"_"&amp;DL1023&amp;".xuf"</f>
        <v>C:\PWWORKING\east01\d2591108\Weave\__2019EX_PM_.xuf</v>
      </c>
    </row>
    <row r="1024" spans="115:117" x14ac:dyDescent="0.2">
      <c r="DK1024" s="31" t="str">
        <f t="shared" si="34"/>
        <v xml:space="preserve">  </v>
      </c>
      <c r="DL1024" s="25" t="str">
        <f t="shared" si="35"/>
        <v/>
      </c>
      <c r="DM1024" s="25" t="str">
        <f>BasicInput!$D$13&amp;$DM$2&amp;B1024&amp;"_"&amp;C1024&amp;D1024&amp;"_"&amp;BasicInput!$D$7&amp;BasicInput!$D$8&amp;"_"&amp;DL1024&amp;".xuf"</f>
        <v>C:\PWWORKING\east01\d2591108\Weave\__2019EX_PM_.xuf</v>
      </c>
    </row>
    <row r="1025" spans="115:117" x14ac:dyDescent="0.2">
      <c r="DK1025" s="31" t="str">
        <f t="shared" si="34"/>
        <v xml:space="preserve">  </v>
      </c>
      <c r="DL1025" s="25" t="str">
        <f t="shared" si="35"/>
        <v/>
      </c>
      <c r="DM1025" s="25" t="str">
        <f>BasicInput!$D$13&amp;$DM$2&amp;B1025&amp;"_"&amp;C1025&amp;D1025&amp;"_"&amp;BasicInput!$D$7&amp;BasicInput!$D$8&amp;"_"&amp;DL1025&amp;".xuf"</f>
        <v>C:\PWWORKING\east01\d2591108\Weave\__2019EX_PM_.xuf</v>
      </c>
    </row>
    <row r="1026" spans="115:117" x14ac:dyDescent="0.2">
      <c r="DK1026" s="31" t="str">
        <f t="shared" si="34"/>
        <v xml:space="preserve">  </v>
      </c>
      <c r="DL1026" s="25" t="str">
        <f t="shared" si="35"/>
        <v/>
      </c>
      <c r="DM1026" s="25" t="str">
        <f>BasicInput!$D$13&amp;$DM$2&amp;B1026&amp;"_"&amp;C1026&amp;D1026&amp;"_"&amp;BasicInput!$D$7&amp;BasicInput!$D$8&amp;"_"&amp;DL1026&amp;".xuf"</f>
        <v>C:\PWWORKING\east01\d2591108\Weave\__2019EX_PM_.xuf</v>
      </c>
    </row>
    <row r="1027" spans="115:117" x14ac:dyDescent="0.2">
      <c r="DK1027" s="31" t="str">
        <f t="shared" si="34"/>
        <v xml:space="preserve">  </v>
      </c>
      <c r="DL1027" s="25" t="str">
        <f t="shared" si="35"/>
        <v/>
      </c>
      <c r="DM1027" s="25" t="str">
        <f>BasicInput!$D$13&amp;$DM$2&amp;B1027&amp;"_"&amp;C1027&amp;D1027&amp;"_"&amp;BasicInput!$D$7&amp;BasicInput!$D$8&amp;"_"&amp;DL1027&amp;".xuf"</f>
        <v>C:\PWWORKING\east01\d2591108\Weave\__2019EX_PM_.xuf</v>
      </c>
    </row>
    <row r="1028" spans="115:117" x14ac:dyDescent="0.2">
      <c r="DK1028" s="31" t="str">
        <f t="shared" si="34"/>
        <v xml:space="preserve">  </v>
      </c>
      <c r="DL1028" s="25" t="str">
        <f t="shared" si="35"/>
        <v/>
      </c>
      <c r="DM1028" s="25" t="str">
        <f>BasicInput!$D$13&amp;$DM$2&amp;B1028&amp;"_"&amp;C1028&amp;D1028&amp;"_"&amp;BasicInput!$D$7&amp;BasicInput!$D$8&amp;"_"&amp;DL1028&amp;".xuf"</f>
        <v>C:\PWWORKING\east01\d2591108\Weave\__2019EX_PM_.xuf</v>
      </c>
    </row>
    <row r="1029" spans="115:117" x14ac:dyDescent="0.2">
      <c r="DK1029" s="31" t="str">
        <f t="shared" si="34"/>
        <v xml:space="preserve">  </v>
      </c>
      <c r="DL1029" s="25" t="str">
        <f t="shared" si="35"/>
        <v/>
      </c>
      <c r="DM1029" s="25" t="str">
        <f>BasicInput!$D$13&amp;$DM$2&amp;B1029&amp;"_"&amp;C1029&amp;D1029&amp;"_"&amp;BasicInput!$D$7&amp;BasicInput!$D$8&amp;"_"&amp;DL1029&amp;".xuf"</f>
        <v>C:\PWWORKING\east01\d2591108\Weave\__2019EX_PM_.xuf</v>
      </c>
    </row>
    <row r="1030" spans="115:117" x14ac:dyDescent="0.2">
      <c r="DK1030" s="31" t="str">
        <f t="shared" si="34"/>
        <v xml:space="preserve">  </v>
      </c>
      <c r="DL1030" s="25" t="str">
        <f t="shared" si="35"/>
        <v/>
      </c>
      <c r="DM1030" s="25" t="str">
        <f>BasicInput!$D$13&amp;$DM$2&amp;B1030&amp;"_"&amp;C1030&amp;D1030&amp;"_"&amp;BasicInput!$D$7&amp;BasicInput!$D$8&amp;"_"&amp;DL1030&amp;".xuf"</f>
        <v>C:\PWWORKING\east01\d2591108\Weave\__2019EX_PM_.xuf</v>
      </c>
    </row>
    <row r="1031" spans="115:117" x14ac:dyDescent="0.2">
      <c r="DK1031" s="31" t="str">
        <f t="shared" si="34"/>
        <v xml:space="preserve">  </v>
      </c>
      <c r="DL1031" s="25" t="str">
        <f t="shared" si="35"/>
        <v/>
      </c>
      <c r="DM1031" s="25" t="str">
        <f>BasicInput!$D$13&amp;$DM$2&amp;B1031&amp;"_"&amp;C1031&amp;D1031&amp;"_"&amp;BasicInput!$D$7&amp;BasicInput!$D$8&amp;"_"&amp;DL1031&amp;".xuf"</f>
        <v>C:\PWWORKING\east01\d2591108\Weave\__2019EX_PM_.xuf</v>
      </c>
    </row>
    <row r="1032" spans="115:117" x14ac:dyDescent="0.2">
      <c r="DK1032" s="31" t="str">
        <f t="shared" si="34"/>
        <v xml:space="preserve">  </v>
      </c>
      <c r="DL1032" s="25" t="str">
        <f t="shared" si="35"/>
        <v/>
      </c>
      <c r="DM1032" s="25" t="str">
        <f>BasicInput!$D$13&amp;$DM$2&amp;B1032&amp;"_"&amp;C1032&amp;D1032&amp;"_"&amp;BasicInput!$D$7&amp;BasicInput!$D$8&amp;"_"&amp;DL1032&amp;".xuf"</f>
        <v>C:\PWWORKING\east01\d2591108\Weave\__2019EX_PM_.xuf</v>
      </c>
    </row>
    <row r="1033" spans="115:117" x14ac:dyDescent="0.2">
      <c r="DK1033" s="31" t="str">
        <f t="shared" si="34"/>
        <v xml:space="preserve">  </v>
      </c>
      <c r="DL1033" s="25" t="str">
        <f t="shared" si="35"/>
        <v/>
      </c>
      <c r="DM1033" s="25" t="str">
        <f>BasicInput!$D$13&amp;$DM$2&amp;B1033&amp;"_"&amp;C1033&amp;D1033&amp;"_"&amp;BasicInput!$D$7&amp;BasicInput!$D$8&amp;"_"&amp;DL1033&amp;".xuf"</f>
        <v>C:\PWWORKING\east01\d2591108\Weave\__2019EX_PM_.xuf</v>
      </c>
    </row>
    <row r="1034" spans="115:117" x14ac:dyDescent="0.2">
      <c r="DK1034" s="31" t="str">
        <f t="shared" si="34"/>
        <v xml:space="preserve">  </v>
      </c>
      <c r="DL1034" s="25" t="str">
        <f t="shared" si="35"/>
        <v/>
      </c>
      <c r="DM1034" s="25" t="str">
        <f>BasicInput!$D$13&amp;$DM$2&amp;B1034&amp;"_"&amp;C1034&amp;D1034&amp;"_"&amp;BasicInput!$D$7&amp;BasicInput!$D$8&amp;"_"&amp;DL1034&amp;".xuf"</f>
        <v>C:\PWWORKING\east01\d2591108\Weave\__2019EX_PM_.xuf</v>
      </c>
    </row>
    <row r="1035" spans="115:117" x14ac:dyDescent="0.2">
      <c r="DK1035" s="31" t="str">
        <f t="shared" si="34"/>
        <v xml:space="preserve">  </v>
      </c>
      <c r="DL1035" s="25" t="str">
        <f t="shared" si="35"/>
        <v/>
      </c>
      <c r="DM1035" s="25" t="str">
        <f>BasicInput!$D$13&amp;$DM$2&amp;B1035&amp;"_"&amp;C1035&amp;D1035&amp;"_"&amp;BasicInput!$D$7&amp;BasicInput!$D$8&amp;"_"&amp;DL1035&amp;".xuf"</f>
        <v>C:\PWWORKING\east01\d2591108\Weave\__2019EX_PM_.xuf</v>
      </c>
    </row>
    <row r="1036" spans="115:117" x14ac:dyDescent="0.2">
      <c r="DK1036" s="31" t="str">
        <f t="shared" ref="DK1036:DK1099" si="36">C1036&amp; " "&amp;D1036&amp;" " &amp;E1036</f>
        <v xml:space="preserve">  </v>
      </c>
      <c r="DL1036" s="25" t="str">
        <f t="shared" ref="DL1036:DL1099" si="37">TRIM(LEFT(E1036, 30))</f>
        <v/>
      </c>
      <c r="DM1036" s="25" t="str">
        <f>BasicInput!$D$13&amp;$DM$2&amp;B1036&amp;"_"&amp;C1036&amp;D1036&amp;"_"&amp;BasicInput!$D$7&amp;BasicInput!$D$8&amp;"_"&amp;DL1036&amp;".xuf"</f>
        <v>C:\PWWORKING\east01\d2591108\Weave\__2019EX_PM_.xuf</v>
      </c>
    </row>
    <row r="1037" spans="115:117" x14ac:dyDescent="0.2">
      <c r="DK1037" s="31" t="str">
        <f t="shared" si="36"/>
        <v xml:space="preserve">  </v>
      </c>
      <c r="DL1037" s="25" t="str">
        <f t="shared" si="37"/>
        <v/>
      </c>
      <c r="DM1037" s="25" t="str">
        <f>BasicInput!$D$13&amp;$DM$2&amp;B1037&amp;"_"&amp;C1037&amp;D1037&amp;"_"&amp;BasicInput!$D$7&amp;BasicInput!$D$8&amp;"_"&amp;DL1037&amp;".xuf"</f>
        <v>C:\PWWORKING\east01\d2591108\Weave\__2019EX_PM_.xuf</v>
      </c>
    </row>
    <row r="1038" spans="115:117" x14ac:dyDescent="0.2">
      <c r="DK1038" s="31" t="str">
        <f t="shared" si="36"/>
        <v xml:space="preserve">  </v>
      </c>
      <c r="DL1038" s="25" t="str">
        <f t="shared" si="37"/>
        <v/>
      </c>
      <c r="DM1038" s="25" t="str">
        <f>BasicInput!$D$13&amp;$DM$2&amp;B1038&amp;"_"&amp;C1038&amp;D1038&amp;"_"&amp;BasicInput!$D$7&amp;BasicInput!$D$8&amp;"_"&amp;DL1038&amp;".xuf"</f>
        <v>C:\PWWORKING\east01\d2591108\Weave\__2019EX_PM_.xuf</v>
      </c>
    </row>
    <row r="1039" spans="115:117" x14ac:dyDescent="0.2">
      <c r="DK1039" s="31" t="str">
        <f t="shared" si="36"/>
        <v xml:space="preserve">  </v>
      </c>
      <c r="DL1039" s="25" t="str">
        <f t="shared" si="37"/>
        <v/>
      </c>
      <c r="DM1039" s="25" t="str">
        <f>BasicInput!$D$13&amp;$DM$2&amp;B1039&amp;"_"&amp;C1039&amp;D1039&amp;"_"&amp;BasicInput!$D$7&amp;BasicInput!$D$8&amp;"_"&amp;DL1039&amp;".xuf"</f>
        <v>C:\PWWORKING\east01\d2591108\Weave\__2019EX_PM_.xuf</v>
      </c>
    </row>
    <row r="1040" spans="115:117" x14ac:dyDescent="0.2">
      <c r="DK1040" s="31" t="str">
        <f t="shared" si="36"/>
        <v xml:space="preserve">  </v>
      </c>
      <c r="DL1040" s="25" t="str">
        <f t="shared" si="37"/>
        <v/>
      </c>
      <c r="DM1040" s="25" t="str">
        <f>BasicInput!$D$13&amp;$DM$2&amp;B1040&amp;"_"&amp;C1040&amp;D1040&amp;"_"&amp;BasicInput!$D$7&amp;BasicInput!$D$8&amp;"_"&amp;DL1040&amp;".xuf"</f>
        <v>C:\PWWORKING\east01\d2591108\Weave\__2019EX_PM_.xuf</v>
      </c>
    </row>
    <row r="1041" spans="115:117" x14ac:dyDescent="0.2">
      <c r="DK1041" s="31" t="str">
        <f t="shared" si="36"/>
        <v xml:space="preserve">  </v>
      </c>
      <c r="DL1041" s="25" t="str">
        <f t="shared" si="37"/>
        <v/>
      </c>
      <c r="DM1041" s="25" t="str">
        <f>BasicInput!$D$13&amp;$DM$2&amp;B1041&amp;"_"&amp;C1041&amp;D1041&amp;"_"&amp;BasicInput!$D$7&amp;BasicInput!$D$8&amp;"_"&amp;DL1041&amp;".xuf"</f>
        <v>C:\PWWORKING\east01\d2591108\Weave\__2019EX_PM_.xuf</v>
      </c>
    </row>
    <row r="1042" spans="115:117" x14ac:dyDescent="0.2">
      <c r="DK1042" s="31" t="str">
        <f t="shared" si="36"/>
        <v xml:space="preserve">  </v>
      </c>
      <c r="DL1042" s="25" t="str">
        <f t="shared" si="37"/>
        <v/>
      </c>
      <c r="DM1042" s="25" t="str">
        <f>BasicInput!$D$13&amp;$DM$2&amp;B1042&amp;"_"&amp;C1042&amp;D1042&amp;"_"&amp;BasicInput!$D$7&amp;BasicInput!$D$8&amp;"_"&amp;DL1042&amp;".xuf"</f>
        <v>C:\PWWORKING\east01\d2591108\Weave\__2019EX_PM_.xuf</v>
      </c>
    </row>
    <row r="1043" spans="115:117" x14ac:dyDescent="0.2">
      <c r="DK1043" s="31" t="str">
        <f t="shared" si="36"/>
        <v xml:space="preserve">  </v>
      </c>
      <c r="DL1043" s="25" t="str">
        <f t="shared" si="37"/>
        <v/>
      </c>
      <c r="DM1043" s="25" t="str">
        <f>BasicInput!$D$13&amp;$DM$2&amp;B1043&amp;"_"&amp;C1043&amp;D1043&amp;"_"&amp;BasicInput!$D$7&amp;BasicInput!$D$8&amp;"_"&amp;DL1043&amp;".xuf"</f>
        <v>C:\PWWORKING\east01\d2591108\Weave\__2019EX_PM_.xuf</v>
      </c>
    </row>
    <row r="1044" spans="115:117" x14ac:dyDescent="0.2">
      <c r="DK1044" s="31" t="str">
        <f t="shared" si="36"/>
        <v xml:space="preserve">  </v>
      </c>
      <c r="DL1044" s="25" t="str">
        <f t="shared" si="37"/>
        <v/>
      </c>
      <c r="DM1044" s="25" t="str">
        <f>BasicInput!$D$13&amp;$DM$2&amp;B1044&amp;"_"&amp;C1044&amp;D1044&amp;"_"&amp;BasicInput!$D$7&amp;BasicInput!$D$8&amp;"_"&amp;DL1044&amp;".xuf"</f>
        <v>C:\PWWORKING\east01\d2591108\Weave\__2019EX_PM_.xuf</v>
      </c>
    </row>
    <row r="1045" spans="115:117" x14ac:dyDescent="0.2">
      <c r="DK1045" s="31" t="str">
        <f t="shared" si="36"/>
        <v xml:space="preserve">  </v>
      </c>
      <c r="DL1045" s="25" t="str">
        <f t="shared" si="37"/>
        <v/>
      </c>
      <c r="DM1045" s="25" t="str">
        <f>BasicInput!$D$13&amp;$DM$2&amp;B1045&amp;"_"&amp;C1045&amp;D1045&amp;"_"&amp;BasicInput!$D$7&amp;BasicInput!$D$8&amp;"_"&amp;DL1045&amp;".xuf"</f>
        <v>C:\PWWORKING\east01\d2591108\Weave\__2019EX_PM_.xuf</v>
      </c>
    </row>
    <row r="1046" spans="115:117" x14ac:dyDescent="0.2">
      <c r="DK1046" s="31" t="str">
        <f t="shared" si="36"/>
        <v xml:space="preserve">  </v>
      </c>
      <c r="DL1046" s="25" t="str">
        <f t="shared" si="37"/>
        <v/>
      </c>
      <c r="DM1046" s="25" t="str">
        <f>BasicInput!$D$13&amp;$DM$2&amp;B1046&amp;"_"&amp;C1046&amp;D1046&amp;"_"&amp;BasicInput!$D$7&amp;BasicInput!$D$8&amp;"_"&amp;DL1046&amp;".xuf"</f>
        <v>C:\PWWORKING\east01\d2591108\Weave\__2019EX_PM_.xuf</v>
      </c>
    </row>
    <row r="1047" spans="115:117" x14ac:dyDescent="0.2">
      <c r="DK1047" s="31" t="str">
        <f t="shared" si="36"/>
        <v xml:space="preserve">  </v>
      </c>
      <c r="DL1047" s="25" t="str">
        <f t="shared" si="37"/>
        <v/>
      </c>
      <c r="DM1047" s="25" t="str">
        <f>BasicInput!$D$13&amp;$DM$2&amp;B1047&amp;"_"&amp;C1047&amp;D1047&amp;"_"&amp;BasicInput!$D$7&amp;BasicInput!$D$8&amp;"_"&amp;DL1047&amp;".xuf"</f>
        <v>C:\PWWORKING\east01\d2591108\Weave\__2019EX_PM_.xuf</v>
      </c>
    </row>
    <row r="1048" spans="115:117" x14ac:dyDescent="0.2">
      <c r="DK1048" s="31" t="str">
        <f t="shared" si="36"/>
        <v xml:space="preserve">  </v>
      </c>
      <c r="DL1048" s="25" t="str">
        <f t="shared" si="37"/>
        <v/>
      </c>
      <c r="DM1048" s="25" t="str">
        <f>BasicInput!$D$13&amp;$DM$2&amp;B1048&amp;"_"&amp;C1048&amp;D1048&amp;"_"&amp;BasicInput!$D$7&amp;BasicInput!$D$8&amp;"_"&amp;DL1048&amp;".xuf"</f>
        <v>C:\PWWORKING\east01\d2591108\Weave\__2019EX_PM_.xuf</v>
      </c>
    </row>
    <row r="1049" spans="115:117" x14ac:dyDescent="0.2">
      <c r="DK1049" s="31" t="str">
        <f t="shared" si="36"/>
        <v xml:space="preserve">  </v>
      </c>
      <c r="DL1049" s="25" t="str">
        <f t="shared" si="37"/>
        <v/>
      </c>
      <c r="DM1049" s="25" t="str">
        <f>BasicInput!$D$13&amp;$DM$2&amp;B1049&amp;"_"&amp;C1049&amp;D1049&amp;"_"&amp;BasicInput!$D$7&amp;BasicInput!$D$8&amp;"_"&amp;DL1049&amp;".xuf"</f>
        <v>C:\PWWORKING\east01\d2591108\Weave\__2019EX_PM_.xuf</v>
      </c>
    </row>
    <row r="1050" spans="115:117" x14ac:dyDescent="0.2">
      <c r="DK1050" s="31" t="str">
        <f t="shared" si="36"/>
        <v xml:space="preserve">  </v>
      </c>
      <c r="DL1050" s="25" t="str">
        <f t="shared" si="37"/>
        <v/>
      </c>
      <c r="DM1050" s="25" t="str">
        <f>BasicInput!$D$13&amp;$DM$2&amp;B1050&amp;"_"&amp;C1050&amp;D1050&amp;"_"&amp;BasicInput!$D$7&amp;BasicInput!$D$8&amp;"_"&amp;DL1050&amp;".xuf"</f>
        <v>C:\PWWORKING\east01\d2591108\Weave\__2019EX_PM_.xuf</v>
      </c>
    </row>
    <row r="1051" spans="115:117" x14ac:dyDescent="0.2">
      <c r="DK1051" s="31" t="str">
        <f t="shared" si="36"/>
        <v xml:space="preserve">  </v>
      </c>
      <c r="DL1051" s="25" t="str">
        <f t="shared" si="37"/>
        <v/>
      </c>
      <c r="DM1051" s="25" t="str">
        <f>BasicInput!$D$13&amp;$DM$2&amp;B1051&amp;"_"&amp;C1051&amp;D1051&amp;"_"&amp;BasicInput!$D$7&amp;BasicInput!$D$8&amp;"_"&amp;DL1051&amp;".xuf"</f>
        <v>C:\PWWORKING\east01\d2591108\Weave\__2019EX_PM_.xuf</v>
      </c>
    </row>
    <row r="1052" spans="115:117" x14ac:dyDescent="0.2">
      <c r="DK1052" s="31" t="str">
        <f t="shared" si="36"/>
        <v xml:space="preserve">  </v>
      </c>
      <c r="DL1052" s="25" t="str">
        <f t="shared" si="37"/>
        <v/>
      </c>
      <c r="DM1052" s="25" t="str">
        <f>BasicInput!$D$13&amp;$DM$2&amp;B1052&amp;"_"&amp;C1052&amp;D1052&amp;"_"&amp;BasicInput!$D$7&amp;BasicInput!$D$8&amp;"_"&amp;DL1052&amp;".xuf"</f>
        <v>C:\PWWORKING\east01\d2591108\Weave\__2019EX_PM_.xuf</v>
      </c>
    </row>
    <row r="1053" spans="115:117" x14ac:dyDescent="0.2">
      <c r="DK1053" s="31" t="str">
        <f t="shared" si="36"/>
        <v xml:space="preserve">  </v>
      </c>
      <c r="DL1053" s="25" t="str">
        <f t="shared" si="37"/>
        <v/>
      </c>
      <c r="DM1053" s="25" t="str">
        <f>BasicInput!$D$13&amp;$DM$2&amp;B1053&amp;"_"&amp;C1053&amp;D1053&amp;"_"&amp;BasicInput!$D$7&amp;BasicInput!$D$8&amp;"_"&amp;DL1053&amp;".xuf"</f>
        <v>C:\PWWORKING\east01\d2591108\Weave\__2019EX_PM_.xuf</v>
      </c>
    </row>
    <row r="1054" spans="115:117" x14ac:dyDescent="0.2">
      <c r="DK1054" s="31" t="str">
        <f t="shared" si="36"/>
        <v xml:space="preserve">  </v>
      </c>
      <c r="DL1054" s="25" t="str">
        <f t="shared" si="37"/>
        <v/>
      </c>
      <c r="DM1054" s="25" t="str">
        <f>BasicInput!$D$13&amp;$DM$2&amp;B1054&amp;"_"&amp;C1054&amp;D1054&amp;"_"&amp;BasicInput!$D$7&amp;BasicInput!$D$8&amp;"_"&amp;DL1054&amp;".xuf"</f>
        <v>C:\PWWORKING\east01\d2591108\Weave\__2019EX_PM_.xuf</v>
      </c>
    </row>
    <row r="1055" spans="115:117" x14ac:dyDescent="0.2">
      <c r="DK1055" s="31" t="str">
        <f t="shared" si="36"/>
        <v xml:space="preserve">  </v>
      </c>
      <c r="DL1055" s="25" t="str">
        <f t="shared" si="37"/>
        <v/>
      </c>
      <c r="DM1055" s="25" t="str">
        <f>BasicInput!$D$13&amp;$DM$2&amp;B1055&amp;"_"&amp;C1055&amp;D1055&amp;"_"&amp;BasicInput!$D$7&amp;BasicInput!$D$8&amp;"_"&amp;DL1055&amp;".xuf"</f>
        <v>C:\PWWORKING\east01\d2591108\Weave\__2019EX_PM_.xuf</v>
      </c>
    </row>
    <row r="1056" spans="115:117" x14ac:dyDescent="0.2">
      <c r="DK1056" s="31" t="str">
        <f t="shared" si="36"/>
        <v xml:space="preserve">  </v>
      </c>
      <c r="DL1056" s="25" t="str">
        <f t="shared" si="37"/>
        <v/>
      </c>
      <c r="DM1056" s="25" t="str">
        <f>BasicInput!$D$13&amp;$DM$2&amp;B1056&amp;"_"&amp;C1056&amp;D1056&amp;"_"&amp;BasicInput!$D$7&amp;BasicInput!$D$8&amp;"_"&amp;DL1056&amp;".xuf"</f>
        <v>C:\PWWORKING\east01\d2591108\Weave\__2019EX_PM_.xuf</v>
      </c>
    </row>
    <row r="1057" spans="115:117" x14ac:dyDescent="0.2">
      <c r="DK1057" s="31" t="str">
        <f t="shared" si="36"/>
        <v xml:space="preserve">  </v>
      </c>
      <c r="DL1057" s="25" t="str">
        <f t="shared" si="37"/>
        <v/>
      </c>
      <c r="DM1057" s="25" t="str">
        <f>BasicInput!$D$13&amp;$DM$2&amp;B1057&amp;"_"&amp;C1057&amp;D1057&amp;"_"&amp;BasicInput!$D$7&amp;BasicInput!$D$8&amp;"_"&amp;DL1057&amp;".xuf"</f>
        <v>C:\PWWORKING\east01\d2591108\Weave\__2019EX_PM_.xuf</v>
      </c>
    </row>
    <row r="1058" spans="115:117" x14ac:dyDescent="0.2">
      <c r="DK1058" s="31" t="str">
        <f t="shared" si="36"/>
        <v xml:space="preserve">  </v>
      </c>
      <c r="DL1058" s="25" t="str">
        <f t="shared" si="37"/>
        <v/>
      </c>
      <c r="DM1058" s="25" t="str">
        <f>BasicInput!$D$13&amp;$DM$2&amp;B1058&amp;"_"&amp;C1058&amp;D1058&amp;"_"&amp;BasicInput!$D$7&amp;BasicInput!$D$8&amp;"_"&amp;DL1058&amp;".xuf"</f>
        <v>C:\PWWORKING\east01\d2591108\Weave\__2019EX_PM_.xuf</v>
      </c>
    </row>
    <row r="1059" spans="115:117" x14ac:dyDescent="0.2">
      <c r="DK1059" s="31" t="str">
        <f t="shared" si="36"/>
        <v xml:space="preserve">  </v>
      </c>
      <c r="DL1059" s="25" t="str">
        <f t="shared" si="37"/>
        <v/>
      </c>
      <c r="DM1059" s="25" t="str">
        <f>BasicInput!$D$13&amp;$DM$2&amp;B1059&amp;"_"&amp;C1059&amp;D1059&amp;"_"&amp;BasicInput!$D$7&amp;BasicInput!$D$8&amp;"_"&amp;DL1059&amp;".xuf"</f>
        <v>C:\PWWORKING\east01\d2591108\Weave\__2019EX_PM_.xuf</v>
      </c>
    </row>
    <row r="1060" spans="115:117" x14ac:dyDescent="0.2">
      <c r="DK1060" s="31" t="str">
        <f t="shared" si="36"/>
        <v xml:space="preserve">  </v>
      </c>
      <c r="DL1060" s="25" t="str">
        <f t="shared" si="37"/>
        <v/>
      </c>
      <c r="DM1060" s="25" t="str">
        <f>BasicInput!$D$13&amp;$DM$2&amp;B1060&amp;"_"&amp;C1060&amp;D1060&amp;"_"&amp;BasicInput!$D$7&amp;BasicInput!$D$8&amp;"_"&amp;DL1060&amp;".xuf"</f>
        <v>C:\PWWORKING\east01\d2591108\Weave\__2019EX_PM_.xuf</v>
      </c>
    </row>
    <row r="1061" spans="115:117" x14ac:dyDescent="0.2">
      <c r="DK1061" s="31" t="str">
        <f t="shared" si="36"/>
        <v xml:space="preserve">  </v>
      </c>
      <c r="DL1061" s="25" t="str">
        <f t="shared" si="37"/>
        <v/>
      </c>
      <c r="DM1061" s="25" t="str">
        <f>BasicInput!$D$13&amp;$DM$2&amp;B1061&amp;"_"&amp;C1061&amp;D1061&amp;"_"&amp;BasicInput!$D$7&amp;BasicInput!$D$8&amp;"_"&amp;DL1061&amp;".xuf"</f>
        <v>C:\PWWORKING\east01\d2591108\Weave\__2019EX_PM_.xuf</v>
      </c>
    </row>
    <row r="1062" spans="115:117" x14ac:dyDescent="0.2">
      <c r="DK1062" s="31" t="str">
        <f t="shared" si="36"/>
        <v xml:space="preserve">  </v>
      </c>
      <c r="DL1062" s="25" t="str">
        <f t="shared" si="37"/>
        <v/>
      </c>
      <c r="DM1062" s="25" t="str">
        <f>BasicInput!$D$13&amp;$DM$2&amp;B1062&amp;"_"&amp;C1062&amp;D1062&amp;"_"&amp;BasicInput!$D$7&amp;BasicInput!$D$8&amp;"_"&amp;DL1062&amp;".xuf"</f>
        <v>C:\PWWORKING\east01\d2591108\Weave\__2019EX_PM_.xuf</v>
      </c>
    </row>
    <row r="1063" spans="115:117" x14ac:dyDescent="0.2">
      <c r="DK1063" s="31" t="str">
        <f t="shared" si="36"/>
        <v xml:space="preserve">  </v>
      </c>
      <c r="DL1063" s="25" t="str">
        <f t="shared" si="37"/>
        <v/>
      </c>
      <c r="DM1063" s="25" t="str">
        <f>BasicInput!$D$13&amp;$DM$2&amp;B1063&amp;"_"&amp;C1063&amp;D1063&amp;"_"&amp;BasicInput!$D$7&amp;BasicInput!$D$8&amp;"_"&amp;DL1063&amp;".xuf"</f>
        <v>C:\PWWORKING\east01\d2591108\Weave\__2019EX_PM_.xuf</v>
      </c>
    </row>
    <row r="1064" spans="115:117" x14ac:dyDescent="0.2">
      <c r="DK1064" s="31" t="str">
        <f t="shared" si="36"/>
        <v xml:space="preserve">  </v>
      </c>
      <c r="DL1064" s="25" t="str">
        <f t="shared" si="37"/>
        <v/>
      </c>
      <c r="DM1064" s="25" t="str">
        <f>BasicInput!$D$13&amp;$DM$2&amp;B1064&amp;"_"&amp;C1064&amp;D1064&amp;"_"&amp;BasicInput!$D$7&amp;BasicInput!$D$8&amp;"_"&amp;DL1064&amp;".xuf"</f>
        <v>C:\PWWORKING\east01\d2591108\Weave\__2019EX_PM_.xuf</v>
      </c>
    </row>
    <row r="1065" spans="115:117" x14ac:dyDescent="0.2">
      <c r="DK1065" s="31" t="str">
        <f t="shared" si="36"/>
        <v xml:space="preserve">  </v>
      </c>
      <c r="DL1065" s="25" t="str">
        <f t="shared" si="37"/>
        <v/>
      </c>
      <c r="DM1065" s="25" t="str">
        <f>BasicInput!$D$13&amp;$DM$2&amp;B1065&amp;"_"&amp;C1065&amp;D1065&amp;"_"&amp;BasicInput!$D$7&amp;BasicInput!$D$8&amp;"_"&amp;DL1065&amp;".xuf"</f>
        <v>C:\PWWORKING\east01\d2591108\Weave\__2019EX_PM_.xuf</v>
      </c>
    </row>
    <row r="1066" spans="115:117" x14ac:dyDescent="0.2">
      <c r="DK1066" s="31" t="str">
        <f t="shared" si="36"/>
        <v xml:space="preserve">  </v>
      </c>
      <c r="DL1066" s="25" t="str">
        <f t="shared" si="37"/>
        <v/>
      </c>
      <c r="DM1066" s="25" t="str">
        <f>BasicInput!$D$13&amp;$DM$2&amp;B1066&amp;"_"&amp;C1066&amp;D1066&amp;"_"&amp;BasicInput!$D$7&amp;BasicInput!$D$8&amp;"_"&amp;DL1066&amp;".xuf"</f>
        <v>C:\PWWORKING\east01\d2591108\Weave\__2019EX_PM_.xuf</v>
      </c>
    </row>
    <row r="1067" spans="115:117" x14ac:dyDescent="0.2">
      <c r="DK1067" s="31" t="str">
        <f t="shared" si="36"/>
        <v xml:space="preserve">  </v>
      </c>
      <c r="DL1067" s="25" t="str">
        <f t="shared" si="37"/>
        <v/>
      </c>
      <c r="DM1067" s="25" t="str">
        <f>BasicInput!$D$13&amp;$DM$2&amp;B1067&amp;"_"&amp;C1067&amp;D1067&amp;"_"&amp;BasicInput!$D$7&amp;BasicInput!$D$8&amp;"_"&amp;DL1067&amp;".xuf"</f>
        <v>C:\PWWORKING\east01\d2591108\Weave\__2019EX_PM_.xuf</v>
      </c>
    </row>
    <row r="1068" spans="115:117" x14ac:dyDescent="0.2">
      <c r="DK1068" s="31" t="str">
        <f t="shared" si="36"/>
        <v xml:space="preserve">  </v>
      </c>
      <c r="DL1068" s="25" t="str">
        <f t="shared" si="37"/>
        <v/>
      </c>
      <c r="DM1068" s="25" t="str">
        <f>BasicInput!$D$13&amp;$DM$2&amp;B1068&amp;"_"&amp;C1068&amp;D1068&amp;"_"&amp;BasicInput!$D$7&amp;BasicInput!$D$8&amp;"_"&amp;DL1068&amp;".xuf"</f>
        <v>C:\PWWORKING\east01\d2591108\Weave\__2019EX_PM_.xuf</v>
      </c>
    </row>
    <row r="1069" spans="115:117" x14ac:dyDescent="0.2">
      <c r="DK1069" s="31" t="str">
        <f t="shared" si="36"/>
        <v xml:space="preserve">  </v>
      </c>
      <c r="DL1069" s="25" t="str">
        <f t="shared" si="37"/>
        <v/>
      </c>
      <c r="DM1069" s="25" t="str">
        <f>BasicInput!$D$13&amp;$DM$2&amp;B1069&amp;"_"&amp;C1069&amp;D1069&amp;"_"&amp;BasicInput!$D$7&amp;BasicInput!$D$8&amp;"_"&amp;DL1069&amp;".xuf"</f>
        <v>C:\PWWORKING\east01\d2591108\Weave\__2019EX_PM_.xuf</v>
      </c>
    </row>
    <row r="1070" spans="115:117" x14ac:dyDescent="0.2">
      <c r="DK1070" s="31" t="str">
        <f t="shared" si="36"/>
        <v xml:space="preserve">  </v>
      </c>
      <c r="DL1070" s="25" t="str">
        <f t="shared" si="37"/>
        <v/>
      </c>
      <c r="DM1070" s="25" t="str">
        <f>BasicInput!$D$13&amp;$DM$2&amp;B1070&amp;"_"&amp;C1070&amp;D1070&amp;"_"&amp;BasicInput!$D$7&amp;BasicInput!$D$8&amp;"_"&amp;DL1070&amp;".xuf"</f>
        <v>C:\PWWORKING\east01\d2591108\Weave\__2019EX_PM_.xuf</v>
      </c>
    </row>
    <row r="1071" spans="115:117" x14ac:dyDescent="0.2">
      <c r="DK1071" s="31" t="str">
        <f t="shared" si="36"/>
        <v xml:space="preserve">  </v>
      </c>
      <c r="DL1071" s="25" t="str">
        <f t="shared" si="37"/>
        <v/>
      </c>
      <c r="DM1071" s="25" t="str">
        <f>BasicInput!$D$13&amp;$DM$2&amp;B1071&amp;"_"&amp;C1071&amp;D1071&amp;"_"&amp;BasicInput!$D$7&amp;BasicInput!$D$8&amp;"_"&amp;DL1071&amp;".xuf"</f>
        <v>C:\PWWORKING\east01\d2591108\Weave\__2019EX_PM_.xuf</v>
      </c>
    </row>
    <row r="1072" spans="115:117" x14ac:dyDescent="0.2">
      <c r="DK1072" s="31" t="str">
        <f t="shared" si="36"/>
        <v xml:space="preserve">  </v>
      </c>
      <c r="DL1072" s="25" t="str">
        <f t="shared" si="37"/>
        <v/>
      </c>
      <c r="DM1072" s="25" t="str">
        <f>BasicInput!$D$13&amp;$DM$2&amp;B1072&amp;"_"&amp;C1072&amp;D1072&amp;"_"&amp;BasicInput!$D$7&amp;BasicInput!$D$8&amp;"_"&amp;DL1072&amp;".xuf"</f>
        <v>C:\PWWORKING\east01\d2591108\Weave\__2019EX_PM_.xuf</v>
      </c>
    </row>
    <row r="1073" spans="115:117" x14ac:dyDescent="0.2">
      <c r="DK1073" s="31" t="str">
        <f t="shared" si="36"/>
        <v xml:space="preserve">  </v>
      </c>
      <c r="DL1073" s="25" t="str">
        <f t="shared" si="37"/>
        <v/>
      </c>
      <c r="DM1073" s="25" t="str">
        <f>BasicInput!$D$13&amp;$DM$2&amp;B1073&amp;"_"&amp;C1073&amp;D1073&amp;"_"&amp;BasicInput!$D$7&amp;BasicInput!$D$8&amp;"_"&amp;DL1073&amp;".xuf"</f>
        <v>C:\PWWORKING\east01\d2591108\Weave\__2019EX_PM_.xuf</v>
      </c>
    </row>
    <row r="1074" spans="115:117" x14ac:dyDescent="0.2">
      <c r="DK1074" s="31" t="str">
        <f t="shared" si="36"/>
        <v xml:space="preserve">  </v>
      </c>
      <c r="DL1074" s="25" t="str">
        <f t="shared" si="37"/>
        <v/>
      </c>
      <c r="DM1074" s="25" t="str">
        <f>BasicInput!$D$13&amp;$DM$2&amp;B1074&amp;"_"&amp;C1074&amp;D1074&amp;"_"&amp;BasicInput!$D$7&amp;BasicInput!$D$8&amp;"_"&amp;DL1074&amp;".xuf"</f>
        <v>C:\PWWORKING\east01\d2591108\Weave\__2019EX_PM_.xuf</v>
      </c>
    </row>
    <row r="1075" spans="115:117" x14ac:dyDescent="0.2">
      <c r="DK1075" s="31" t="str">
        <f t="shared" si="36"/>
        <v xml:space="preserve">  </v>
      </c>
      <c r="DL1075" s="25" t="str">
        <f t="shared" si="37"/>
        <v/>
      </c>
      <c r="DM1075" s="25" t="str">
        <f>BasicInput!$D$13&amp;$DM$2&amp;B1075&amp;"_"&amp;C1075&amp;D1075&amp;"_"&amp;BasicInput!$D$7&amp;BasicInput!$D$8&amp;"_"&amp;DL1075&amp;".xuf"</f>
        <v>C:\PWWORKING\east01\d2591108\Weave\__2019EX_PM_.xuf</v>
      </c>
    </row>
    <row r="1076" spans="115:117" x14ac:dyDescent="0.2">
      <c r="DK1076" s="31" t="str">
        <f t="shared" si="36"/>
        <v xml:space="preserve">  </v>
      </c>
      <c r="DL1076" s="25" t="str">
        <f t="shared" si="37"/>
        <v/>
      </c>
      <c r="DM1076" s="25" t="str">
        <f>BasicInput!$D$13&amp;$DM$2&amp;B1076&amp;"_"&amp;C1076&amp;D1076&amp;"_"&amp;BasicInput!$D$7&amp;BasicInput!$D$8&amp;"_"&amp;DL1076&amp;".xuf"</f>
        <v>C:\PWWORKING\east01\d2591108\Weave\__2019EX_PM_.xuf</v>
      </c>
    </row>
    <row r="1077" spans="115:117" x14ac:dyDescent="0.2">
      <c r="DK1077" s="31" t="str">
        <f t="shared" si="36"/>
        <v xml:space="preserve">  </v>
      </c>
      <c r="DL1077" s="25" t="str">
        <f t="shared" si="37"/>
        <v/>
      </c>
      <c r="DM1077" s="25" t="str">
        <f>BasicInput!$D$13&amp;$DM$2&amp;B1077&amp;"_"&amp;C1077&amp;D1077&amp;"_"&amp;BasicInput!$D$7&amp;BasicInput!$D$8&amp;"_"&amp;DL1077&amp;".xuf"</f>
        <v>C:\PWWORKING\east01\d2591108\Weave\__2019EX_PM_.xuf</v>
      </c>
    </row>
    <row r="1078" spans="115:117" x14ac:dyDescent="0.2">
      <c r="DK1078" s="31" t="str">
        <f t="shared" si="36"/>
        <v xml:space="preserve">  </v>
      </c>
      <c r="DL1078" s="25" t="str">
        <f t="shared" si="37"/>
        <v/>
      </c>
      <c r="DM1078" s="25" t="str">
        <f>BasicInput!$D$13&amp;$DM$2&amp;B1078&amp;"_"&amp;C1078&amp;D1078&amp;"_"&amp;BasicInput!$D$7&amp;BasicInput!$D$8&amp;"_"&amp;DL1078&amp;".xuf"</f>
        <v>C:\PWWORKING\east01\d2591108\Weave\__2019EX_PM_.xuf</v>
      </c>
    </row>
    <row r="1079" spans="115:117" x14ac:dyDescent="0.2">
      <c r="DK1079" s="31" t="str">
        <f t="shared" si="36"/>
        <v xml:space="preserve">  </v>
      </c>
      <c r="DL1079" s="25" t="str">
        <f t="shared" si="37"/>
        <v/>
      </c>
      <c r="DM1079" s="25" t="str">
        <f>BasicInput!$D$13&amp;$DM$2&amp;B1079&amp;"_"&amp;C1079&amp;D1079&amp;"_"&amp;BasicInput!$D$7&amp;BasicInput!$D$8&amp;"_"&amp;DL1079&amp;".xuf"</f>
        <v>C:\PWWORKING\east01\d2591108\Weave\__2019EX_PM_.xuf</v>
      </c>
    </row>
    <row r="1080" spans="115:117" x14ac:dyDescent="0.2">
      <c r="DK1080" s="31" t="str">
        <f t="shared" si="36"/>
        <v xml:space="preserve">  </v>
      </c>
      <c r="DL1080" s="25" t="str">
        <f t="shared" si="37"/>
        <v/>
      </c>
      <c r="DM1080" s="25" t="str">
        <f>BasicInput!$D$13&amp;$DM$2&amp;B1080&amp;"_"&amp;C1080&amp;D1080&amp;"_"&amp;BasicInput!$D$7&amp;BasicInput!$D$8&amp;"_"&amp;DL1080&amp;".xuf"</f>
        <v>C:\PWWORKING\east01\d2591108\Weave\__2019EX_PM_.xuf</v>
      </c>
    </row>
    <row r="1081" spans="115:117" x14ac:dyDescent="0.2">
      <c r="DK1081" s="31" t="str">
        <f t="shared" si="36"/>
        <v xml:space="preserve">  </v>
      </c>
      <c r="DL1081" s="25" t="str">
        <f t="shared" si="37"/>
        <v/>
      </c>
      <c r="DM1081" s="25" t="str">
        <f>BasicInput!$D$13&amp;$DM$2&amp;B1081&amp;"_"&amp;C1081&amp;D1081&amp;"_"&amp;BasicInput!$D$7&amp;BasicInput!$D$8&amp;"_"&amp;DL1081&amp;".xuf"</f>
        <v>C:\PWWORKING\east01\d2591108\Weave\__2019EX_PM_.xuf</v>
      </c>
    </row>
    <row r="1082" spans="115:117" x14ac:dyDescent="0.2">
      <c r="DK1082" s="31" t="str">
        <f t="shared" si="36"/>
        <v xml:space="preserve">  </v>
      </c>
      <c r="DL1082" s="25" t="str">
        <f t="shared" si="37"/>
        <v/>
      </c>
      <c r="DM1082" s="25" t="str">
        <f>BasicInput!$D$13&amp;$DM$2&amp;B1082&amp;"_"&amp;C1082&amp;D1082&amp;"_"&amp;BasicInput!$D$7&amp;BasicInput!$D$8&amp;"_"&amp;DL1082&amp;".xuf"</f>
        <v>C:\PWWORKING\east01\d2591108\Weave\__2019EX_PM_.xuf</v>
      </c>
    </row>
    <row r="1083" spans="115:117" x14ac:dyDescent="0.2">
      <c r="DK1083" s="31" t="str">
        <f t="shared" si="36"/>
        <v xml:space="preserve">  </v>
      </c>
      <c r="DL1083" s="25" t="str">
        <f t="shared" si="37"/>
        <v/>
      </c>
      <c r="DM1083" s="25" t="str">
        <f>BasicInput!$D$13&amp;$DM$2&amp;B1083&amp;"_"&amp;C1083&amp;D1083&amp;"_"&amp;BasicInput!$D$7&amp;BasicInput!$D$8&amp;"_"&amp;DL1083&amp;".xuf"</f>
        <v>C:\PWWORKING\east01\d2591108\Weave\__2019EX_PM_.xuf</v>
      </c>
    </row>
    <row r="1084" spans="115:117" x14ac:dyDescent="0.2">
      <c r="DK1084" s="31" t="str">
        <f t="shared" si="36"/>
        <v xml:space="preserve">  </v>
      </c>
      <c r="DL1084" s="25" t="str">
        <f t="shared" si="37"/>
        <v/>
      </c>
      <c r="DM1084" s="25" t="str">
        <f>BasicInput!$D$13&amp;$DM$2&amp;B1084&amp;"_"&amp;C1084&amp;D1084&amp;"_"&amp;BasicInput!$D$7&amp;BasicInput!$D$8&amp;"_"&amp;DL1084&amp;".xuf"</f>
        <v>C:\PWWORKING\east01\d2591108\Weave\__2019EX_PM_.xuf</v>
      </c>
    </row>
    <row r="1085" spans="115:117" x14ac:dyDescent="0.2">
      <c r="DK1085" s="31" t="str">
        <f t="shared" si="36"/>
        <v xml:space="preserve">  </v>
      </c>
      <c r="DL1085" s="25" t="str">
        <f t="shared" si="37"/>
        <v/>
      </c>
      <c r="DM1085" s="25" t="str">
        <f>BasicInput!$D$13&amp;$DM$2&amp;B1085&amp;"_"&amp;C1085&amp;D1085&amp;"_"&amp;BasicInput!$D$7&amp;BasicInput!$D$8&amp;"_"&amp;DL1085&amp;".xuf"</f>
        <v>C:\PWWORKING\east01\d2591108\Weave\__2019EX_PM_.xuf</v>
      </c>
    </row>
    <row r="1086" spans="115:117" x14ac:dyDescent="0.2">
      <c r="DK1086" s="31" t="str">
        <f t="shared" si="36"/>
        <v xml:space="preserve">  </v>
      </c>
      <c r="DL1086" s="25" t="str">
        <f t="shared" si="37"/>
        <v/>
      </c>
      <c r="DM1086" s="25" t="str">
        <f>BasicInput!$D$13&amp;$DM$2&amp;B1086&amp;"_"&amp;C1086&amp;D1086&amp;"_"&amp;BasicInput!$D$7&amp;BasicInput!$D$8&amp;"_"&amp;DL1086&amp;".xuf"</f>
        <v>C:\PWWORKING\east01\d2591108\Weave\__2019EX_PM_.xuf</v>
      </c>
    </row>
    <row r="1087" spans="115:117" x14ac:dyDescent="0.2">
      <c r="DK1087" s="31" t="str">
        <f t="shared" si="36"/>
        <v xml:space="preserve">  </v>
      </c>
      <c r="DL1087" s="25" t="str">
        <f t="shared" si="37"/>
        <v/>
      </c>
      <c r="DM1087" s="25" t="str">
        <f>BasicInput!$D$13&amp;$DM$2&amp;B1087&amp;"_"&amp;C1087&amp;D1087&amp;"_"&amp;BasicInput!$D$7&amp;BasicInput!$D$8&amp;"_"&amp;DL1087&amp;".xuf"</f>
        <v>C:\PWWORKING\east01\d2591108\Weave\__2019EX_PM_.xuf</v>
      </c>
    </row>
    <row r="1088" spans="115:117" x14ac:dyDescent="0.2">
      <c r="DK1088" s="31" t="str">
        <f t="shared" si="36"/>
        <v xml:space="preserve">  </v>
      </c>
      <c r="DL1088" s="25" t="str">
        <f t="shared" si="37"/>
        <v/>
      </c>
      <c r="DM1088" s="25" t="str">
        <f>BasicInput!$D$13&amp;$DM$2&amp;B1088&amp;"_"&amp;C1088&amp;D1088&amp;"_"&amp;BasicInput!$D$7&amp;BasicInput!$D$8&amp;"_"&amp;DL1088&amp;".xuf"</f>
        <v>C:\PWWORKING\east01\d2591108\Weave\__2019EX_PM_.xuf</v>
      </c>
    </row>
    <row r="1089" spans="115:117" x14ac:dyDescent="0.2">
      <c r="DK1089" s="31" t="str">
        <f t="shared" si="36"/>
        <v xml:space="preserve">  </v>
      </c>
      <c r="DL1089" s="25" t="str">
        <f t="shared" si="37"/>
        <v/>
      </c>
      <c r="DM1089" s="25" t="str">
        <f>BasicInput!$D$13&amp;$DM$2&amp;B1089&amp;"_"&amp;C1089&amp;D1089&amp;"_"&amp;BasicInput!$D$7&amp;BasicInput!$D$8&amp;"_"&amp;DL1089&amp;".xuf"</f>
        <v>C:\PWWORKING\east01\d2591108\Weave\__2019EX_PM_.xuf</v>
      </c>
    </row>
    <row r="1090" spans="115:117" x14ac:dyDescent="0.2">
      <c r="DK1090" s="31" t="str">
        <f t="shared" si="36"/>
        <v xml:space="preserve">  </v>
      </c>
      <c r="DL1090" s="25" t="str">
        <f t="shared" si="37"/>
        <v/>
      </c>
      <c r="DM1090" s="25" t="str">
        <f>BasicInput!$D$13&amp;$DM$2&amp;B1090&amp;"_"&amp;C1090&amp;D1090&amp;"_"&amp;BasicInput!$D$7&amp;BasicInput!$D$8&amp;"_"&amp;DL1090&amp;".xuf"</f>
        <v>C:\PWWORKING\east01\d2591108\Weave\__2019EX_PM_.xuf</v>
      </c>
    </row>
    <row r="1091" spans="115:117" x14ac:dyDescent="0.2">
      <c r="DK1091" s="31" t="str">
        <f t="shared" si="36"/>
        <v xml:space="preserve">  </v>
      </c>
      <c r="DL1091" s="25" t="str">
        <f t="shared" si="37"/>
        <v/>
      </c>
      <c r="DM1091" s="25" t="str">
        <f>BasicInput!$D$13&amp;$DM$2&amp;B1091&amp;"_"&amp;C1091&amp;D1091&amp;"_"&amp;BasicInput!$D$7&amp;BasicInput!$D$8&amp;"_"&amp;DL1091&amp;".xuf"</f>
        <v>C:\PWWORKING\east01\d2591108\Weave\__2019EX_PM_.xuf</v>
      </c>
    </row>
    <row r="1092" spans="115:117" x14ac:dyDescent="0.2">
      <c r="DK1092" s="31" t="str">
        <f t="shared" si="36"/>
        <v xml:space="preserve">  </v>
      </c>
      <c r="DL1092" s="25" t="str">
        <f t="shared" si="37"/>
        <v/>
      </c>
      <c r="DM1092" s="25" t="str">
        <f>BasicInput!$D$13&amp;$DM$2&amp;B1092&amp;"_"&amp;C1092&amp;D1092&amp;"_"&amp;BasicInput!$D$7&amp;BasicInput!$D$8&amp;"_"&amp;DL1092&amp;".xuf"</f>
        <v>C:\PWWORKING\east01\d2591108\Weave\__2019EX_PM_.xuf</v>
      </c>
    </row>
    <row r="1093" spans="115:117" x14ac:dyDescent="0.2">
      <c r="DK1093" s="31" t="str">
        <f t="shared" si="36"/>
        <v xml:space="preserve">  </v>
      </c>
      <c r="DL1093" s="25" t="str">
        <f t="shared" si="37"/>
        <v/>
      </c>
      <c r="DM1093" s="25" t="str">
        <f>BasicInput!$D$13&amp;$DM$2&amp;B1093&amp;"_"&amp;C1093&amp;D1093&amp;"_"&amp;BasicInput!$D$7&amp;BasicInput!$D$8&amp;"_"&amp;DL1093&amp;".xuf"</f>
        <v>C:\PWWORKING\east01\d2591108\Weave\__2019EX_PM_.xuf</v>
      </c>
    </row>
    <row r="1094" spans="115:117" x14ac:dyDescent="0.2">
      <c r="DK1094" s="31" t="str">
        <f t="shared" si="36"/>
        <v xml:space="preserve">  </v>
      </c>
      <c r="DL1094" s="25" t="str">
        <f t="shared" si="37"/>
        <v/>
      </c>
      <c r="DM1094" s="25" t="str">
        <f>BasicInput!$D$13&amp;$DM$2&amp;B1094&amp;"_"&amp;C1094&amp;D1094&amp;"_"&amp;BasicInput!$D$7&amp;BasicInput!$D$8&amp;"_"&amp;DL1094&amp;".xuf"</f>
        <v>C:\PWWORKING\east01\d2591108\Weave\__2019EX_PM_.xuf</v>
      </c>
    </row>
    <row r="1095" spans="115:117" x14ac:dyDescent="0.2">
      <c r="DK1095" s="31" t="str">
        <f t="shared" si="36"/>
        <v xml:space="preserve">  </v>
      </c>
      <c r="DL1095" s="25" t="str">
        <f t="shared" si="37"/>
        <v/>
      </c>
      <c r="DM1095" s="25" t="str">
        <f>BasicInput!$D$13&amp;$DM$2&amp;B1095&amp;"_"&amp;C1095&amp;D1095&amp;"_"&amp;BasicInput!$D$7&amp;BasicInput!$D$8&amp;"_"&amp;DL1095&amp;".xuf"</f>
        <v>C:\PWWORKING\east01\d2591108\Weave\__2019EX_PM_.xuf</v>
      </c>
    </row>
    <row r="1096" spans="115:117" x14ac:dyDescent="0.2">
      <c r="DK1096" s="31" t="str">
        <f t="shared" si="36"/>
        <v xml:space="preserve">  </v>
      </c>
      <c r="DL1096" s="25" t="str">
        <f t="shared" si="37"/>
        <v/>
      </c>
      <c r="DM1096" s="25" t="str">
        <f>BasicInput!$D$13&amp;$DM$2&amp;B1096&amp;"_"&amp;C1096&amp;D1096&amp;"_"&amp;BasicInput!$D$7&amp;BasicInput!$D$8&amp;"_"&amp;DL1096&amp;".xuf"</f>
        <v>C:\PWWORKING\east01\d2591108\Weave\__2019EX_PM_.xuf</v>
      </c>
    </row>
    <row r="1097" spans="115:117" x14ac:dyDescent="0.2">
      <c r="DK1097" s="31" t="str">
        <f t="shared" si="36"/>
        <v xml:space="preserve">  </v>
      </c>
      <c r="DL1097" s="25" t="str">
        <f t="shared" si="37"/>
        <v/>
      </c>
      <c r="DM1097" s="25" t="str">
        <f>BasicInput!$D$13&amp;$DM$2&amp;B1097&amp;"_"&amp;C1097&amp;D1097&amp;"_"&amp;BasicInput!$D$7&amp;BasicInput!$D$8&amp;"_"&amp;DL1097&amp;".xuf"</f>
        <v>C:\PWWORKING\east01\d2591108\Weave\__2019EX_PM_.xuf</v>
      </c>
    </row>
    <row r="1098" spans="115:117" x14ac:dyDescent="0.2">
      <c r="DK1098" s="31" t="str">
        <f t="shared" si="36"/>
        <v xml:space="preserve">  </v>
      </c>
      <c r="DL1098" s="25" t="str">
        <f t="shared" si="37"/>
        <v/>
      </c>
      <c r="DM1098" s="25" t="str">
        <f>BasicInput!$D$13&amp;$DM$2&amp;B1098&amp;"_"&amp;C1098&amp;D1098&amp;"_"&amp;BasicInput!$D$7&amp;BasicInput!$D$8&amp;"_"&amp;DL1098&amp;".xuf"</f>
        <v>C:\PWWORKING\east01\d2591108\Weave\__2019EX_PM_.xuf</v>
      </c>
    </row>
    <row r="1099" spans="115:117" x14ac:dyDescent="0.2">
      <c r="DK1099" s="31" t="str">
        <f t="shared" si="36"/>
        <v xml:space="preserve">  </v>
      </c>
      <c r="DL1099" s="25" t="str">
        <f t="shared" si="37"/>
        <v/>
      </c>
      <c r="DM1099" s="25" t="str">
        <f>BasicInput!$D$13&amp;$DM$2&amp;B1099&amp;"_"&amp;C1099&amp;D1099&amp;"_"&amp;BasicInput!$D$7&amp;BasicInput!$D$8&amp;"_"&amp;DL1099&amp;".xuf"</f>
        <v>C:\PWWORKING\east01\d2591108\Weave\__2019EX_PM_.xuf</v>
      </c>
    </row>
    <row r="1100" spans="115:117" x14ac:dyDescent="0.2">
      <c r="DK1100" s="31" t="str">
        <f t="shared" ref="DK1100:DK1163" si="38">C1100&amp; " "&amp;D1100&amp;" " &amp;E1100</f>
        <v xml:space="preserve">  </v>
      </c>
      <c r="DL1100" s="25" t="str">
        <f t="shared" ref="DL1100:DL1163" si="39">TRIM(LEFT(E1100, 30))</f>
        <v/>
      </c>
      <c r="DM1100" s="25" t="str">
        <f>BasicInput!$D$13&amp;$DM$2&amp;B1100&amp;"_"&amp;C1100&amp;D1100&amp;"_"&amp;BasicInput!$D$7&amp;BasicInput!$D$8&amp;"_"&amp;DL1100&amp;".xuf"</f>
        <v>C:\PWWORKING\east01\d2591108\Weave\__2019EX_PM_.xuf</v>
      </c>
    </row>
    <row r="1101" spans="115:117" x14ac:dyDescent="0.2">
      <c r="DK1101" s="31" t="str">
        <f t="shared" si="38"/>
        <v xml:space="preserve">  </v>
      </c>
      <c r="DL1101" s="25" t="str">
        <f t="shared" si="39"/>
        <v/>
      </c>
      <c r="DM1101" s="25" t="str">
        <f>BasicInput!$D$13&amp;$DM$2&amp;B1101&amp;"_"&amp;C1101&amp;D1101&amp;"_"&amp;BasicInput!$D$7&amp;BasicInput!$D$8&amp;"_"&amp;DL1101&amp;".xuf"</f>
        <v>C:\PWWORKING\east01\d2591108\Weave\__2019EX_PM_.xuf</v>
      </c>
    </row>
    <row r="1102" spans="115:117" x14ac:dyDescent="0.2">
      <c r="DK1102" s="31" t="str">
        <f t="shared" si="38"/>
        <v xml:space="preserve">  </v>
      </c>
      <c r="DL1102" s="25" t="str">
        <f t="shared" si="39"/>
        <v/>
      </c>
      <c r="DM1102" s="25" t="str">
        <f>BasicInput!$D$13&amp;$DM$2&amp;B1102&amp;"_"&amp;C1102&amp;D1102&amp;"_"&amp;BasicInput!$D$7&amp;BasicInput!$D$8&amp;"_"&amp;DL1102&amp;".xuf"</f>
        <v>C:\PWWORKING\east01\d2591108\Weave\__2019EX_PM_.xuf</v>
      </c>
    </row>
    <row r="1103" spans="115:117" x14ac:dyDescent="0.2">
      <c r="DK1103" s="31" t="str">
        <f t="shared" si="38"/>
        <v xml:space="preserve">  </v>
      </c>
      <c r="DL1103" s="25" t="str">
        <f t="shared" si="39"/>
        <v/>
      </c>
      <c r="DM1103" s="25" t="str">
        <f>BasicInput!$D$13&amp;$DM$2&amp;B1103&amp;"_"&amp;C1103&amp;D1103&amp;"_"&amp;BasicInput!$D$7&amp;BasicInput!$D$8&amp;"_"&amp;DL1103&amp;".xuf"</f>
        <v>C:\PWWORKING\east01\d2591108\Weave\__2019EX_PM_.xuf</v>
      </c>
    </row>
    <row r="1104" spans="115:117" x14ac:dyDescent="0.2">
      <c r="DK1104" s="31" t="str">
        <f t="shared" si="38"/>
        <v xml:space="preserve">  </v>
      </c>
      <c r="DL1104" s="25" t="str">
        <f t="shared" si="39"/>
        <v/>
      </c>
      <c r="DM1104" s="25" t="str">
        <f>BasicInput!$D$13&amp;$DM$2&amp;B1104&amp;"_"&amp;C1104&amp;D1104&amp;"_"&amp;BasicInput!$D$7&amp;BasicInput!$D$8&amp;"_"&amp;DL1104&amp;".xuf"</f>
        <v>C:\PWWORKING\east01\d2591108\Weave\__2019EX_PM_.xuf</v>
      </c>
    </row>
    <row r="1105" spans="115:117" x14ac:dyDescent="0.2">
      <c r="DK1105" s="31" t="str">
        <f t="shared" si="38"/>
        <v xml:space="preserve">  </v>
      </c>
      <c r="DL1105" s="25" t="str">
        <f t="shared" si="39"/>
        <v/>
      </c>
      <c r="DM1105" s="25" t="str">
        <f>BasicInput!$D$13&amp;$DM$2&amp;B1105&amp;"_"&amp;C1105&amp;D1105&amp;"_"&amp;BasicInput!$D$7&amp;BasicInput!$D$8&amp;"_"&amp;DL1105&amp;".xuf"</f>
        <v>C:\PWWORKING\east01\d2591108\Weave\__2019EX_PM_.xuf</v>
      </c>
    </row>
    <row r="1106" spans="115:117" x14ac:dyDescent="0.2">
      <c r="DK1106" s="31" t="str">
        <f t="shared" si="38"/>
        <v xml:space="preserve">  </v>
      </c>
      <c r="DL1106" s="25" t="str">
        <f t="shared" si="39"/>
        <v/>
      </c>
      <c r="DM1106" s="25" t="str">
        <f>BasicInput!$D$13&amp;$DM$2&amp;B1106&amp;"_"&amp;C1106&amp;D1106&amp;"_"&amp;BasicInput!$D$7&amp;BasicInput!$D$8&amp;"_"&amp;DL1106&amp;".xuf"</f>
        <v>C:\PWWORKING\east01\d2591108\Weave\__2019EX_PM_.xuf</v>
      </c>
    </row>
    <row r="1107" spans="115:117" x14ac:dyDescent="0.2">
      <c r="DK1107" s="31" t="str">
        <f t="shared" si="38"/>
        <v xml:space="preserve">  </v>
      </c>
      <c r="DL1107" s="25" t="str">
        <f t="shared" si="39"/>
        <v/>
      </c>
      <c r="DM1107" s="25" t="str">
        <f>BasicInput!$D$13&amp;$DM$2&amp;B1107&amp;"_"&amp;C1107&amp;D1107&amp;"_"&amp;BasicInput!$D$7&amp;BasicInput!$D$8&amp;"_"&amp;DL1107&amp;".xuf"</f>
        <v>C:\PWWORKING\east01\d2591108\Weave\__2019EX_PM_.xuf</v>
      </c>
    </row>
    <row r="1108" spans="115:117" x14ac:dyDescent="0.2">
      <c r="DK1108" s="31" t="str">
        <f t="shared" si="38"/>
        <v xml:space="preserve">  </v>
      </c>
      <c r="DL1108" s="25" t="str">
        <f t="shared" si="39"/>
        <v/>
      </c>
      <c r="DM1108" s="25" t="str">
        <f>BasicInput!$D$13&amp;$DM$2&amp;B1108&amp;"_"&amp;C1108&amp;D1108&amp;"_"&amp;BasicInput!$D$7&amp;BasicInput!$D$8&amp;"_"&amp;DL1108&amp;".xuf"</f>
        <v>C:\PWWORKING\east01\d2591108\Weave\__2019EX_PM_.xuf</v>
      </c>
    </row>
    <row r="1109" spans="115:117" x14ac:dyDescent="0.2">
      <c r="DK1109" s="31" t="str">
        <f t="shared" si="38"/>
        <v xml:space="preserve">  </v>
      </c>
      <c r="DL1109" s="25" t="str">
        <f t="shared" si="39"/>
        <v/>
      </c>
      <c r="DM1109" s="25" t="str">
        <f>BasicInput!$D$13&amp;$DM$2&amp;B1109&amp;"_"&amp;C1109&amp;D1109&amp;"_"&amp;BasicInput!$D$7&amp;BasicInput!$D$8&amp;"_"&amp;DL1109&amp;".xuf"</f>
        <v>C:\PWWORKING\east01\d2591108\Weave\__2019EX_PM_.xuf</v>
      </c>
    </row>
    <row r="1110" spans="115:117" x14ac:dyDescent="0.2">
      <c r="DK1110" s="31" t="str">
        <f t="shared" si="38"/>
        <v xml:space="preserve">  </v>
      </c>
      <c r="DL1110" s="25" t="str">
        <f t="shared" si="39"/>
        <v/>
      </c>
      <c r="DM1110" s="25" t="str">
        <f>BasicInput!$D$13&amp;$DM$2&amp;B1110&amp;"_"&amp;C1110&amp;D1110&amp;"_"&amp;BasicInput!$D$7&amp;BasicInput!$D$8&amp;"_"&amp;DL1110&amp;".xuf"</f>
        <v>C:\PWWORKING\east01\d2591108\Weave\__2019EX_PM_.xuf</v>
      </c>
    </row>
    <row r="1111" spans="115:117" x14ac:dyDescent="0.2">
      <c r="DK1111" s="31" t="str">
        <f t="shared" si="38"/>
        <v xml:space="preserve">  </v>
      </c>
      <c r="DL1111" s="25" t="str">
        <f t="shared" si="39"/>
        <v/>
      </c>
      <c r="DM1111" s="25" t="str">
        <f>BasicInput!$D$13&amp;$DM$2&amp;B1111&amp;"_"&amp;C1111&amp;D1111&amp;"_"&amp;BasicInput!$D$7&amp;BasicInput!$D$8&amp;"_"&amp;DL1111&amp;".xuf"</f>
        <v>C:\PWWORKING\east01\d2591108\Weave\__2019EX_PM_.xuf</v>
      </c>
    </row>
    <row r="1112" spans="115:117" x14ac:dyDescent="0.2">
      <c r="DK1112" s="31" t="str">
        <f t="shared" si="38"/>
        <v xml:space="preserve">  </v>
      </c>
      <c r="DL1112" s="25" t="str">
        <f t="shared" si="39"/>
        <v/>
      </c>
      <c r="DM1112" s="25" t="str">
        <f>BasicInput!$D$13&amp;$DM$2&amp;B1112&amp;"_"&amp;C1112&amp;D1112&amp;"_"&amp;BasicInput!$D$7&amp;BasicInput!$D$8&amp;"_"&amp;DL1112&amp;".xuf"</f>
        <v>C:\PWWORKING\east01\d2591108\Weave\__2019EX_PM_.xuf</v>
      </c>
    </row>
    <row r="1113" spans="115:117" x14ac:dyDescent="0.2">
      <c r="DK1113" s="31" t="str">
        <f t="shared" si="38"/>
        <v xml:space="preserve">  </v>
      </c>
      <c r="DL1113" s="25" t="str">
        <f t="shared" si="39"/>
        <v/>
      </c>
      <c r="DM1113" s="25" t="str">
        <f>BasicInput!$D$13&amp;$DM$2&amp;B1113&amp;"_"&amp;C1113&amp;D1113&amp;"_"&amp;BasicInput!$D$7&amp;BasicInput!$D$8&amp;"_"&amp;DL1113&amp;".xuf"</f>
        <v>C:\PWWORKING\east01\d2591108\Weave\__2019EX_PM_.xuf</v>
      </c>
    </row>
    <row r="1114" spans="115:117" x14ac:dyDescent="0.2">
      <c r="DK1114" s="31" t="str">
        <f t="shared" si="38"/>
        <v xml:space="preserve">  </v>
      </c>
      <c r="DL1114" s="25" t="str">
        <f t="shared" si="39"/>
        <v/>
      </c>
      <c r="DM1114" s="25" t="str">
        <f>BasicInput!$D$13&amp;$DM$2&amp;B1114&amp;"_"&amp;C1114&amp;D1114&amp;"_"&amp;BasicInput!$D$7&amp;BasicInput!$D$8&amp;"_"&amp;DL1114&amp;".xuf"</f>
        <v>C:\PWWORKING\east01\d2591108\Weave\__2019EX_PM_.xuf</v>
      </c>
    </row>
    <row r="1115" spans="115:117" x14ac:dyDescent="0.2">
      <c r="DK1115" s="31" t="str">
        <f t="shared" si="38"/>
        <v xml:space="preserve">  </v>
      </c>
      <c r="DL1115" s="25" t="str">
        <f t="shared" si="39"/>
        <v/>
      </c>
      <c r="DM1115" s="25" t="str">
        <f>BasicInput!$D$13&amp;$DM$2&amp;B1115&amp;"_"&amp;C1115&amp;D1115&amp;"_"&amp;BasicInput!$D$7&amp;BasicInput!$D$8&amp;"_"&amp;DL1115&amp;".xuf"</f>
        <v>C:\PWWORKING\east01\d2591108\Weave\__2019EX_PM_.xuf</v>
      </c>
    </row>
    <row r="1116" spans="115:117" x14ac:dyDescent="0.2">
      <c r="DK1116" s="31" t="str">
        <f t="shared" si="38"/>
        <v xml:space="preserve">  </v>
      </c>
      <c r="DL1116" s="25" t="str">
        <f t="shared" si="39"/>
        <v/>
      </c>
      <c r="DM1116" s="25" t="str">
        <f>BasicInput!$D$13&amp;$DM$2&amp;B1116&amp;"_"&amp;C1116&amp;D1116&amp;"_"&amp;BasicInput!$D$7&amp;BasicInput!$D$8&amp;"_"&amp;DL1116&amp;".xuf"</f>
        <v>C:\PWWORKING\east01\d2591108\Weave\__2019EX_PM_.xuf</v>
      </c>
    </row>
    <row r="1117" spans="115:117" x14ac:dyDescent="0.2">
      <c r="DK1117" s="31" t="str">
        <f t="shared" si="38"/>
        <v xml:space="preserve">  </v>
      </c>
      <c r="DL1117" s="25" t="str">
        <f t="shared" si="39"/>
        <v/>
      </c>
      <c r="DM1117" s="25" t="str">
        <f>BasicInput!$D$13&amp;$DM$2&amp;B1117&amp;"_"&amp;C1117&amp;D1117&amp;"_"&amp;BasicInput!$D$7&amp;BasicInput!$D$8&amp;"_"&amp;DL1117&amp;".xuf"</f>
        <v>C:\PWWORKING\east01\d2591108\Weave\__2019EX_PM_.xuf</v>
      </c>
    </row>
    <row r="1118" spans="115:117" x14ac:dyDescent="0.2">
      <c r="DK1118" s="31" t="str">
        <f t="shared" si="38"/>
        <v xml:space="preserve">  </v>
      </c>
      <c r="DL1118" s="25" t="str">
        <f t="shared" si="39"/>
        <v/>
      </c>
      <c r="DM1118" s="25" t="str">
        <f>BasicInput!$D$13&amp;$DM$2&amp;B1118&amp;"_"&amp;C1118&amp;D1118&amp;"_"&amp;BasicInput!$D$7&amp;BasicInput!$D$8&amp;"_"&amp;DL1118&amp;".xuf"</f>
        <v>C:\PWWORKING\east01\d2591108\Weave\__2019EX_PM_.xuf</v>
      </c>
    </row>
    <row r="1119" spans="115:117" x14ac:dyDescent="0.2">
      <c r="DK1119" s="31" t="str">
        <f t="shared" si="38"/>
        <v xml:space="preserve">  </v>
      </c>
      <c r="DL1119" s="25" t="str">
        <f t="shared" si="39"/>
        <v/>
      </c>
      <c r="DM1119" s="25" t="str">
        <f>BasicInput!$D$13&amp;$DM$2&amp;B1119&amp;"_"&amp;C1119&amp;D1119&amp;"_"&amp;BasicInput!$D$7&amp;BasicInput!$D$8&amp;"_"&amp;DL1119&amp;".xuf"</f>
        <v>C:\PWWORKING\east01\d2591108\Weave\__2019EX_PM_.xuf</v>
      </c>
    </row>
    <row r="1120" spans="115:117" x14ac:dyDescent="0.2">
      <c r="DK1120" s="31" t="str">
        <f t="shared" si="38"/>
        <v xml:space="preserve">  </v>
      </c>
      <c r="DL1120" s="25" t="str">
        <f t="shared" si="39"/>
        <v/>
      </c>
      <c r="DM1120" s="25" t="str">
        <f>BasicInput!$D$13&amp;$DM$2&amp;B1120&amp;"_"&amp;C1120&amp;D1120&amp;"_"&amp;BasicInput!$D$7&amp;BasicInput!$D$8&amp;"_"&amp;DL1120&amp;".xuf"</f>
        <v>C:\PWWORKING\east01\d2591108\Weave\__2019EX_PM_.xuf</v>
      </c>
    </row>
    <row r="1121" spans="115:117" x14ac:dyDescent="0.2">
      <c r="DK1121" s="31" t="str">
        <f t="shared" si="38"/>
        <v xml:space="preserve">  </v>
      </c>
      <c r="DL1121" s="25" t="str">
        <f t="shared" si="39"/>
        <v/>
      </c>
      <c r="DM1121" s="25" t="str">
        <f>BasicInput!$D$13&amp;$DM$2&amp;B1121&amp;"_"&amp;C1121&amp;D1121&amp;"_"&amp;BasicInput!$D$7&amp;BasicInput!$D$8&amp;"_"&amp;DL1121&amp;".xuf"</f>
        <v>C:\PWWORKING\east01\d2591108\Weave\__2019EX_PM_.xuf</v>
      </c>
    </row>
    <row r="1122" spans="115:117" x14ac:dyDescent="0.2">
      <c r="DK1122" s="31" t="str">
        <f t="shared" si="38"/>
        <v xml:space="preserve">  </v>
      </c>
      <c r="DL1122" s="25" t="str">
        <f t="shared" si="39"/>
        <v/>
      </c>
      <c r="DM1122" s="25" t="str">
        <f>BasicInput!$D$13&amp;$DM$2&amp;B1122&amp;"_"&amp;C1122&amp;D1122&amp;"_"&amp;BasicInput!$D$7&amp;BasicInput!$D$8&amp;"_"&amp;DL1122&amp;".xuf"</f>
        <v>C:\PWWORKING\east01\d2591108\Weave\__2019EX_PM_.xuf</v>
      </c>
    </row>
    <row r="1123" spans="115:117" x14ac:dyDescent="0.2">
      <c r="DK1123" s="31" t="str">
        <f t="shared" si="38"/>
        <v xml:space="preserve">  </v>
      </c>
      <c r="DL1123" s="25" t="str">
        <f t="shared" si="39"/>
        <v/>
      </c>
      <c r="DM1123" s="25" t="str">
        <f>BasicInput!$D$13&amp;$DM$2&amp;B1123&amp;"_"&amp;C1123&amp;D1123&amp;"_"&amp;BasicInput!$D$7&amp;BasicInput!$D$8&amp;"_"&amp;DL1123&amp;".xuf"</f>
        <v>C:\PWWORKING\east01\d2591108\Weave\__2019EX_PM_.xuf</v>
      </c>
    </row>
    <row r="1124" spans="115:117" x14ac:dyDescent="0.2">
      <c r="DK1124" s="31" t="str">
        <f t="shared" si="38"/>
        <v xml:space="preserve">  </v>
      </c>
      <c r="DL1124" s="25" t="str">
        <f t="shared" si="39"/>
        <v/>
      </c>
      <c r="DM1124" s="25" t="str">
        <f>BasicInput!$D$13&amp;$DM$2&amp;B1124&amp;"_"&amp;C1124&amp;D1124&amp;"_"&amp;BasicInput!$D$7&amp;BasicInput!$D$8&amp;"_"&amp;DL1124&amp;".xuf"</f>
        <v>C:\PWWORKING\east01\d2591108\Weave\__2019EX_PM_.xuf</v>
      </c>
    </row>
    <row r="1125" spans="115:117" x14ac:dyDescent="0.2">
      <c r="DK1125" s="31" t="str">
        <f t="shared" si="38"/>
        <v xml:space="preserve">  </v>
      </c>
      <c r="DL1125" s="25" t="str">
        <f t="shared" si="39"/>
        <v/>
      </c>
      <c r="DM1125" s="25" t="str">
        <f>BasicInput!$D$13&amp;$DM$2&amp;B1125&amp;"_"&amp;C1125&amp;D1125&amp;"_"&amp;BasicInput!$D$7&amp;BasicInput!$D$8&amp;"_"&amp;DL1125&amp;".xuf"</f>
        <v>C:\PWWORKING\east01\d2591108\Weave\__2019EX_PM_.xuf</v>
      </c>
    </row>
    <row r="1126" spans="115:117" x14ac:dyDescent="0.2">
      <c r="DK1126" s="31" t="str">
        <f t="shared" si="38"/>
        <v xml:space="preserve">  </v>
      </c>
      <c r="DL1126" s="25" t="str">
        <f t="shared" si="39"/>
        <v/>
      </c>
      <c r="DM1126" s="25" t="str">
        <f>BasicInput!$D$13&amp;$DM$2&amp;B1126&amp;"_"&amp;C1126&amp;D1126&amp;"_"&amp;BasicInput!$D$7&amp;BasicInput!$D$8&amp;"_"&amp;DL1126&amp;".xuf"</f>
        <v>C:\PWWORKING\east01\d2591108\Weave\__2019EX_PM_.xuf</v>
      </c>
    </row>
    <row r="1127" spans="115:117" x14ac:dyDescent="0.2">
      <c r="DK1127" s="31" t="str">
        <f t="shared" si="38"/>
        <v xml:space="preserve">  </v>
      </c>
      <c r="DL1127" s="25" t="str">
        <f t="shared" si="39"/>
        <v/>
      </c>
      <c r="DM1127" s="25" t="str">
        <f>BasicInput!$D$13&amp;$DM$2&amp;B1127&amp;"_"&amp;C1127&amp;D1127&amp;"_"&amp;BasicInput!$D$7&amp;BasicInput!$D$8&amp;"_"&amp;DL1127&amp;".xuf"</f>
        <v>C:\PWWORKING\east01\d2591108\Weave\__2019EX_PM_.xuf</v>
      </c>
    </row>
    <row r="1128" spans="115:117" x14ac:dyDescent="0.2">
      <c r="DK1128" s="31" t="str">
        <f t="shared" si="38"/>
        <v xml:space="preserve">  </v>
      </c>
      <c r="DL1128" s="25" t="str">
        <f t="shared" si="39"/>
        <v/>
      </c>
      <c r="DM1128" s="25" t="str">
        <f>BasicInput!$D$13&amp;$DM$2&amp;B1128&amp;"_"&amp;C1128&amp;D1128&amp;"_"&amp;BasicInput!$D$7&amp;BasicInput!$D$8&amp;"_"&amp;DL1128&amp;".xuf"</f>
        <v>C:\PWWORKING\east01\d2591108\Weave\__2019EX_PM_.xuf</v>
      </c>
    </row>
    <row r="1129" spans="115:117" x14ac:dyDescent="0.2">
      <c r="DK1129" s="31" t="str">
        <f t="shared" si="38"/>
        <v xml:space="preserve">  </v>
      </c>
      <c r="DL1129" s="25" t="str">
        <f t="shared" si="39"/>
        <v/>
      </c>
      <c r="DM1129" s="25" t="str">
        <f>BasicInput!$D$13&amp;$DM$2&amp;B1129&amp;"_"&amp;C1129&amp;D1129&amp;"_"&amp;BasicInput!$D$7&amp;BasicInput!$D$8&amp;"_"&amp;DL1129&amp;".xuf"</f>
        <v>C:\PWWORKING\east01\d2591108\Weave\__2019EX_PM_.xuf</v>
      </c>
    </row>
    <row r="1130" spans="115:117" x14ac:dyDescent="0.2">
      <c r="DK1130" s="31" t="str">
        <f t="shared" si="38"/>
        <v xml:space="preserve">  </v>
      </c>
      <c r="DL1130" s="25" t="str">
        <f t="shared" si="39"/>
        <v/>
      </c>
      <c r="DM1130" s="25" t="str">
        <f>BasicInput!$D$13&amp;$DM$2&amp;B1130&amp;"_"&amp;C1130&amp;D1130&amp;"_"&amp;BasicInput!$D$7&amp;BasicInput!$D$8&amp;"_"&amp;DL1130&amp;".xuf"</f>
        <v>C:\PWWORKING\east01\d2591108\Weave\__2019EX_PM_.xuf</v>
      </c>
    </row>
    <row r="1131" spans="115:117" x14ac:dyDescent="0.2">
      <c r="DK1131" s="31" t="str">
        <f t="shared" si="38"/>
        <v xml:space="preserve">  </v>
      </c>
      <c r="DL1131" s="25" t="str">
        <f t="shared" si="39"/>
        <v/>
      </c>
      <c r="DM1131" s="25" t="str">
        <f>BasicInput!$D$13&amp;$DM$2&amp;B1131&amp;"_"&amp;C1131&amp;D1131&amp;"_"&amp;BasicInput!$D$7&amp;BasicInput!$D$8&amp;"_"&amp;DL1131&amp;".xuf"</f>
        <v>C:\PWWORKING\east01\d2591108\Weave\__2019EX_PM_.xuf</v>
      </c>
    </row>
    <row r="1132" spans="115:117" x14ac:dyDescent="0.2">
      <c r="DK1132" s="31" t="str">
        <f t="shared" si="38"/>
        <v xml:space="preserve">  </v>
      </c>
      <c r="DL1132" s="25" t="str">
        <f t="shared" si="39"/>
        <v/>
      </c>
      <c r="DM1132" s="25" t="str">
        <f>BasicInput!$D$13&amp;$DM$2&amp;B1132&amp;"_"&amp;C1132&amp;D1132&amp;"_"&amp;BasicInput!$D$7&amp;BasicInput!$D$8&amp;"_"&amp;DL1132&amp;".xuf"</f>
        <v>C:\PWWORKING\east01\d2591108\Weave\__2019EX_PM_.xuf</v>
      </c>
    </row>
    <row r="1133" spans="115:117" x14ac:dyDescent="0.2">
      <c r="DK1133" s="31" t="str">
        <f t="shared" si="38"/>
        <v xml:space="preserve">  </v>
      </c>
      <c r="DL1133" s="25" t="str">
        <f t="shared" si="39"/>
        <v/>
      </c>
      <c r="DM1133" s="25" t="str">
        <f>BasicInput!$D$13&amp;$DM$2&amp;B1133&amp;"_"&amp;C1133&amp;D1133&amp;"_"&amp;BasicInput!$D$7&amp;BasicInput!$D$8&amp;"_"&amp;DL1133&amp;".xuf"</f>
        <v>C:\PWWORKING\east01\d2591108\Weave\__2019EX_PM_.xuf</v>
      </c>
    </row>
    <row r="1134" spans="115:117" x14ac:dyDescent="0.2">
      <c r="DK1134" s="31" t="str">
        <f t="shared" si="38"/>
        <v xml:space="preserve">  </v>
      </c>
      <c r="DL1134" s="25" t="str">
        <f t="shared" si="39"/>
        <v/>
      </c>
      <c r="DM1134" s="25" t="str">
        <f>BasicInput!$D$13&amp;$DM$2&amp;B1134&amp;"_"&amp;C1134&amp;D1134&amp;"_"&amp;BasicInput!$D$7&amp;BasicInput!$D$8&amp;"_"&amp;DL1134&amp;".xuf"</f>
        <v>C:\PWWORKING\east01\d2591108\Weave\__2019EX_PM_.xuf</v>
      </c>
    </row>
    <row r="1135" spans="115:117" x14ac:dyDescent="0.2">
      <c r="DK1135" s="31" t="str">
        <f t="shared" si="38"/>
        <v xml:space="preserve">  </v>
      </c>
      <c r="DL1135" s="25" t="str">
        <f t="shared" si="39"/>
        <v/>
      </c>
      <c r="DM1135" s="25" t="str">
        <f>BasicInput!$D$13&amp;$DM$2&amp;B1135&amp;"_"&amp;C1135&amp;D1135&amp;"_"&amp;BasicInput!$D$7&amp;BasicInput!$D$8&amp;"_"&amp;DL1135&amp;".xuf"</f>
        <v>C:\PWWORKING\east01\d2591108\Weave\__2019EX_PM_.xuf</v>
      </c>
    </row>
    <row r="1136" spans="115:117" x14ac:dyDescent="0.2">
      <c r="DK1136" s="31" t="str">
        <f t="shared" si="38"/>
        <v xml:space="preserve">  </v>
      </c>
      <c r="DL1136" s="25" t="str">
        <f t="shared" si="39"/>
        <v/>
      </c>
      <c r="DM1136" s="25" t="str">
        <f>BasicInput!$D$13&amp;$DM$2&amp;B1136&amp;"_"&amp;C1136&amp;D1136&amp;"_"&amp;BasicInput!$D$7&amp;BasicInput!$D$8&amp;"_"&amp;DL1136&amp;".xuf"</f>
        <v>C:\PWWORKING\east01\d2591108\Weave\__2019EX_PM_.xuf</v>
      </c>
    </row>
    <row r="1137" spans="115:117" x14ac:dyDescent="0.2">
      <c r="DK1137" s="31" t="str">
        <f t="shared" si="38"/>
        <v xml:space="preserve">  </v>
      </c>
      <c r="DL1137" s="25" t="str">
        <f t="shared" si="39"/>
        <v/>
      </c>
      <c r="DM1137" s="25" t="str">
        <f>BasicInput!$D$13&amp;$DM$2&amp;B1137&amp;"_"&amp;C1137&amp;D1137&amp;"_"&amp;BasicInput!$D$7&amp;BasicInput!$D$8&amp;"_"&amp;DL1137&amp;".xuf"</f>
        <v>C:\PWWORKING\east01\d2591108\Weave\__2019EX_PM_.xuf</v>
      </c>
    </row>
    <row r="1138" spans="115:117" x14ac:dyDescent="0.2">
      <c r="DK1138" s="31" t="str">
        <f t="shared" si="38"/>
        <v xml:space="preserve">  </v>
      </c>
      <c r="DL1138" s="25" t="str">
        <f t="shared" si="39"/>
        <v/>
      </c>
      <c r="DM1138" s="25" t="str">
        <f>BasicInput!$D$13&amp;$DM$2&amp;B1138&amp;"_"&amp;C1138&amp;D1138&amp;"_"&amp;BasicInput!$D$7&amp;BasicInput!$D$8&amp;"_"&amp;DL1138&amp;".xuf"</f>
        <v>C:\PWWORKING\east01\d2591108\Weave\__2019EX_PM_.xuf</v>
      </c>
    </row>
    <row r="1139" spans="115:117" x14ac:dyDescent="0.2">
      <c r="DK1139" s="31" t="str">
        <f t="shared" si="38"/>
        <v xml:space="preserve">  </v>
      </c>
      <c r="DL1139" s="25" t="str">
        <f t="shared" si="39"/>
        <v/>
      </c>
      <c r="DM1139" s="25" t="str">
        <f>BasicInput!$D$13&amp;$DM$2&amp;B1139&amp;"_"&amp;C1139&amp;D1139&amp;"_"&amp;BasicInput!$D$7&amp;BasicInput!$D$8&amp;"_"&amp;DL1139&amp;".xuf"</f>
        <v>C:\PWWORKING\east01\d2591108\Weave\__2019EX_PM_.xuf</v>
      </c>
    </row>
    <row r="1140" spans="115:117" x14ac:dyDescent="0.2">
      <c r="DK1140" s="31" t="str">
        <f t="shared" si="38"/>
        <v xml:space="preserve">  </v>
      </c>
      <c r="DL1140" s="25" t="str">
        <f t="shared" si="39"/>
        <v/>
      </c>
      <c r="DM1140" s="25" t="str">
        <f>BasicInput!$D$13&amp;$DM$2&amp;B1140&amp;"_"&amp;C1140&amp;D1140&amp;"_"&amp;BasicInput!$D$7&amp;BasicInput!$D$8&amp;"_"&amp;DL1140&amp;".xuf"</f>
        <v>C:\PWWORKING\east01\d2591108\Weave\__2019EX_PM_.xuf</v>
      </c>
    </row>
    <row r="1141" spans="115:117" x14ac:dyDescent="0.2">
      <c r="DK1141" s="31" t="str">
        <f t="shared" si="38"/>
        <v xml:space="preserve">  </v>
      </c>
      <c r="DL1141" s="25" t="str">
        <f t="shared" si="39"/>
        <v/>
      </c>
      <c r="DM1141" s="25" t="str">
        <f>BasicInput!$D$13&amp;$DM$2&amp;B1141&amp;"_"&amp;C1141&amp;D1141&amp;"_"&amp;BasicInput!$D$7&amp;BasicInput!$D$8&amp;"_"&amp;DL1141&amp;".xuf"</f>
        <v>C:\PWWORKING\east01\d2591108\Weave\__2019EX_PM_.xuf</v>
      </c>
    </row>
    <row r="1142" spans="115:117" x14ac:dyDescent="0.2">
      <c r="DK1142" s="31" t="str">
        <f t="shared" si="38"/>
        <v xml:space="preserve">  </v>
      </c>
      <c r="DL1142" s="25" t="str">
        <f t="shared" si="39"/>
        <v/>
      </c>
      <c r="DM1142" s="25" t="str">
        <f>BasicInput!$D$13&amp;$DM$2&amp;B1142&amp;"_"&amp;C1142&amp;D1142&amp;"_"&amp;BasicInput!$D$7&amp;BasicInput!$D$8&amp;"_"&amp;DL1142&amp;".xuf"</f>
        <v>C:\PWWORKING\east01\d2591108\Weave\__2019EX_PM_.xuf</v>
      </c>
    </row>
    <row r="1143" spans="115:117" x14ac:dyDescent="0.2">
      <c r="DK1143" s="31" t="str">
        <f t="shared" si="38"/>
        <v xml:space="preserve">  </v>
      </c>
      <c r="DL1143" s="25" t="str">
        <f t="shared" si="39"/>
        <v/>
      </c>
      <c r="DM1143" s="25" t="str">
        <f>BasicInput!$D$13&amp;$DM$2&amp;B1143&amp;"_"&amp;C1143&amp;D1143&amp;"_"&amp;BasicInput!$D$7&amp;BasicInput!$D$8&amp;"_"&amp;DL1143&amp;".xuf"</f>
        <v>C:\PWWORKING\east01\d2591108\Weave\__2019EX_PM_.xuf</v>
      </c>
    </row>
    <row r="1144" spans="115:117" x14ac:dyDescent="0.2">
      <c r="DK1144" s="31" t="str">
        <f t="shared" si="38"/>
        <v xml:space="preserve">  </v>
      </c>
      <c r="DL1144" s="25" t="str">
        <f t="shared" si="39"/>
        <v/>
      </c>
      <c r="DM1144" s="25" t="str">
        <f>BasicInput!$D$13&amp;$DM$2&amp;B1144&amp;"_"&amp;C1144&amp;D1144&amp;"_"&amp;BasicInput!$D$7&amp;BasicInput!$D$8&amp;"_"&amp;DL1144&amp;".xuf"</f>
        <v>C:\PWWORKING\east01\d2591108\Weave\__2019EX_PM_.xuf</v>
      </c>
    </row>
    <row r="1145" spans="115:117" x14ac:dyDescent="0.2">
      <c r="DK1145" s="31" t="str">
        <f t="shared" si="38"/>
        <v xml:space="preserve">  </v>
      </c>
      <c r="DL1145" s="25" t="str">
        <f t="shared" si="39"/>
        <v/>
      </c>
      <c r="DM1145" s="25" t="str">
        <f>BasicInput!$D$13&amp;$DM$2&amp;B1145&amp;"_"&amp;C1145&amp;D1145&amp;"_"&amp;BasicInput!$D$7&amp;BasicInput!$D$8&amp;"_"&amp;DL1145&amp;".xuf"</f>
        <v>C:\PWWORKING\east01\d2591108\Weave\__2019EX_PM_.xuf</v>
      </c>
    </row>
    <row r="1146" spans="115:117" x14ac:dyDescent="0.2">
      <c r="DK1146" s="31" t="str">
        <f t="shared" si="38"/>
        <v xml:space="preserve">  </v>
      </c>
      <c r="DL1146" s="25" t="str">
        <f t="shared" si="39"/>
        <v/>
      </c>
      <c r="DM1146" s="25" t="str">
        <f>BasicInput!$D$13&amp;$DM$2&amp;B1146&amp;"_"&amp;C1146&amp;D1146&amp;"_"&amp;BasicInput!$D$7&amp;BasicInput!$D$8&amp;"_"&amp;DL1146&amp;".xuf"</f>
        <v>C:\PWWORKING\east01\d2591108\Weave\__2019EX_PM_.xuf</v>
      </c>
    </row>
    <row r="1147" spans="115:117" x14ac:dyDescent="0.2">
      <c r="DK1147" s="31" t="str">
        <f t="shared" si="38"/>
        <v xml:space="preserve">  </v>
      </c>
      <c r="DL1147" s="25" t="str">
        <f t="shared" si="39"/>
        <v/>
      </c>
      <c r="DM1147" s="25" t="str">
        <f>BasicInput!$D$13&amp;$DM$2&amp;B1147&amp;"_"&amp;C1147&amp;D1147&amp;"_"&amp;BasicInput!$D$7&amp;BasicInput!$D$8&amp;"_"&amp;DL1147&amp;".xuf"</f>
        <v>C:\PWWORKING\east01\d2591108\Weave\__2019EX_PM_.xuf</v>
      </c>
    </row>
    <row r="1148" spans="115:117" x14ac:dyDescent="0.2">
      <c r="DK1148" s="31" t="str">
        <f t="shared" si="38"/>
        <v xml:space="preserve">  </v>
      </c>
      <c r="DL1148" s="25" t="str">
        <f t="shared" si="39"/>
        <v/>
      </c>
      <c r="DM1148" s="25" t="str">
        <f>BasicInput!$D$13&amp;$DM$2&amp;B1148&amp;"_"&amp;C1148&amp;D1148&amp;"_"&amp;BasicInput!$D$7&amp;BasicInput!$D$8&amp;"_"&amp;DL1148&amp;".xuf"</f>
        <v>C:\PWWORKING\east01\d2591108\Weave\__2019EX_PM_.xuf</v>
      </c>
    </row>
    <row r="1149" spans="115:117" x14ac:dyDescent="0.2">
      <c r="DK1149" s="31" t="str">
        <f t="shared" si="38"/>
        <v xml:space="preserve">  </v>
      </c>
      <c r="DL1149" s="25" t="str">
        <f t="shared" si="39"/>
        <v/>
      </c>
      <c r="DM1149" s="25" t="str">
        <f>BasicInput!$D$13&amp;$DM$2&amp;B1149&amp;"_"&amp;C1149&amp;D1149&amp;"_"&amp;BasicInput!$D$7&amp;BasicInput!$D$8&amp;"_"&amp;DL1149&amp;".xuf"</f>
        <v>C:\PWWORKING\east01\d2591108\Weave\__2019EX_PM_.xuf</v>
      </c>
    </row>
    <row r="1150" spans="115:117" x14ac:dyDescent="0.2">
      <c r="DK1150" s="31" t="str">
        <f t="shared" si="38"/>
        <v xml:space="preserve">  </v>
      </c>
      <c r="DL1150" s="25" t="str">
        <f t="shared" si="39"/>
        <v/>
      </c>
      <c r="DM1150" s="25" t="str">
        <f>BasicInput!$D$13&amp;$DM$2&amp;B1150&amp;"_"&amp;C1150&amp;D1150&amp;"_"&amp;BasicInput!$D$7&amp;BasicInput!$D$8&amp;"_"&amp;DL1150&amp;".xuf"</f>
        <v>C:\PWWORKING\east01\d2591108\Weave\__2019EX_PM_.xuf</v>
      </c>
    </row>
    <row r="1151" spans="115:117" x14ac:dyDescent="0.2">
      <c r="DK1151" s="31" t="str">
        <f t="shared" si="38"/>
        <v xml:space="preserve">  </v>
      </c>
      <c r="DL1151" s="25" t="str">
        <f t="shared" si="39"/>
        <v/>
      </c>
      <c r="DM1151" s="25" t="str">
        <f>BasicInput!$D$13&amp;$DM$2&amp;B1151&amp;"_"&amp;C1151&amp;D1151&amp;"_"&amp;BasicInput!$D$7&amp;BasicInput!$D$8&amp;"_"&amp;DL1151&amp;".xuf"</f>
        <v>C:\PWWORKING\east01\d2591108\Weave\__2019EX_PM_.xuf</v>
      </c>
    </row>
    <row r="1152" spans="115:117" x14ac:dyDescent="0.2">
      <c r="DK1152" s="31" t="str">
        <f t="shared" si="38"/>
        <v xml:space="preserve">  </v>
      </c>
      <c r="DL1152" s="25" t="str">
        <f t="shared" si="39"/>
        <v/>
      </c>
      <c r="DM1152" s="25" t="str">
        <f>BasicInput!$D$13&amp;$DM$2&amp;B1152&amp;"_"&amp;C1152&amp;D1152&amp;"_"&amp;BasicInput!$D$7&amp;BasicInput!$D$8&amp;"_"&amp;DL1152&amp;".xuf"</f>
        <v>C:\PWWORKING\east01\d2591108\Weave\__2019EX_PM_.xuf</v>
      </c>
    </row>
    <row r="1153" spans="115:117" x14ac:dyDescent="0.2">
      <c r="DK1153" s="31" t="str">
        <f t="shared" si="38"/>
        <v xml:space="preserve">  </v>
      </c>
      <c r="DL1153" s="25" t="str">
        <f t="shared" si="39"/>
        <v/>
      </c>
      <c r="DM1153" s="25" t="str">
        <f>BasicInput!$D$13&amp;$DM$2&amp;B1153&amp;"_"&amp;C1153&amp;D1153&amp;"_"&amp;BasicInput!$D$7&amp;BasicInput!$D$8&amp;"_"&amp;DL1153&amp;".xuf"</f>
        <v>C:\PWWORKING\east01\d2591108\Weave\__2019EX_PM_.xuf</v>
      </c>
    </row>
    <row r="1154" spans="115:117" x14ac:dyDescent="0.2">
      <c r="DK1154" s="31" t="str">
        <f t="shared" si="38"/>
        <v xml:space="preserve">  </v>
      </c>
      <c r="DL1154" s="25" t="str">
        <f t="shared" si="39"/>
        <v/>
      </c>
      <c r="DM1154" s="25" t="str">
        <f>BasicInput!$D$13&amp;$DM$2&amp;B1154&amp;"_"&amp;C1154&amp;D1154&amp;"_"&amp;BasicInput!$D$7&amp;BasicInput!$D$8&amp;"_"&amp;DL1154&amp;".xuf"</f>
        <v>C:\PWWORKING\east01\d2591108\Weave\__2019EX_PM_.xuf</v>
      </c>
    </row>
    <row r="1155" spans="115:117" x14ac:dyDescent="0.2">
      <c r="DK1155" s="31" t="str">
        <f t="shared" si="38"/>
        <v xml:space="preserve">  </v>
      </c>
      <c r="DL1155" s="25" t="str">
        <f t="shared" si="39"/>
        <v/>
      </c>
      <c r="DM1155" s="25" t="str">
        <f>BasicInput!$D$13&amp;$DM$2&amp;B1155&amp;"_"&amp;C1155&amp;D1155&amp;"_"&amp;BasicInput!$D$7&amp;BasicInput!$D$8&amp;"_"&amp;DL1155&amp;".xuf"</f>
        <v>C:\PWWORKING\east01\d2591108\Weave\__2019EX_PM_.xuf</v>
      </c>
    </row>
    <row r="1156" spans="115:117" x14ac:dyDescent="0.2">
      <c r="DK1156" s="31" t="str">
        <f t="shared" si="38"/>
        <v xml:space="preserve">  </v>
      </c>
      <c r="DL1156" s="25" t="str">
        <f t="shared" si="39"/>
        <v/>
      </c>
      <c r="DM1156" s="25" t="str">
        <f>BasicInput!$D$13&amp;$DM$2&amp;B1156&amp;"_"&amp;C1156&amp;D1156&amp;"_"&amp;BasicInput!$D$7&amp;BasicInput!$D$8&amp;"_"&amp;DL1156&amp;".xuf"</f>
        <v>C:\PWWORKING\east01\d2591108\Weave\__2019EX_PM_.xuf</v>
      </c>
    </row>
    <row r="1157" spans="115:117" x14ac:dyDescent="0.2">
      <c r="DK1157" s="31" t="str">
        <f t="shared" si="38"/>
        <v xml:space="preserve">  </v>
      </c>
      <c r="DL1157" s="25" t="str">
        <f t="shared" si="39"/>
        <v/>
      </c>
      <c r="DM1157" s="25" t="str">
        <f>BasicInput!$D$13&amp;$DM$2&amp;B1157&amp;"_"&amp;C1157&amp;D1157&amp;"_"&amp;BasicInput!$D$7&amp;BasicInput!$D$8&amp;"_"&amp;DL1157&amp;".xuf"</f>
        <v>C:\PWWORKING\east01\d2591108\Weave\__2019EX_PM_.xuf</v>
      </c>
    </row>
    <row r="1158" spans="115:117" x14ac:dyDescent="0.2">
      <c r="DK1158" s="31" t="str">
        <f t="shared" si="38"/>
        <v xml:space="preserve">  </v>
      </c>
      <c r="DL1158" s="25" t="str">
        <f t="shared" si="39"/>
        <v/>
      </c>
      <c r="DM1158" s="25" t="str">
        <f>BasicInput!$D$13&amp;$DM$2&amp;B1158&amp;"_"&amp;C1158&amp;D1158&amp;"_"&amp;BasicInput!$D$7&amp;BasicInput!$D$8&amp;"_"&amp;DL1158&amp;".xuf"</f>
        <v>C:\PWWORKING\east01\d2591108\Weave\__2019EX_PM_.xuf</v>
      </c>
    </row>
    <row r="1159" spans="115:117" x14ac:dyDescent="0.2">
      <c r="DK1159" s="31" t="str">
        <f t="shared" si="38"/>
        <v xml:space="preserve">  </v>
      </c>
      <c r="DL1159" s="25" t="str">
        <f t="shared" si="39"/>
        <v/>
      </c>
      <c r="DM1159" s="25" t="str">
        <f>BasicInput!$D$13&amp;$DM$2&amp;B1159&amp;"_"&amp;C1159&amp;D1159&amp;"_"&amp;BasicInput!$D$7&amp;BasicInput!$D$8&amp;"_"&amp;DL1159&amp;".xuf"</f>
        <v>C:\PWWORKING\east01\d2591108\Weave\__2019EX_PM_.xuf</v>
      </c>
    </row>
    <row r="1160" spans="115:117" x14ac:dyDescent="0.2">
      <c r="DK1160" s="31" t="str">
        <f t="shared" si="38"/>
        <v xml:space="preserve">  </v>
      </c>
      <c r="DL1160" s="25" t="str">
        <f t="shared" si="39"/>
        <v/>
      </c>
      <c r="DM1160" s="25" t="str">
        <f>BasicInput!$D$13&amp;$DM$2&amp;B1160&amp;"_"&amp;C1160&amp;D1160&amp;"_"&amp;BasicInput!$D$7&amp;BasicInput!$D$8&amp;"_"&amp;DL1160&amp;".xuf"</f>
        <v>C:\PWWORKING\east01\d2591108\Weave\__2019EX_PM_.xuf</v>
      </c>
    </row>
    <row r="1161" spans="115:117" x14ac:dyDescent="0.2">
      <c r="DK1161" s="31" t="str">
        <f t="shared" si="38"/>
        <v xml:space="preserve">  </v>
      </c>
      <c r="DL1161" s="25" t="str">
        <f t="shared" si="39"/>
        <v/>
      </c>
      <c r="DM1161" s="25" t="str">
        <f>BasicInput!$D$13&amp;$DM$2&amp;B1161&amp;"_"&amp;C1161&amp;D1161&amp;"_"&amp;BasicInput!$D$7&amp;BasicInput!$D$8&amp;"_"&amp;DL1161&amp;".xuf"</f>
        <v>C:\PWWORKING\east01\d2591108\Weave\__2019EX_PM_.xuf</v>
      </c>
    </row>
    <row r="1162" spans="115:117" x14ac:dyDescent="0.2">
      <c r="DK1162" s="31" t="str">
        <f t="shared" si="38"/>
        <v xml:space="preserve">  </v>
      </c>
      <c r="DL1162" s="25" t="str">
        <f t="shared" si="39"/>
        <v/>
      </c>
      <c r="DM1162" s="25" t="str">
        <f>BasicInput!$D$13&amp;$DM$2&amp;B1162&amp;"_"&amp;C1162&amp;D1162&amp;"_"&amp;BasicInput!$D$7&amp;BasicInput!$D$8&amp;"_"&amp;DL1162&amp;".xuf"</f>
        <v>C:\PWWORKING\east01\d2591108\Weave\__2019EX_PM_.xuf</v>
      </c>
    </row>
    <row r="1163" spans="115:117" x14ac:dyDescent="0.2">
      <c r="DK1163" s="31" t="str">
        <f t="shared" si="38"/>
        <v xml:space="preserve">  </v>
      </c>
      <c r="DL1163" s="25" t="str">
        <f t="shared" si="39"/>
        <v/>
      </c>
      <c r="DM1163" s="25" t="str">
        <f>BasicInput!$D$13&amp;$DM$2&amp;B1163&amp;"_"&amp;C1163&amp;D1163&amp;"_"&amp;BasicInput!$D$7&amp;BasicInput!$D$8&amp;"_"&amp;DL1163&amp;".xuf"</f>
        <v>C:\PWWORKING\east01\d2591108\Weave\__2019EX_PM_.xuf</v>
      </c>
    </row>
    <row r="1164" spans="115:117" x14ac:dyDescent="0.2">
      <c r="DK1164" s="31" t="str">
        <f t="shared" ref="DK1164:DK1227" si="40">C1164&amp; " "&amp;D1164&amp;" " &amp;E1164</f>
        <v xml:space="preserve">  </v>
      </c>
      <c r="DL1164" s="25" t="str">
        <f t="shared" ref="DL1164:DL1227" si="41">TRIM(LEFT(E1164, 30))</f>
        <v/>
      </c>
      <c r="DM1164" s="25" t="str">
        <f>BasicInput!$D$13&amp;$DM$2&amp;B1164&amp;"_"&amp;C1164&amp;D1164&amp;"_"&amp;BasicInput!$D$7&amp;BasicInput!$D$8&amp;"_"&amp;DL1164&amp;".xuf"</f>
        <v>C:\PWWORKING\east01\d2591108\Weave\__2019EX_PM_.xuf</v>
      </c>
    </row>
    <row r="1165" spans="115:117" x14ac:dyDescent="0.2">
      <c r="DK1165" s="31" t="str">
        <f t="shared" si="40"/>
        <v xml:space="preserve">  </v>
      </c>
      <c r="DL1165" s="25" t="str">
        <f t="shared" si="41"/>
        <v/>
      </c>
      <c r="DM1165" s="25" t="str">
        <f>BasicInput!$D$13&amp;$DM$2&amp;B1165&amp;"_"&amp;C1165&amp;D1165&amp;"_"&amp;BasicInput!$D$7&amp;BasicInput!$D$8&amp;"_"&amp;DL1165&amp;".xuf"</f>
        <v>C:\PWWORKING\east01\d2591108\Weave\__2019EX_PM_.xuf</v>
      </c>
    </row>
    <row r="1166" spans="115:117" x14ac:dyDescent="0.2">
      <c r="DK1166" s="31" t="str">
        <f t="shared" si="40"/>
        <v xml:space="preserve">  </v>
      </c>
      <c r="DL1166" s="25" t="str">
        <f t="shared" si="41"/>
        <v/>
      </c>
      <c r="DM1166" s="25" t="str">
        <f>BasicInput!$D$13&amp;$DM$2&amp;B1166&amp;"_"&amp;C1166&amp;D1166&amp;"_"&amp;BasicInput!$D$7&amp;BasicInput!$D$8&amp;"_"&amp;DL1166&amp;".xuf"</f>
        <v>C:\PWWORKING\east01\d2591108\Weave\__2019EX_PM_.xuf</v>
      </c>
    </row>
    <row r="1167" spans="115:117" x14ac:dyDescent="0.2">
      <c r="DK1167" s="31" t="str">
        <f t="shared" si="40"/>
        <v xml:space="preserve">  </v>
      </c>
      <c r="DL1167" s="25" t="str">
        <f t="shared" si="41"/>
        <v/>
      </c>
      <c r="DM1167" s="25" t="str">
        <f>BasicInput!$D$13&amp;$DM$2&amp;B1167&amp;"_"&amp;C1167&amp;D1167&amp;"_"&amp;BasicInput!$D$7&amp;BasicInput!$D$8&amp;"_"&amp;DL1167&amp;".xuf"</f>
        <v>C:\PWWORKING\east01\d2591108\Weave\__2019EX_PM_.xuf</v>
      </c>
    </row>
    <row r="1168" spans="115:117" x14ac:dyDescent="0.2">
      <c r="DK1168" s="31" t="str">
        <f t="shared" si="40"/>
        <v xml:space="preserve">  </v>
      </c>
      <c r="DL1168" s="25" t="str">
        <f t="shared" si="41"/>
        <v/>
      </c>
      <c r="DM1168" s="25" t="str">
        <f>BasicInput!$D$13&amp;$DM$2&amp;B1168&amp;"_"&amp;C1168&amp;D1168&amp;"_"&amp;BasicInput!$D$7&amp;BasicInput!$D$8&amp;"_"&amp;DL1168&amp;".xuf"</f>
        <v>C:\PWWORKING\east01\d2591108\Weave\__2019EX_PM_.xuf</v>
      </c>
    </row>
    <row r="1169" spans="115:117" x14ac:dyDescent="0.2">
      <c r="DK1169" s="31" t="str">
        <f t="shared" si="40"/>
        <v xml:space="preserve">  </v>
      </c>
      <c r="DL1169" s="25" t="str">
        <f t="shared" si="41"/>
        <v/>
      </c>
      <c r="DM1169" s="25" t="str">
        <f>BasicInput!$D$13&amp;$DM$2&amp;B1169&amp;"_"&amp;C1169&amp;D1169&amp;"_"&amp;BasicInput!$D$7&amp;BasicInput!$D$8&amp;"_"&amp;DL1169&amp;".xuf"</f>
        <v>C:\PWWORKING\east01\d2591108\Weave\__2019EX_PM_.xuf</v>
      </c>
    </row>
    <row r="1170" spans="115:117" x14ac:dyDescent="0.2">
      <c r="DK1170" s="31" t="str">
        <f t="shared" si="40"/>
        <v xml:space="preserve">  </v>
      </c>
      <c r="DL1170" s="25" t="str">
        <f t="shared" si="41"/>
        <v/>
      </c>
      <c r="DM1170" s="25" t="str">
        <f>BasicInput!$D$13&amp;$DM$2&amp;B1170&amp;"_"&amp;C1170&amp;D1170&amp;"_"&amp;BasicInput!$D$7&amp;BasicInput!$D$8&amp;"_"&amp;DL1170&amp;".xuf"</f>
        <v>C:\PWWORKING\east01\d2591108\Weave\__2019EX_PM_.xuf</v>
      </c>
    </row>
    <row r="1171" spans="115:117" x14ac:dyDescent="0.2">
      <c r="DK1171" s="31" t="str">
        <f t="shared" si="40"/>
        <v xml:space="preserve">  </v>
      </c>
      <c r="DL1171" s="25" t="str">
        <f t="shared" si="41"/>
        <v/>
      </c>
      <c r="DM1171" s="25" t="str">
        <f>BasicInput!$D$13&amp;$DM$2&amp;B1171&amp;"_"&amp;C1171&amp;D1171&amp;"_"&amp;BasicInput!$D$7&amp;BasicInput!$D$8&amp;"_"&amp;DL1171&amp;".xuf"</f>
        <v>C:\PWWORKING\east01\d2591108\Weave\__2019EX_PM_.xuf</v>
      </c>
    </row>
    <row r="1172" spans="115:117" x14ac:dyDescent="0.2">
      <c r="DK1172" s="31" t="str">
        <f t="shared" si="40"/>
        <v xml:space="preserve">  </v>
      </c>
      <c r="DL1172" s="25" t="str">
        <f t="shared" si="41"/>
        <v/>
      </c>
      <c r="DM1172" s="25" t="str">
        <f>BasicInput!$D$13&amp;$DM$2&amp;B1172&amp;"_"&amp;C1172&amp;D1172&amp;"_"&amp;BasicInput!$D$7&amp;BasicInput!$D$8&amp;"_"&amp;DL1172&amp;".xuf"</f>
        <v>C:\PWWORKING\east01\d2591108\Weave\__2019EX_PM_.xuf</v>
      </c>
    </row>
    <row r="1173" spans="115:117" x14ac:dyDescent="0.2">
      <c r="DK1173" s="31" t="str">
        <f t="shared" si="40"/>
        <v xml:space="preserve">  </v>
      </c>
      <c r="DL1173" s="25" t="str">
        <f t="shared" si="41"/>
        <v/>
      </c>
      <c r="DM1173" s="25" t="str">
        <f>BasicInput!$D$13&amp;$DM$2&amp;B1173&amp;"_"&amp;C1173&amp;D1173&amp;"_"&amp;BasicInput!$D$7&amp;BasicInput!$D$8&amp;"_"&amp;DL1173&amp;".xuf"</f>
        <v>C:\PWWORKING\east01\d2591108\Weave\__2019EX_PM_.xuf</v>
      </c>
    </row>
    <row r="1174" spans="115:117" x14ac:dyDescent="0.2">
      <c r="DK1174" s="31" t="str">
        <f t="shared" si="40"/>
        <v xml:space="preserve">  </v>
      </c>
      <c r="DL1174" s="25" t="str">
        <f t="shared" si="41"/>
        <v/>
      </c>
      <c r="DM1174" s="25" t="str">
        <f>BasicInput!$D$13&amp;$DM$2&amp;B1174&amp;"_"&amp;C1174&amp;D1174&amp;"_"&amp;BasicInput!$D$7&amp;BasicInput!$D$8&amp;"_"&amp;DL1174&amp;".xuf"</f>
        <v>C:\PWWORKING\east01\d2591108\Weave\__2019EX_PM_.xuf</v>
      </c>
    </row>
    <row r="1175" spans="115:117" x14ac:dyDescent="0.2">
      <c r="DK1175" s="31" t="str">
        <f t="shared" si="40"/>
        <v xml:space="preserve">  </v>
      </c>
      <c r="DL1175" s="25" t="str">
        <f t="shared" si="41"/>
        <v/>
      </c>
      <c r="DM1175" s="25" t="str">
        <f>BasicInput!$D$13&amp;$DM$2&amp;B1175&amp;"_"&amp;C1175&amp;D1175&amp;"_"&amp;BasicInput!$D$7&amp;BasicInput!$D$8&amp;"_"&amp;DL1175&amp;".xuf"</f>
        <v>C:\PWWORKING\east01\d2591108\Weave\__2019EX_PM_.xuf</v>
      </c>
    </row>
    <row r="1176" spans="115:117" x14ac:dyDescent="0.2">
      <c r="DK1176" s="31" t="str">
        <f t="shared" si="40"/>
        <v xml:space="preserve">  </v>
      </c>
      <c r="DL1176" s="25" t="str">
        <f t="shared" si="41"/>
        <v/>
      </c>
      <c r="DM1176" s="25" t="str">
        <f>BasicInput!$D$13&amp;$DM$2&amp;B1176&amp;"_"&amp;C1176&amp;D1176&amp;"_"&amp;BasicInput!$D$7&amp;BasicInput!$D$8&amp;"_"&amp;DL1176&amp;".xuf"</f>
        <v>C:\PWWORKING\east01\d2591108\Weave\__2019EX_PM_.xuf</v>
      </c>
    </row>
    <row r="1177" spans="115:117" x14ac:dyDescent="0.2">
      <c r="DK1177" s="31" t="str">
        <f t="shared" si="40"/>
        <v xml:space="preserve">  </v>
      </c>
      <c r="DL1177" s="25" t="str">
        <f t="shared" si="41"/>
        <v/>
      </c>
      <c r="DM1177" s="25" t="str">
        <f>BasicInput!$D$13&amp;$DM$2&amp;B1177&amp;"_"&amp;C1177&amp;D1177&amp;"_"&amp;BasicInput!$D$7&amp;BasicInput!$D$8&amp;"_"&amp;DL1177&amp;".xuf"</f>
        <v>C:\PWWORKING\east01\d2591108\Weave\__2019EX_PM_.xuf</v>
      </c>
    </row>
    <row r="1178" spans="115:117" x14ac:dyDescent="0.2">
      <c r="DK1178" s="31" t="str">
        <f t="shared" si="40"/>
        <v xml:space="preserve">  </v>
      </c>
      <c r="DL1178" s="25" t="str">
        <f t="shared" si="41"/>
        <v/>
      </c>
      <c r="DM1178" s="25" t="str">
        <f>BasicInput!$D$13&amp;$DM$2&amp;B1178&amp;"_"&amp;C1178&amp;D1178&amp;"_"&amp;BasicInput!$D$7&amp;BasicInput!$D$8&amp;"_"&amp;DL1178&amp;".xuf"</f>
        <v>C:\PWWORKING\east01\d2591108\Weave\__2019EX_PM_.xuf</v>
      </c>
    </row>
    <row r="1179" spans="115:117" x14ac:dyDescent="0.2">
      <c r="DK1179" s="31" t="str">
        <f t="shared" si="40"/>
        <v xml:space="preserve">  </v>
      </c>
      <c r="DL1179" s="25" t="str">
        <f t="shared" si="41"/>
        <v/>
      </c>
      <c r="DM1179" s="25" t="str">
        <f>BasicInput!$D$13&amp;$DM$2&amp;B1179&amp;"_"&amp;C1179&amp;D1179&amp;"_"&amp;BasicInput!$D$7&amp;BasicInput!$D$8&amp;"_"&amp;DL1179&amp;".xuf"</f>
        <v>C:\PWWORKING\east01\d2591108\Weave\__2019EX_PM_.xuf</v>
      </c>
    </row>
    <row r="1180" spans="115:117" x14ac:dyDescent="0.2">
      <c r="DK1180" s="31" t="str">
        <f t="shared" si="40"/>
        <v xml:space="preserve">  </v>
      </c>
      <c r="DL1180" s="25" t="str">
        <f t="shared" si="41"/>
        <v/>
      </c>
      <c r="DM1180" s="25" t="str">
        <f>BasicInput!$D$13&amp;$DM$2&amp;B1180&amp;"_"&amp;C1180&amp;D1180&amp;"_"&amp;BasicInput!$D$7&amp;BasicInput!$D$8&amp;"_"&amp;DL1180&amp;".xuf"</f>
        <v>C:\PWWORKING\east01\d2591108\Weave\__2019EX_PM_.xuf</v>
      </c>
    </row>
    <row r="1181" spans="115:117" x14ac:dyDescent="0.2">
      <c r="DK1181" s="31" t="str">
        <f t="shared" si="40"/>
        <v xml:space="preserve">  </v>
      </c>
      <c r="DL1181" s="25" t="str">
        <f t="shared" si="41"/>
        <v/>
      </c>
      <c r="DM1181" s="25" t="str">
        <f>BasicInput!$D$13&amp;$DM$2&amp;B1181&amp;"_"&amp;C1181&amp;D1181&amp;"_"&amp;BasicInput!$D$7&amp;BasicInput!$D$8&amp;"_"&amp;DL1181&amp;".xuf"</f>
        <v>C:\PWWORKING\east01\d2591108\Weave\__2019EX_PM_.xuf</v>
      </c>
    </row>
    <row r="1182" spans="115:117" x14ac:dyDescent="0.2">
      <c r="DK1182" s="31" t="str">
        <f t="shared" si="40"/>
        <v xml:space="preserve">  </v>
      </c>
      <c r="DL1182" s="25" t="str">
        <f t="shared" si="41"/>
        <v/>
      </c>
      <c r="DM1182" s="25" t="str">
        <f>BasicInput!$D$13&amp;$DM$2&amp;B1182&amp;"_"&amp;C1182&amp;D1182&amp;"_"&amp;BasicInput!$D$7&amp;BasicInput!$D$8&amp;"_"&amp;DL1182&amp;".xuf"</f>
        <v>C:\PWWORKING\east01\d2591108\Weave\__2019EX_PM_.xuf</v>
      </c>
    </row>
    <row r="1183" spans="115:117" x14ac:dyDescent="0.2">
      <c r="DK1183" s="31" t="str">
        <f t="shared" si="40"/>
        <v xml:space="preserve">  </v>
      </c>
      <c r="DL1183" s="25" t="str">
        <f t="shared" si="41"/>
        <v/>
      </c>
      <c r="DM1183" s="25" t="str">
        <f>BasicInput!$D$13&amp;$DM$2&amp;B1183&amp;"_"&amp;C1183&amp;D1183&amp;"_"&amp;BasicInput!$D$7&amp;BasicInput!$D$8&amp;"_"&amp;DL1183&amp;".xuf"</f>
        <v>C:\PWWORKING\east01\d2591108\Weave\__2019EX_PM_.xuf</v>
      </c>
    </row>
    <row r="1184" spans="115:117" x14ac:dyDescent="0.2">
      <c r="DK1184" s="31" t="str">
        <f t="shared" si="40"/>
        <v xml:space="preserve">  </v>
      </c>
      <c r="DL1184" s="25" t="str">
        <f t="shared" si="41"/>
        <v/>
      </c>
      <c r="DM1184" s="25" t="str">
        <f>BasicInput!$D$13&amp;$DM$2&amp;B1184&amp;"_"&amp;C1184&amp;D1184&amp;"_"&amp;BasicInput!$D$7&amp;BasicInput!$D$8&amp;"_"&amp;DL1184&amp;".xuf"</f>
        <v>C:\PWWORKING\east01\d2591108\Weave\__2019EX_PM_.xuf</v>
      </c>
    </row>
    <row r="1185" spans="115:117" x14ac:dyDescent="0.2">
      <c r="DK1185" s="31" t="str">
        <f t="shared" si="40"/>
        <v xml:space="preserve">  </v>
      </c>
      <c r="DL1185" s="25" t="str">
        <f t="shared" si="41"/>
        <v/>
      </c>
      <c r="DM1185" s="25" t="str">
        <f>BasicInput!$D$13&amp;$DM$2&amp;B1185&amp;"_"&amp;C1185&amp;D1185&amp;"_"&amp;BasicInput!$D$7&amp;BasicInput!$D$8&amp;"_"&amp;DL1185&amp;".xuf"</f>
        <v>C:\PWWORKING\east01\d2591108\Weave\__2019EX_PM_.xuf</v>
      </c>
    </row>
    <row r="1186" spans="115:117" x14ac:dyDescent="0.2">
      <c r="DK1186" s="31" t="str">
        <f t="shared" si="40"/>
        <v xml:space="preserve">  </v>
      </c>
      <c r="DL1186" s="25" t="str">
        <f t="shared" si="41"/>
        <v/>
      </c>
      <c r="DM1186" s="25" t="str">
        <f>BasicInput!$D$13&amp;$DM$2&amp;B1186&amp;"_"&amp;C1186&amp;D1186&amp;"_"&amp;BasicInput!$D$7&amp;BasicInput!$D$8&amp;"_"&amp;DL1186&amp;".xuf"</f>
        <v>C:\PWWORKING\east01\d2591108\Weave\__2019EX_PM_.xuf</v>
      </c>
    </row>
    <row r="1187" spans="115:117" x14ac:dyDescent="0.2">
      <c r="DK1187" s="31" t="str">
        <f t="shared" si="40"/>
        <v xml:space="preserve">  </v>
      </c>
      <c r="DL1187" s="25" t="str">
        <f t="shared" si="41"/>
        <v/>
      </c>
      <c r="DM1187" s="25" t="str">
        <f>BasicInput!$D$13&amp;$DM$2&amp;B1187&amp;"_"&amp;C1187&amp;D1187&amp;"_"&amp;BasicInput!$D$7&amp;BasicInput!$D$8&amp;"_"&amp;DL1187&amp;".xuf"</f>
        <v>C:\PWWORKING\east01\d2591108\Weave\__2019EX_PM_.xuf</v>
      </c>
    </row>
    <row r="1188" spans="115:117" x14ac:dyDescent="0.2">
      <c r="DK1188" s="31" t="str">
        <f t="shared" si="40"/>
        <v xml:space="preserve">  </v>
      </c>
      <c r="DL1188" s="25" t="str">
        <f t="shared" si="41"/>
        <v/>
      </c>
      <c r="DM1188" s="25" t="str">
        <f>BasicInput!$D$13&amp;$DM$2&amp;B1188&amp;"_"&amp;C1188&amp;D1188&amp;"_"&amp;BasicInput!$D$7&amp;BasicInput!$D$8&amp;"_"&amp;DL1188&amp;".xuf"</f>
        <v>C:\PWWORKING\east01\d2591108\Weave\__2019EX_PM_.xuf</v>
      </c>
    </row>
    <row r="1189" spans="115:117" x14ac:dyDescent="0.2">
      <c r="DK1189" s="31" t="str">
        <f t="shared" si="40"/>
        <v xml:space="preserve">  </v>
      </c>
      <c r="DL1189" s="25" t="str">
        <f t="shared" si="41"/>
        <v/>
      </c>
      <c r="DM1189" s="25" t="str">
        <f>BasicInput!$D$13&amp;$DM$2&amp;B1189&amp;"_"&amp;C1189&amp;D1189&amp;"_"&amp;BasicInput!$D$7&amp;BasicInput!$D$8&amp;"_"&amp;DL1189&amp;".xuf"</f>
        <v>C:\PWWORKING\east01\d2591108\Weave\__2019EX_PM_.xuf</v>
      </c>
    </row>
    <row r="1190" spans="115:117" x14ac:dyDescent="0.2">
      <c r="DK1190" s="31" t="str">
        <f t="shared" si="40"/>
        <v xml:space="preserve">  </v>
      </c>
      <c r="DL1190" s="25" t="str">
        <f t="shared" si="41"/>
        <v/>
      </c>
      <c r="DM1190" s="25" t="str">
        <f>BasicInput!$D$13&amp;$DM$2&amp;B1190&amp;"_"&amp;C1190&amp;D1190&amp;"_"&amp;BasicInput!$D$7&amp;BasicInput!$D$8&amp;"_"&amp;DL1190&amp;".xuf"</f>
        <v>C:\PWWORKING\east01\d2591108\Weave\__2019EX_PM_.xuf</v>
      </c>
    </row>
    <row r="1191" spans="115:117" x14ac:dyDescent="0.2">
      <c r="DK1191" s="31" t="str">
        <f t="shared" si="40"/>
        <v xml:space="preserve">  </v>
      </c>
      <c r="DL1191" s="25" t="str">
        <f t="shared" si="41"/>
        <v/>
      </c>
      <c r="DM1191" s="25" t="str">
        <f>BasicInput!$D$13&amp;$DM$2&amp;B1191&amp;"_"&amp;C1191&amp;D1191&amp;"_"&amp;BasicInput!$D$7&amp;BasicInput!$D$8&amp;"_"&amp;DL1191&amp;".xuf"</f>
        <v>C:\PWWORKING\east01\d2591108\Weave\__2019EX_PM_.xuf</v>
      </c>
    </row>
    <row r="1192" spans="115:117" x14ac:dyDescent="0.2">
      <c r="DK1192" s="31" t="str">
        <f t="shared" si="40"/>
        <v xml:space="preserve">  </v>
      </c>
      <c r="DL1192" s="25" t="str">
        <f t="shared" si="41"/>
        <v/>
      </c>
      <c r="DM1192" s="25" t="str">
        <f>BasicInput!$D$13&amp;$DM$2&amp;B1192&amp;"_"&amp;C1192&amp;D1192&amp;"_"&amp;BasicInput!$D$7&amp;BasicInput!$D$8&amp;"_"&amp;DL1192&amp;".xuf"</f>
        <v>C:\PWWORKING\east01\d2591108\Weave\__2019EX_PM_.xuf</v>
      </c>
    </row>
    <row r="1193" spans="115:117" x14ac:dyDescent="0.2">
      <c r="DK1193" s="31" t="str">
        <f t="shared" si="40"/>
        <v xml:space="preserve">  </v>
      </c>
      <c r="DL1193" s="25" t="str">
        <f t="shared" si="41"/>
        <v/>
      </c>
      <c r="DM1193" s="25" t="str">
        <f>BasicInput!$D$13&amp;$DM$2&amp;B1193&amp;"_"&amp;C1193&amp;D1193&amp;"_"&amp;BasicInput!$D$7&amp;BasicInput!$D$8&amp;"_"&amp;DL1193&amp;".xuf"</f>
        <v>C:\PWWORKING\east01\d2591108\Weave\__2019EX_PM_.xuf</v>
      </c>
    </row>
    <row r="1194" spans="115:117" x14ac:dyDescent="0.2">
      <c r="DK1194" s="31" t="str">
        <f t="shared" si="40"/>
        <v xml:space="preserve">  </v>
      </c>
      <c r="DL1194" s="25" t="str">
        <f t="shared" si="41"/>
        <v/>
      </c>
      <c r="DM1194" s="25" t="str">
        <f>BasicInput!$D$13&amp;$DM$2&amp;B1194&amp;"_"&amp;C1194&amp;D1194&amp;"_"&amp;BasicInput!$D$7&amp;BasicInput!$D$8&amp;"_"&amp;DL1194&amp;".xuf"</f>
        <v>C:\PWWORKING\east01\d2591108\Weave\__2019EX_PM_.xuf</v>
      </c>
    </row>
    <row r="1195" spans="115:117" x14ac:dyDescent="0.2">
      <c r="DK1195" s="31" t="str">
        <f t="shared" si="40"/>
        <v xml:space="preserve">  </v>
      </c>
      <c r="DL1195" s="25" t="str">
        <f t="shared" si="41"/>
        <v/>
      </c>
      <c r="DM1195" s="25" t="str">
        <f>BasicInput!$D$13&amp;$DM$2&amp;B1195&amp;"_"&amp;C1195&amp;D1195&amp;"_"&amp;BasicInput!$D$7&amp;BasicInput!$D$8&amp;"_"&amp;DL1195&amp;".xuf"</f>
        <v>C:\PWWORKING\east01\d2591108\Weave\__2019EX_PM_.xuf</v>
      </c>
    </row>
    <row r="1196" spans="115:117" x14ac:dyDescent="0.2">
      <c r="DK1196" s="31" t="str">
        <f t="shared" si="40"/>
        <v xml:space="preserve">  </v>
      </c>
      <c r="DL1196" s="25" t="str">
        <f t="shared" si="41"/>
        <v/>
      </c>
      <c r="DM1196" s="25" t="str">
        <f>BasicInput!$D$13&amp;$DM$2&amp;B1196&amp;"_"&amp;C1196&amp;D1196&amp;"_"&amp;BasicInput!$D$7&amp;BasicInput!$D$8&amp;"_"&amp;DL1196&amp;".xuf"</f>
        <v>C:\PWWORKING\east01\d2591108\Weave\__2019EX_PM_.xuf</v>
      </c>
    </row>
    <row r="1197" spans="115:117" x14ac:dyDescent="0.2">
      <c r="DK1197" s="31" t="str">
        <f t="shared" si="40"/>
        <v xml:space="preserve">  </v>
      </c>
      <c r="DL1197" s="25" t="str">
        <f t="shared" si="41"/>
        <v/>
      </c>
      <c r="DM1197" s="25" t="str">
        <f>BasicInput!$D$13&amp;$DM$2&amp;B1197&amp;"_"&amp;C1197&amp;D1197&amp;"_"&amp;BasicInput!$D$7&amp;BasicInput!$D$8&amp;"_"&amp;DL1197&amp;".xuf"</f>
        <v>C:\PWWORKING\east01\d2591108\Weave\__2019EX_PM_.xuf</v>
      </c>
    </row>
    <row r="1198" spans="115:117" x14ac:dyDescent="0.2">
      <c r="DK1198" s="31" t="str">
        <f t="shared" si="40"/>
        <v xml:space="preserve">  </v>
      </c>
      <c r="DL1198" s="25" t="str">
        <f t="shared" si="41"/>
        <v/>
      </c>
      <c r="DM1198" s="25" t="str">
        <f>BasicInput!$D$13&amp;$DM$2&amp;B1198&amp;"_"&amp;C1198&amp;D1198&amp;"_"&amp;BasicInput!$D$7&amp;BasicInput!$D$8&amp;"_"&amp;DL1198&amp;".xuf"</f>
        <v>C:\PWWORKING\east01\d2591108\Weave\__2019EX_PM_.xuf</v>
      </c>
    </row>
    <row r="1199" spans="115:117" x14ac:dyDescent="0.2">
      <c r="DK1199" s="31" t="str">
        <f t="shared" si="40"/>
        <v xml:space="preserve">  </v>
      </c>
      <c r="DL1199" s="25" t="str">
        <f t="shared" si="41"/>
        <v/>
      </c>
      <c r="DM1199" s="25" t="str">
        <f>BasicInput!$D$13&amp;$DM$2&amp;B1199&amp;"_"&amp;C1199&amp;D1199&amp;"_"&amp;BasicInput!$D$7&amp;BasicInput!$D$8&amp;"_"&amp;DL1199&amp;".xuf"</f>
        <v>C:\PWWORKING\east01\d2591108\Weave\__2019EX_PM_.xuf</v>
      </c>
    </row>
    <row r="1200" spans="115:117" x14ac:dyDescent="0.2">
      <c r="DK1200" s="31" t="str">
        <f t="shared" si="40"/>
        <v xml:space="preserve">  </v>
      </c>
      <c r="DL1200" s="25" t="str">
        <f t="shared" si="41"/>
        <v/>
      </c>
      <c r="DM1200" s="25" t="str">
        <f>BasicInput!$D$13&amp;$DM$2&amp;B1200&amp;"_"&amp;C1200&amp;D1200&amp;"_"&amp;BasicInput!$D$7&amp;BasicInput!$D$8&amp;"_"&amp;DL1200&amp;".xuf"</f>
        <v>C:\PWWORKING\east01\d2591108\Weave\__2019EX_PM_.xuf</v>
      </c>
    </row>
    <row r="1201" spans="115:117" x14ac:dyDescent="0.2">
      <c r="DK1201" s="31" t="str">
        <f t="shared" si="40"/>
        <v xml:space="preserve">  </v>
      </c>
      <c r="DL1201" s="25" t="str">
        <f t="shared" si="41"/>
        <v/>
      </c>
      <c r="DM1201" s="25" t="str">
        <f>BasicInput!$D$13&amp;$DM$2&amp;B1201&amp;"_"&amp;C1201&amp;D1201&amp;"_"&amp;BasicInput!$D$7&amp;BasicInput!$D$8&amp;"_"&amp;DL1201&amp;".xuf"</f>
        <v>C:\PWWORKING\east01\d2591108\Weave\__2019EX_PM_.xuf</v>
      </c>
    </row>
    <row r="1202" spans="115:117" x14ac:dyDescent="0.2">
      <c r="DK1202" s="31" t="str">
        <f t="shared" si="40"/>
        <v xml:space="preserve">  </v>
      </c>
      <c r="DL1202" s="25" t="str">
        <f t="shared" si="41"/>
        <v/>
      </c>
      <c r="DM1202" s="25" t="str">
        <f>BasicInput!$D$13&amp;$DM$2&amp;B1202&amp;"_"&amp;C1202&amp;D1202&amp;"_"&amp;BasicInput!$D$7&amp;BasicInput!$D$8&amp;"_"&amp;DL1202&amp;".xuf"</f>
        <v>C:\PWWORKING\east01\d2591108\Weave\__2019EX_PM_.xuf</v>
      </c>
    </row>
    <row r="1203" spans="115:117" x14ac:dyDescent="0.2">
      <c r="DK1203" s="31" t="str">
        <f t="shared" si="40"/>
        <v xml:space="preserve">  </v>
      </c>
      <c r="DL1203" s="25" t="str">
        <f t="shared" si="41"/>
        <v/>
      </c>
      <c r="DM1203" s="25" t="str">
        <f>BasicInput!$D$13&amp;$DM$2&amp;B1203&amp;"_"&amp;C1203&amp;D1203&amp;"_"&amp;BasicInput!$D$7&amp;BasicInput!$D$8&amp;"_"&amp;DL1203&amp;".xuf"</f>
        <v>C:\PWWORKING\east01\d2591108\Weave\__2019EX_PM_.xuf</v>
      </c>
    </row>
    <row r="1204" spans="115:117" x14ac:dyDescent="0.2">
      <c r="DK1204" s="31" t="str">
        <f t="shared" si="40"/>
        <v xml:space="preserve">  </v>
      </c>
      <c r="DL1204" s="25" t="str">
        <f t="shared" si="41"/>
        <v/>
      </c>
      <c r="DM1204" s="25" t="str">
        <f>BasicInput!$D$13&amp;$DM$2&amp;B1204&amp;"_"&amp;C1204&amp;D1204&amp;"_"&amp;BasicInput!$D$7&amp;BasicInput!$D$8&amp;"_"&amp;DL1204&amp;".xuf"</f>
        <v>C:\PWWORKING\east01\d2591108\Weave\__2019EX_PM_.xuf</v>
      </c>
    </row>
    <row r="1205" spans="115:117" x14ac:dyDescent="0.2">
      <c r="DK1205" s="31" t="str">
        <f t="shared" si="40"/>
        <v xml:space="preserve">  </v>
      </c>
      <c r="DL1205" s="25" t="str">
        <f t="shared" si="41"/>
        <v/>
      </c>
      <c r="DM1205" s="25" t="str">
        <f>BasicInput!$D$13&amp;$DM$2&amp;B1205&amp;"_"&amp;C1205&amp;D1205&amp;"_"&amp;BasicInput!$D$7&amp;BasicInput!$D$8&amp;"_"&amp;DL1205&amp;".xuf"</f>
        <v>C:\PWWORKING\east01\d2591108\Weave\__2019EX_PM_.xuf</v>
      </c>
    </row>
    <row r="1206" spans="115:117" x14ac:dyDescent="0.2">
      <c r="DK1206" s="31" t="str">
        <f t="shared" si="40"/>
        <v xml:space="preserve">  </v>
      </c>
      <c r="DL1206" s="25" t="str">
        <f t="shared" si="41"/>
        <v/>
      </c>
      <c r="DM1206" s="25" t="str">
        <f>BasicInput!$D$13&amp;$DM$2&amp;B1206&amp;"_"&amp;C1206&amp;D1206&amp;"_"&amp;BasicInput!$D$7&amp;BasicInput!$D$8&amp;"_"&amp;DL1206&amp;".xuf"</f>
        <v>C:\PWWORKING\east01\d2591108\Weave\__2019EX_PM_.xuf</v>
      </c>
    </row>
    <row r="1207" spans="115:117" x14ac:dyDescent="0.2">
      <c r="DK1207" s="31" t="str">
        <f t="shared" si="40"/>
        <v xml:space="preserve">  </v>
      </c>
      <c r="DL1207" s="25" t="str">
        <f t="shared" si="41"/>
        <v/>
      </c>
      <c r="DM1207" s="25" t="str">
        <f>BasicInput!$D$13&amp;$DM$2&amp;B1207&amp;"_"&amp;C1207&amp;D1207&amp;"_"&amp;BasicInput!$D$7&amp;BasicInput!$D$8&amp;"_"&amp;DL1207&amp;".xuf"</f>
        <v>C:\PWWORKING\east01\d2591108\Weave\__2019EX_PM_.xuf</v>
      </c>
    </row>
    <row r="1208" spans="115:117" x14ac:dyDescent="0.2">
      <c r="DK1208" s="31" t="str">
        <f t="shared" si="40"/>
        <v xml:space="preserve">  </v>
      </c>
      <c r="DL1208" s="25" t="str">
        <f t="shared" si="41"/>
        <v/>
      </c>
      <c r="DM1208" s="25" t="str">
        <f>BasicInput!$D$13&amp;$DM$2&amp;B1208&amp;"_"&amp;C1208&amp;D1208&amp;"_"&amp;BasicInput!$D$7&amp;BasicInput!$D$8&amp;"_"&amp;DL1208&amp;".xuf"</f>
        <v>C:\PWWORKING\east01\d2591108\Weave\__2019EX_PM_.xuf</v>
      </c>
    </row>
    <row r="1209" spans="115:117" x14ac:dyDescent="0.2">
      <c r="DK1209" s="31" t="str">
        <f t="shared" si="40"/>
        <v xml:space="preserve">  </v>
      </c>
      <c r="DL1209" s="25" t="str">
        <f t="shared" si="41"/>
        <v/>
      </c>
      <c r="DM1209" s="25" t="str">
        <f>BasicInput!$D$13&amp;$DM$2&amp;B1209&amp;"_"&amp;C1209&amp;D1209&amp;"_"&amp;BasicInput!$D$7&amp;BasicInput!$D$8&amp;"_"&amp;DL1209&amp;".xuf"</f>
        <v>C:\PWWORKING\east01\d2591108\Weave\__2019EX_PM_.xuf</v>
      </c>
    </row>
    <row r="1210" spans="115:117" x14ac:dyDescent="0.2">
      <c r="DK1210" s="31" t="str">
        <f t="shared" si="40"/>
        <v xml:space="preserve">  </v>
      </c>
      <c r="DL1210" s="25" t="str">
        <f t="shared" si="41"/>
        <v/>
      </c>
      <c r="DM1210" s="25" t="str">
        <f>BasicInput!$D$13&amp;$DM$2&amp;B1210&amp;"_"&amp;C1210&amp;D1210&amp;"_"&amp;BasicInput!$D$7&amp;BasicInput!$D$8&amp;"_"&amp;DL1210&amp;".xuf"</f>
        <v>C:\PWWORKING\east01\d2591108\Weave\__2019EX_PM_.xuf</v>
      </c>
    </row>
    <row r="1211" spans="115:117" x14ac:dyDescent="0.2">
      <c r="DK1211" s="31" t="str">
        <f t="shared" si="40"/>
        <v xml:space="preserve">  </v>
      </c>
      <c r="DL1211" s="25" t="str">
        <f t="shared" si="41"/>
        <v/>
      </c>
      <c r="DM1211" s="25" t="str">
        <f>BasicInput!$D$13&amp;$DM$2&amp;B1211&amp;"_"&amp;C1211&amp;D1211&amp;"_"&amp;BasicInput!$D$7&amp;BasicInput!$D$8&amp;"_"&amp;DL1211&amp;".xuf"</f>
        <v>C:\PWWORKING\east01\d2591108\Weave\__2019EX_PM_.xuf</v>
      </c>
    </row>
    <row r="1212" spans="115:117" x14ac:dyDescent="0.2">
      <c r="DK1212" s="31" t="str">
        <f t="shared" si="40"/>
        <v xml:space="preserve">  </v>
      </c>
      <c r="DL1212" s="25" t="str">
        <f t="shared" si="41"/>
        <v/>
      </c>
      <c r="DM1212" s="25" t="str">
        <f>BasicInput!$D$13&amp;$DM$2&amp;B1212&amp;"_"&amp;C1212&amp;D1212&amp;"_"&amp;BasicInput!$D$7&amp;BasicInput!$D$8&amp;"_"&amp;DL1212&amp;".xuf"</f>
        <v>C:\PWWORKING\east01\d2591108\Weave\__2019EX_PM_.xuf</v>
      </c>
    </row>
    <row r="1213" spans="115:117" x14ac:dyDescent="0.2">
      <c r="DK1213" s="31" t="str">
        <f t="shared" si="40"/>
        <v xml:space="preserve">  </v>
      </c>
      <c r="DL1213" s="25" t="str">
        <f t="shared" si="41"/>
        <v/>
      </c>
      <c r="DM1213" s="25" t="str">
        <f>BasicInput!$D$13&amp;$DM$2&amp;B1213&amp;"_"&amp;C1213&amp;D1213&amp;"_"&amp;BasicInput!$D$7&amp;BasicInput!$D$8&amp;"_"&amp;DL1213&amp;".xuf"</f>
        <v>C:\PWWORKING\east01\d2591108\Weave\__2019EX_PM_.xuf</v>
      </c>
    </row>
    <row r="1214" spans="115:117" x14ac:dyDescent="0.2">
      <c r="DK1214" s="31" t="str">
        <f t="shared" si="40"/>
        <v xml:space="preserve">  </v>
      </c>
      <c r="DL1214" s="25" t="str">
        <f t="shared" si="41"/>
        <v/>
      </c>
      <c r="DM1214" s="25" t="str">
        <f>BasicInput!$D$13&amp;$DM$2&amp;B1214&amp;"_"&amp;C1214&amp;D1214&amp;"_"&amp;BasicInput!$D$7&amp;BasicInput!$D$8&amp;"_"&amp;DL1214&amp;".xuf"</f>
        <v>C:\PWWORKING\east01\d2591108\Weave\__2019EX_PM_.xuf</v>
      </c>
    </row>
    <row r="1215" spans="115:117" x14ac:dyDescent="0.2">
      <c r="DK1215" s="31" t="str">
        <f t="shared" si="40"/>
        <v xml:space="preserve">  </v>
      </c>
      <c r="DL1215" s="25" t="str">
        <f t="shared" si="41"/>
        <v/>
      </c>
      <c r="DM1215" s="25" t="str">
        <f>BasicInput!$D$13&amp;$DM$2&amp;B1215&amp;"_"&amp;C1215&amp;D1215&amp;"_"&amp;BasicInput!$D$7&amp;BasicInput!$D$8&amp;"_"&amp;DL1215&amp;".xuf"</f>
        <v>C:\PWWORKING\east01\d2591108\Weave\__2019EX_PM_.xuf</v>
      </c>
    </row>
    <row r="1216" spans="115:117" x14ac:dyDescent="0.2">
      <c r="DK1216" s="31" t="str">
        <f t="shared" si="40"/>
        <v xml:space="preserve">  </v>
      </c>
      <c r="DL1216" s="25" t="str">
        <f t="shared" si="41"/>
        <v/>
      </c>
      <c r="DM1216" s="25" t="str">
        <f>BasicInput!$D$13&amp;$DM$2&amp;B1216&amp;"_"&amp;C1216&amp;D1216&amp;"_"&amp;BasicInput!$D$7&amp;BasicInput!$D$8&amp;"_"&amp;DL1216&amp;".xuf"</f>
        <v>C:\PWWORKING\east01\d2591108\Weave\__2019EX_PM_.xuf</v>
      </c>
    </row>
    <row r="1217" spans="115:117" x14ac:dyDescent="0.2">
      <c r="DK1217" s="31" t="str">
        <f t="shared" si="40"/>
        <v xml:space="preserve">  </v>
      </c>
      <c r="DL1217" s="25" t="str">
        <f t="shared" si="41"/>
        <v/>
      </c>
      <c r="DM1217" s="25" t="str">
        <f>BasicInput!$D$13&amp;$DM$2&amp;B1217&amp;"_"&amp;C1217&amp;D1217&amp;"_"&amp;BasicInput!$D$7&amp;BasicInput!$D$8&amp;"_"&amp;DL1217&amp;".xuf"</f>
        <v>C:\PWWORKING\east01\d2591108\Weave\__2019EX_PM_.xuf</v>
      </c>
    </row>
    <row r="1218" spans="115:117" x14ac:dyDescent="0.2">
      <c r="DK1218" s="31" t="str">
        <f t="shared" si="40"/>
        <v xml:space="preserve">  </v>
      </c>
      <c r="DL1218" s="25" t="str">
        <f t="shared" si="41"/>
        <v/>
      </c>
      <c r="DM1218" s="25" t="str">
        <f>BasicInput!$D$13&amp;$DM$2&amp;B1218&amp;"_"&amp;C1218&amp;D1218&amp;"_"&amp;BasicInput!$D$7&amp;BasicInput!$D$8&amp;"_"&amp;DL1218&amp;".xuf"</f>
        <v>C:\PWWORKING\east01\d2591108\Weave\__2019EX_PM_.xuf</v>
      </c>
    </row>
    <row r="1219" spans="115:117" x14ac:dyDescent="0.2">
      <c r="DK1219" s="31" t="str">
        <f t="shared" si="40"/>
        <v xml:space="preserve">  </v>
      </c>
      <c r="DL1219" s="25" t="str">
        <f t="shared" si="41"/>
        <v/>
      </c>
      <c r="DM1219" s="25" t="str">
        <f>BasicInput!$D$13&amp;$DM$2&amp;B1219&amp;"_"&amp;C1219&amp;D1219&amp;"_"&amp;BasicInput!$D$7&amp;BasicInput!$D$8&amp;"_"&amp;DL1219&amp;".xuf"</f>
        <v>C:\PWWORKING\east01\d2591108\Weave\__2019EX_PM_.xuf</v>
      </c>
    </row>
    <row r="1220" spans="115:117" x14ac:dyDescent="0.2">
      <c r="DK1220" s="31" t="str">
        <f t="shared" si="40"/>
        <v xml:space="preserve">  </v>
      </c>
      <c r="DL1220" s="25" t="str">
        <f t="shared" si="41"/>
        <v/>
      </c>
      <c r="DM1220" s="25" t="str">
        <f>BasicInput!$D$13&amp;$DM$2&amp;B1220&amp;"_"&amp;C1220&amp;D1220&amp;"_"&amp;BasicInput!$D$7&amp;BasicInput!$D$8&amp;"_"&amp;DL1220&amp;".xuf"</f>
        <v>C:\PWWORKING\east01\d2591108\Weave\__2019EX_PM_.xuf</v>
      </c>
    </row>
    <row r="1221" spans="115:117" x14ac:dyDescent="0.2">
      <c r="DK1221" s="31" t="str">
        <f t="shared" si="40"/>
        <v xml:space="preserve">  </v>
      </c>
      <c r="DL1221" s="25" t="str">
        <f t="shared" si="41"/>
        <v/>
      </c>
      <c r="DM1221" s="25" t="str">
        <f>BasicInput!$D$13&amp;$DM$2&amp;B1221&amp;"_"&amp;C1221&amp;D1221&amp;"_"&amp;BasicInput!$D$7&amp;BasicInput!$D$8&amp;"_"&amp;DL1221&amp;".xuf"</f>
        <v>C:\PWWORKING\east01\d2591108\Weave\__2019EX_PM_.xuf</v>
      </c>
    </row>
    <row r="1222" spans="115:117" x14ac:dyDescent="0.2">
      <c r="DK1222" s="31" t="str">
        <f t="shared" si="40"/>
        <v xml:space="preserve">  </v>
      </c>
      <c r="DL1222" s="25" t="str">
        <f t="shared" si="41"/>
        <v/>
      </c>
      <c r="DM1222" s="25" t="str">
        <f>BasicInput!$D$13&amp;$DM$2&amp;B1222&amp;"_"&amp;C1222&amp;D1222&amp;"_"&amp;BasicInput!$D$7&amp;BasicInput!$D$8&amp;"_"&amp;DL1222&amp;".xuf"</f>
        <v>C:\PWWORKING\east01\d2591108\Weave\__2019EX_PM_.xuf</v>
      </c>
    </row>
    <row r="1223" spans="115:117" x14ac:dyDescent="0.2">
      <c r="DK1223" s="31" t="str">
        <f t="shared" si="40"/>
        <v xml:space="preserve">  </v>
      </c>
      <c r="DL1223" s="25" t="str">
        <f t="shared" si="41"/>
        <v/>
      </c>
      <c r="DM1223" s="25" t="str">
        <f>BasicInput!$D$13&amp;$DM$2&amp;B1223&amp;"_"&amp;C1223&amp;D1223&amp;"_"&amp;BasicInput!$D$7&amp;BasicInput!$D$8&amp;"_"&amp;DL1223&amp;".xuf"</f>
        <v>C:\PWWORKING\east01\d2591108\Weave\__2019EX_PM_.xuf</v>
      </c>
    </row>
    <row r="1224" spans="115:117" x14ac:dyDescent="0.2">
      <c r="DK1224" s="31" t="str">
        <f t="shared" si="40"/>
        <v xml:space="preserve">  </v>
      </c>
      <c r="DL1224" s="25" t="str">
        <f t="shared" si="41"/>
        <v/>
      </c>
      <c r="DM1224" s="25" t="str">
        <f>BasicInput!$D$13&amp;$DM$2&amp;B1224&amp;"_"&amp;C1224&amp;D1224&amp;"_"&amp;BasicInput!$D$7&amp;BasicInput!$D$8&amp;"_"&amp;DL1224&amp;".xuf"</f>
        <v>C:\PWWORKING\east01\d2591108\Weave\__2019EX_PM_.xuf</v>
      </c>
    </row>
    <row r="1225" spans="115:117" x14ac:dyDescent="0.2">
      <c r="DK1225" s="31" t="str">
        <f t="shared" si="40"/>
        <v xml:space="preserve">  </v>
      </c>
      <c r="DL1225" s="25" t="str">
        <f t="shared" si="41"/>
        <v/>
      </c>
      <c r="DM1225" s="25" t="str">
        <f>BasicInput!$D$13&amp;$DM$2&amp;B1225&amp;"_"&amp;C1225&amp;D1225&amp;"_"&amp;BasicInput!$D$7&amp;BasicInput!$D$8&amp;"_"&amp;DL1225&amp;".xuf"</f>
        <v>C:\PWWORKING\east01\d2591108\Weave\__2019EX_PM_.xuf</v>
      </c>
    </row>
    <row r="1226" spans="115:117" x14ac:dyDescent="0.2">
      <c r="DK1226" s="31" t="str">
        <f t="shared" si="40"/>
        <v xml:space="preserve">  </v>
      </c>
      <c r="DL1226" s="25" t="str">
        <f t="shared" si="41"/>
        <v/>
      </c>
      <c r="DM1226" s="25" t="str">
        <f>BasicInput!$D$13&amp;$DM$2&amp;B1226&amp;"_"&amp;C1226&amp;D1226&amp;"_"&amp;BasicInput!$D$7&amp;BasicInput!$D$8&amp;"_"&amp;DL1226&amp;".xuf"</f>
        <v>C:\PWWORKING\east01\d2591108\Weave\__2019EX_PM_.xuf</v>
      </c>
    </row>
    <row r="1227" spans="115:117" x14ac:dyDescent="0.2">
      <c r="DK1227" s="31" t="str">
        <f t="shared" si="40"/>
        <v xml:space="preserve">  </v>
      </c>
      <c r="DL1227" s="25" t="str">
        <f t="shared" si="41"/>
        <v/>
      </c>
      <c r="DM1227" s="25" t="str">
        <f>BasicInput!$D$13&amp;$DM$2&amp;B1227&amp;"_"&amp;C1227&amp;D1227&amp;"_"&amp;BasicInput!$D$7&amp;BasicInput!$D$8&amp;"_"&amp;DL1227&amp;".xuf"</f>
        <v>C:\PWWORKING\east01\d2591108\Weave\__2019EX_PM_.xuf</v>
      </c>
    </row>
    <row r="1228" spans="115:117" x14ac:dyDescent="0.2">
      <c r="DK1228" s="31" t="str">
        <f t="shared" ref="DK1228:DK1291" si="42">C1228&amp; " "&amp;D1228&amp;" " &amp;E1228</f>
        <v xml:space="preserve">  </v>
      </c>
      <c r="DL1228" s="25" t="str">
        <f t="shared" ref="DL1228:DL1291" si="43">TRIM(LEFT(E1228, 30))</f>
        <v/>
      </c>
      <c r="DM1228" s="25" t="str">
        <f>BasicInput!$D$13&amp;$DM$2&amp;B1228&amp;"_"&amp;C1228&amp;D1228&amp;"_"&amp;BasicInput!$D$7&amp;BasicInput!$D$8&amp;"_"&amp;DL1228&amp;".xuf"</f>
        <v>C:\PWWORKING\east01\d2591108\Weave\__2019EX_PM_.xuf</v>
      </c>
    </row>
    <row r="1229" spans="115:117" x14ac:dyDescent="0.2">
      <c r="DK1229" s="31" t="str">
        <f t="shared" si="42"/>
        <v xml:space="preserve">  </v>
      </c>
      <c r="DL1229" s="25" t="str">
        <f t="shared" si="43"/>
        <v/>
      </c>
      <c r="DM1229" s="25" t="str">
        <f>BasicInput!$D$13&amp;$DM$2&amp;B1229&amp;"_"&amp;C1229&amp;D1229&amp;"_"&amp;BasicInput!$D$7&amp;BasicInput!$D$8&amp;"_"&amp;DL1229&amp;".xuf"</f>
        <v>C:\PWWORKING\east01\d2591108\Weave\__2019EX_PM_.xuf</v>
      </c>
    </row>
    <row r="1230" spans="115:117" x14ac:dyDescent="0.2">
      <c r="DK1230" s="31" t="str">
        <f t="shared" si="42"/>
        <v xml:space="preserve">  </v>
      </c>
      <c r="DL1230" s="25" t="str">
        <f t="shared" si="43"/>
        <v/>
      </c>
      <c r="DM1230" s="25" t="str">
        <f>BasicInput!$D$13&amp;$DM$2&amp;B1230&amp;"_"&amp;C1230&amp;D1230&amp;"_"&amp;BasicInput!$D$7&amp;BasicInput!$D$8&amp;"_"&amp;DL1230&amp;".xuf"</f>
        <v>C:\PWWORKING\east01\d2591108\Weave\__2019EX_PM_.xuf</v>
      </c>
    </row>
    <row r="1231" spans="115:117" x14ac:dyDescent="0.2">
      <c r="DK1231" s="31" t="str">
        <f t="shared" si="42"/>
        <v xml:space="preserve">  </v>
      </c>
      <c r="DL1231" s="25" t="str">
        <f t="shared" si="43"/>
        <v/>
      </c>
      <c r="DM1231" s="25" t="str">
        <f>BasicInput!$D$13&amp;$DM$2&amp;B1231&amp;"_"&amp;C1231&amp;D1231&amp;"_"&amp;BasicInput!$D$7&amp;BasicInput!$D$8&amp;"_"&amp;DL1231&amp;".xuf"</f>
        <v>C:\PWWORKING\east01\d2591108\Weave\__2019EX_PM_.xuf</v>
      </c>
    </row>
    <row r="1232" spans="115:117" x14ac:dyDescent="0.2">
      <c r="DK1232" s="31" t="str">
        <f t="shared" si="42"/>
        <v xml:space="preserve">  </v>
      </c>
      <c r="DL1232" s="25" t="str">
        <f t="shared" si="43"/>
        <v/>
      </c>
      <c r="DM1232" s="25" t="str">
        <f>BasicInput!$D$13&amp;$DM$2&amp;B1232&amp;"_"&amp;C1232&amp;D1232&amp;"_"&amp;BasicInput!$D$7&amp;BasicInput!$D$8&amp;"_"&amp;DL1232&amp;".xuf"</f>
        <v>C:\PWWORKING\east01\d2591108\Weave\__2019EX_PM_.xuf</v>
      </c>
    </row>
    <row r="1233" spans="115:117" x14ac:dyDescent="0.2">
      <c r="DK1233" s="31" t="str">
        <f t="shared" si="42"/>
        <v xml:space="preserve">  </v>
      </c>
      <c r="DL1233" s="25" t="str">
        <f t="shared" si="43"/>
        <v/>
      </c>
      <c r="DM1233" s="25" t="str">
        <f>BasicInput!$D$13&amp;$DM$2&amp;B1233&amp;"_"&amp;C1233&amp;D1233&amp;"_"&amp;BasicInput!$D$7&amp;BasicInput!$D$8&amp;"_"&amp;DL1233&amp;".xuf"</f>
        <v>C:\PWWORKING\east01\d2591108\Weave\__2019EX_PM_.xuf</v>
      </c>
    </row>
    <row r="1234" spans="115:117" x14ac:dyDescent="0.2">
      <c r="DK1234" s="31" t="str">
        <f t="shared" si="42"/>
        <v xml:space="preserve">  </v>
      </c>
      <c r="DL1234" s="25" t="str">
        <f t="shared" si="43"/>
        <v/>
      </c>
      <c r="DM1234" s="25" t="str">
        <f>BasicInput!$D$13&amp;$DM$2&amp;B1234&amp;"_"&amp;C1234&amp;D1234&amp;"_"&amp;BasicInput!$D$7&amp;BasicInput!$D$8&amp;"_"&amp;DL1234&amp;".xuf"</f>
        <v>C:\PWWORKING\east01\d2591108\Weave\__2019EX_PM_.xuf</v>
      </c>
    </row>
    <row r="1235" spans="115:117" x14ac:dyDescent="0.2">
      <c r="DK1235" s="31" t="str">
        <f t="shared" si="42"/>
        <v xml:space="preserve">  </v>
      </c>
      <c r="DL1235" s="25" t="str">
        <f t="shared" si="43"/>
        <v/>
      </c>
      <c r="DM1235" s="25" t="str">
        <f>BasicInput!$D$13&amp;$DM$2&amp;B1235&amp;"_"&amp;C1235&amp;D1235&amp;"_"&amp;BasicInput!$D$7&amp;BasicInput!$D$8&amp;"_"&amp;DL1235&amp;".xuf"</f>
        <v>C:\PWWORKING\east01\d2591108\Weave\__2019EX_PM_.xuf</v>
      </c>
    </row>
    <row r="1236" spans="115:117" x14ac:dyDescent="0.2">
      <c r="DK1236" s="31" t="str">
        <f t="shared" si="42"/>
        <v xml:space="preserve">  </v>
      </c>
      <c r="DL1236" s="25" t="str">
        <f t="shared" si="43"/>
        <v/>
      </c>
      <c r="DM1236" s="25" t="str">
        <f>BasicInput!$D$13&amp;$DM$2&amp;B1236&amp;"_"&amp;C1236&amp;D1236&amp;"_"&amp;BasicInput!$D$7&amp;BasicInput!$D$8&amp;"_"&amp;DL1236&amp;".xuf"</f>
        <v>C:\PWWORKING\east01\d2591108\Weave\__2019EX_PM_.xuf</v>
      </c>
    </row>
    <row r="1237" spans="115:117" x14ac:dyDescent="0.2">
      <c r="DK1237" s="31" t="str">
        <f t="shared" si="42"/>
        <v xml:space="preserve">  </v>
      </c>
      <c r="DL1237" s="25" t="str">
        <f t="shared" si="43"/>
        <v/>
      </c>
      <c r="DM1237" s="25" t="str">
        <f>BasicInput!$D$13&amp;$DM$2&amp;B1237&amp;"_"&amp;C1237&amp;D1237&amp;"_"&amp;BasicInput!$D$7&amp;BasicInput!$D$8&amp;"_"&amp;DL1237&amp;".xuf"</f>
        <v>C:\PWWORKING\east01\d2591108\Weave\__2019EX_PM_.xuf</v>
      </c>
    </row>
    <row r="1238" spans="115:117" x14ac:dyDescent="0.2">
      <c r="DK1238" s="31" t="str">
        <f t="shared" si="42"/>
        <v xml:space="preserve">  </v>
      </c>
      <c r="DL1238" s="25" t="str">
        <f t="shared" si="43"/>
        <v/>
      </c>
      <c r="DM1238" s="25" t="str">
        <f>BasicInput!$D$13&amp;$DM$2&amp;B1238&amp;"_"&amp;C1238&amp;D1238&amp;"_"&amp;BasicInput!$D$7&amp;BasicInput!$D$8&amp;"_"&amp;DL1238&amp;".xuf"</f>
        <v>C:\PWWORKING\east01\d2591108\Weave\__2019EX_PM_.xuf</v>
      </c>
    </row>
    <row r="1239" spans="115:117" x14ac:dyDescent="0.2">
      <c r="DK1239" s="31" t="str">
        <f t="shared" si="42"/>
        <v xml:space="preserve">  </v>
      </c>
      <c r="DL1239" s="25" t="str">
        <f t="shared" si="43"/>
        <v/>
      </c>
      <c r="DM1239" s="25" t="str">
        <f>BasicInput!$D$13&amp;$DM$2&amp;B1239&amp;"_"&amp;C1239&amp;D1239&amp;"_"&amp;BasicInput!$D$7&amp;BasicInput!$D$8&amp;"_"&amp;DL1239&amp;".xuf"</f>
        <v>C:\PWWORKING\east01\d2591108\Weave\__2019EX_PM_.xuf</v>
      </c>
    </row>
    <row r="1240" spans="115:117" x14ac:dyDescent="0.2">
      <c r="DK1240" s="31" t="str">
        <f t="shared" si="42"/>
        <v xml:space="preserve">  </v>
      </c>
      <c r="DL1240" s="25" t="str">
        <f t="shared" si="43"/>
        <v/>
      </c>
      <c r="DM1240" s="25" t="str">
        <f>BasicInput!$D$13&amp;$DM$2&amp;B1240&amp;"_"&amp;C1240&amp;D1240&amp;"_"&amp;BasicInput!$D$7&amp;BasicInput!$D$8&amp;"_"&amp;DL1240&amp;".xuf"</f>
        <v>C:\PWWORKING\east01\d2591108\Weave\__2019EX_PM_.xuf</v>
      </c>
    </row>
    <row r="1241" spans="115:117" x14ac:dyDescent="0.2">
      <c r="DK1241" s="31" t="str">
        <f t="shared" si="42"/>
        <v xml:space="preserve">  </v>
      </c>
      <c r="DL1241" s="25" t="str">
        <f t="shared" si="43"/>
        <v/>
      </c>
      <c r="DM1241" s="25" t="str">
        <f>BasicInput!$D$13&amp;$DM$2&amp;B1241&amp;"_"&amp;C1241&amp;D1241&amp;"_"&amp;BasicInput!$D$7&amp;BasicInput!$D$8&amp;"_"&amp;DL1241&amp;".xuf"</f>
        <v>C:\PWWORKING\east01\d2591108\Weave\__2019EX_PM_.xuf</v>
      </c>
    </row>
    <row r="1242" spans="115:117" x14ac:dyDescent="0.2">
      <c r="DK1242" s="31" t="str">
        <f t="shared" si="42"/>
        <v xml:space="preserve">  </v>
      </c>
      <c r="DL1242" s="25" t="str">
        <f t="shared" si="43"/>
        <v/>
      </c>
      <c r="DM1242" s="25" t="str">
        <f>BasicInput!$D$13&amp;$DM$2&amp;B1242&amp;"_"&amp;C1242&amp;D1242&amp;"_"&amp;BasicInput!$D$7&amp;BasicInput!$D$8&amp;"_"&amp;DL1242&amp;".xuf"</f>
        <v>C:\PWWORKING\east01\d2591108\Weave\__2019EX_PM_.xuf</v>
      </c>
    </row>
    <row r="1243" spans="115:117" x14ac:dyDescent="0.2">
      <c r="DK1243" s="31" t="str">
        <f t="shared" si="42"/>
        <v xml:space="preserve">  </v>
      </c>
      <c r="DL1243" s="25" t="str">
        <f t="shared" si="43"/>
        <v/>
      </c>
      <c r="DM1243" s="25" t="str">
        <f>BasicInput!$D$13&amp;$DM$2&amp;B1243&amp;"_"&amp;C1243&amp;D1243&amp;"_"&amp;BasicInput!$D$7&amp;BasicInput!$D$8&amp;"_"&amp;DL1243&amp;".xuf"</f>
        <v>C:\PWWORKING\east01\d2591108\Weave\__2019EX_PM_.xuf</v>
      </c>
    </row>
    <row r="1244" spans="115:117" x14ac:dyDescent="0.2">
      <c r="DK1244" s="31" t="str">
        <f t="shared" si="42"/>
        <v xml:space="preserve">  </v>
      </c>
      <c r="DL1244" s="25" t="str">
        <f t="shared" si="43"/>
        <v/>
      </c>
      <c r="DM1244" s="25" t="str">
        <f>BasicInput!$D$13&amp;$DM$2&amp;B1244&amp;"_"&amp;C1244&amp;D1244&amp;"_"&amp;BasicInput!$D$7&amp;BasicInput!$D$8&amp;"_"&amp;DL1244&amp;".xuf"</f>
        <v>C:\PWWORKING\east01\d2591108\Weave\__2019EX_PM_.xuf</v>
      </c>
    </row>
    <row r="1245" spans="115:117" x14ac:dyDescent="0.2">
      <c r="DK1245" s="31" t="str">
        <f t="shared" si="42"/>
        <v xml:space="preserve">  </v>
      </c>
      <c r="DL1245" s="25" t="str">
        <f t="shared" si="43"/>
        <v/>
      </c>
      <c r="DM1245" s="25" t="str">
        <f>BasicInput!$D$13&amp;$DM$2&amp;B1245&amp;"_"&amp;C1245&amp;D1245&amp;"_"&amp;BasicInput!$D$7&amp;BasicInput!$D$8&amp;"_"&amp;DL1245&amp;".xuf"</f>
        <v>C:\PWWORKING\east01\d2591108\Weave\__2019EX_PM_.xuf</v>
      </c>
    </row>
    <row r="1246" spans="115:117" x14ac:dyDescent="0.2">
      <c r="DK1246" s="31" t="str">
        <f t="shared" si="42"/>
        <v xml:space="preserve">  </v>
      </c>
      <c r="DL1246" s="25" t="str">
        <f t="shared" si="43"/>
        <v/>
      </c>
      <c r="DM1246" s="25" t="str">
        <f>BasicInput!$D$13&amp;$DM$2&amp;B1246&amp;"_"&amp;C1246&amp;D1246&amp;"_"&amp;BasicInput!$D$7&amp;BasicInput!$D$8&amp;"_"&amp;DL1246&amp;".xuf"</f>
        <v>C:\PWWORKING\east01\d2591108\Weave\__2019EX_PM_.xuf</v>
      </c>
    </row>
    <row r="1247" spans="115:117" x14ac:dyDescent="0.2">
      <c r="DK1247" s="31" t="str">
        <f t="shared" si="42"/>
        <v xml:space="preserve">  </v>
      </c>
      <c r="DL1247" s="25" t="str">
        <f t="shared" si="43"/>
        <v/>
      </c>
      <c r="DM1247" s="25" t="str">
        <f>BasicInput!$D$13&amp;$DM$2&amp;B1247&amp;"_"&amp;C1247&amp;D1247&amp;"_"&amp;BasicInput!$D$7&amp;BasicInput!$D$8&amp;"_"&amp;DL1247&amp;".xuf"</f>
        <v>C:\PWWORKING\east01\d2591108\Weave\__2019EX_PM_.xuf</v>
      </c>
    </row>
    <row r="1248" spans="115:117" x14ac:dyDescent="0.2">
      <c r="DK1248" s="31" t="str">
        <f t="shared" si="42"/>
        <v xml:space="preserve">  </v>
      </c>
      <c r="DL1248" s="25" t="str">
        <f t="shared" si="43"/>
        <v/>
      </c>
      <c r="DM1248" s="25" t="str">
        <f>BasicInput!$D$13&amp;$DM$2&amp;B1248&amp;"_"&amp;C1248&amp;D1248&amp;"_"&amp;BasicInput!$D$7&amp;BasicInput!$D$8&amp;"_"&amp;DL1248&amp;".xuf"</f>
        <v>C:\PWWORKING\east01\d2591108\Weave\__2019EX_PM_.xuf</v>
      </c>
    </row>
    <row r="1249" spans="115:117" x14ac:dyDescent="0.2">
      <c r="DK1249" s="31" t="str">
        <f t="shared" si="42"/>
        <v xml:space="preserve">  </v>
      </c>
      <c r="DL1249" s="25" t="str">
        <f t="shared" si="43"/>
        <v/>
      </c>
      <c r="DM1249" s="25" t="str">
        <f>BasicInput!$D$13&amp;$DM$2&amp;B1249&amp;"_"&amp;C1249&amp;D1249&amp;"_"&amp;BasicInput!$D$7&amp;BasicInput!$D$8&amp;"_"&amp;DL1249&amp;".xuf"</f>
        <v>C:\PWWORKING\east01\d2591108\Weave\__2019EX_PM_.xuf</v>
      </c>
    </row>
    <row r="1250" spans="115:117" x14ac:dyDescent="0.2">
      <c r="DK1250" s="31" t="str">
        <f t="shared" si="42"/>
        <v xml:space="preserve">  </v>
      </c>
      <c r="DL1250" s="25" t="str">
        <f t="shared" si="43"/>
        <v/>
      </c>
      <c r="DM1250" s="25" t="str">
        <f>BasicInput!$D$13&amp;$DM$2&amp;B1250&amp;"_"&amp;C1250&amp;D1250&amp;"_"&amp;BasicInput!$D$7&amp;BasicInput!$D$8&amp;"_"&amp;DL1250&amp;".xuf"</f>
        <v>C:\PWWORKING\east01\d2591108\Weave\__2019EX_PM_.xuf</v>
      </c>
    </row>
    <row r="1251" spans="115:117" x14ac:dyDescent="0.2">
      <c r="DK1251" s="31" t="str">
        <f t="shared" si="42"/>
        <v xml:space="preserve">  </v>
      </c>
      <c r="DL1251" s="25" t="str">
        <f t="shared" si="43"/>
        <v/>
      </c>
      <c r="DM1251" s="25" t="str">
        <f>BasicInput!$D$13&amp;$DM$2&amp;B1251&amp;"_"&amp;C1251&amp;D1251&amp;"_"&amp;BasicInput!$D$7&amp;BasicInput!$D$8&amp;"_"&amp;DL1251&amp;".xuf"</f>
        <v>C:\PWWORKING\east01\d2591108\Weave\__2019EX_PM_.xuf</v>
      </c>
    </row>
    <row r="1252" spans="115:117" x14ac:dyDescent="0.2">
      <c r="DK1252" s="31" t="str">
        <f t="shared" si="42"/>
        <v xml:space="preserve">  </v>
      </c>
      <c r="DL1252" s="25" t="str">
        <f t="shared" si="43"/>
        <v/>
      </c>
      <c r="DM1252" s="25" t="str">
        <f>BasicInput!$D$13&amp;$DM$2&amp;B1252&amp;"_"&amp;C1252&amp;D1252&amp;"_"&amp;BasicInput!$D$7&amp;BasicInput!$D$8&amp;"_"&amp;DL1252&amp;".xuf"</f>
        <v>C:\PWWORKING\east01\d2591108\Weave\__2019EX_PM_.xuf</v>
      </c>
    </row>
    <row r="1253" spans="115:117" x14ac:dyDescent="0.2">
      <c r="DK1253" s="31" t="str">
        <f t="shared" si="42"/>
        <v xml:space="preserve">  </v>
      </c>
      <c r="DL1253" s="25" t="str">
        <f t="shared" si="43"/>
        <v/>
      </c>
      <c r="DM1253" s="25" t="str">
        <f>BasicInput!$D$13&amp;$DM$2&amp;B1253&amp;"_"&amp;C1253&amp;D1253&amp;"_"&amp;BasicInput!$D$7&amp;BasicInput!$D$8&amp;"_"&amp;DL1253&amp;".xuf"</f>
        <v>C:\PWWORKING\east01\d2591108\Weave\__2019EX_PM_.xuf</v>
      </c>
    </row>
    <row r="1254" spans="115:117" x14ac:dyDescent="0.2">
      <c r="DK1254" s="31" t="str">
        <f t="shared" si="42"/>
        <v xml:space="preserve">  </v>
      </c>
      <c r="DL1254" s="25" t="str">
        <f t="shared" si="43"/>
        <v/>
      </c>
      <c r="DM1254" s="25" t="str">
        <f>BasicInput!$D$13&amp;$DM$2&amp;B1254&amp;"_"&amp;C1254&amp;D1254&amp;"_"&amp;BasicInput!$D$7&amp;BasicInput!$D$8&amp;"_"&amp;DL1254&amp;".xuf"</f>
        <v>C:\PWWORKING\east01\d2591108\Weave\__2019EX_PM_.xuf</v>
      </c>
    </row>
    <row r="1255" spans="115:117" x14ac:dyDescent="0.2">
      <c r="DK1255" s="31" t="str">
        <f t="shared" si="42"/>
        <v xml:space="preserve">  </v>
      </c>
      <c r="DL1255" s="25" t="str">
        <f t="shared" si="43"/>
        <v/>
      </c>
      <c r="DM1255" s="25" t="str">
        <f>BasicInput!$D$13&amp;$DM$2&amp;B1255&amp;"_"&amp;C1255&amp;D1255&amp;"_"&amp;BasicInput!$D$7&amp;BasicInput!$D$8&amp;"_"&amp;DL1255&amp;".xuf"</f>
        <v>C:\PWWORKING\east01\d2591108\Weave\__2019EX_PM_.xuf</v>
      </c>
    </row>
    <row r="1256" spans="115:117" x14ac:dyDescent="0.2">
      <c r="DK1256" s="31" t="str">
        <f t="shared" si="42"/>
        <v xml:space="preserve">  </v>
      </c>
      <c r="DL1256" s="25" t="str">
        <f t="shared" si="43"/>
        <v/>
      </c>
      <c r="DM1256" s="25" t="str">
        <f>BasicInput!$D$13&amp;$DM$2&amp;B1256&amp;"_"&amp;C1256&amp;D1256&amp;"_"&amp;BasicInput!$D$7&amp;BasicInput!$D$8&amp;"_"&amp;DL1256&amp;".xuf"</f>
        <v>C:\PWWORKING\east01\d2591108\Weave\__2019EX_PM_.xuf</v>
      </c>
    </row>
    <row r="1257" spans="115:117" x14ac:dyDescent="0.2">
      <c r="DK1257" s="31" t="str">
        <f t="shared" si="42"/>
        <v xml:space="preserve">  </v>
      </c>
      <c r="DL1257" s="25" t="str">
        <f t="shared" si="43"/>
        <v/>
      </c>
      <c r="DM1257" s="25" t="str">
        <f>BasicInput!$D$13&amp;$DM$2&amp;B1257&amp;"_"&amp;C1257&amp;D1257&amp;"_"&amp;BasicInput!$D$7&amp;BasicInput!$D$8&amp;"_"&amp;DL1257&amp;".xuf"</f>
        <v>C:\PWWORKING\east01\d2591108\Weave\__2019EX_PM_.xuf</v>
      </c>
    </row>
    <row r="1258" spans="115:117" x14ac:dyDescent="0.2">
      <c r="DK1258" s="31" t="str">
        <f t="shared" si="42"/>
        <v xml:space="preserve">  </v>
      </c>
      <c r="DL1258" s="25" t="str">
        <f t="shared" si="43"/>
        <v/>
      </c>
      <c r="DM1258" s="25" t="str">
        <f>BasicInput!$D$13&amp;$DM$2&amp;B1258&amp;"_"&amp;C1258&amp;D1258&amp;"_"&amp;BasicInput!$D$7&amp;BasicInput!$D$8&amp;"_"&amp;DL1258&amp;".xuf"</f>
        <v>C:\PWWORKING\east01\d2591108\Weave\__2019EX_PM_.xuf</v>
      </c>
    </row>
    <row r="1259" spans="115:117" x14ac:dyDescent="0.2">
      <c r="DK1259" s="31" t="str">
        <f t="shared" si="42"/>
        <v xml:space="preserve">  </v>
      </c>
      <c r="DL1259" s="25" t="str">
        <f t="shared" si="43"/>
        <v/>
      </c>
      <c r="DM1259" s="25" t="str">
        <f>BasicInput!$D$13&amp;$DM$2&amp;B1259&amp;"_"&amp;C1259&amp;D1259&amp;"_"&amp;BasicInput!$D$7&amp;BasicInput!$D$8&amp;"_"&amp;DL1259&amp;".xuf"</f>
        <v>C:\PWWORKING\east01\d2591108\Weave\__2019EX_PM_.xuf</v>
      </c>
    </row>
    <row r="1260" spans="115:117" x14ac:dyDescent="0.2">
      <c r="DK1260" s="31" t="str">
        <f t="shared" si="42"/>
        <v xml:space="preserve">  </v>
      </c>
      <c r="DL1260" s="25" t="str">
        <f t="shared" si="43"/>
        <v/>
      </c>
      <c r="DM1260" s="25" t="str">
        <f>BasicInput!$D$13&amp;$DM$2&amp;B1260&amp;"_"&amp;C1260&amp;D1260&amp;"_"&amp;BasicInput!$D$7&amp;BasicInput!$D$8&amp;"_"&amp;DL1260&amp;".xuf"</f>
        <v>C:\PWWORKING\east01\d2591108\Weave\__2019EX_PM_.xuf</v>
      </c>
    </row>
    <row r="1261" spans="115:117" x14ac:dyDescent="0.2">
      <c r="DK1261" s="31" t="str">
        <f t="shared" si="42"/>
        <v xml:space="preserve">  </v>
      </c>
      <c r="DL1261" s="25" t="str">
        <f t="shared" si="43"/>
        <v/>
      </c>
      <c r="DM1261" s="25" t="str">
        <f>BasicInput!$D$13&amp;$DM$2&amp;B1261&amp;"_"&amp;C1261&amp;D1261&amp;"_"&amp;BasicInput!$D$7&amp;BasicInput!$D$8&amp;"_"&amp;DL1261&amp;".xuf"</f>
        <v>C:\PWWORKING\east01\d2591108\Weave\__2019EX_PM_.xuf</v>
      </c>
    </row>
    <row r="1262" spans="115:117" x14ac:dyDescent="0.2">
      <c r="DK1262" s="31" t="str">
        <f t="shared" si="42"/>
        <v xml:space="preserve">  </v>
      </c>
      <c r="DL1262" s="25" t="str">
        <f t="shared" si="43"/>
        <v/>
      </c>
      <c r="DM1262" s="25" t="str">
        <f>BasicInput!$D$13&amp;$DM$2&amp;B1262&amp;"_"&amp;C1262&amp;D1262&amp;"_"&amp;BasicInput!$D$7&amp;BasicInput!$D$8&amp;"_"&amp;DL1262&amp;".xuf"</f>
        <v>C:\PWWORKING\east01\d2591108\Weave\__2019EX_PM_.xuf</v>
      </c>
    </row>
    <row r="1263" spans="115:117" x14ac:dyDescent="0.2">
      <c r="DK1263" s="31" t="str">
        <f t="shared" si="42"/>
        <v xml:space="preserve">  </v>
      </c>
      <c r="DL1263" s="25" t="str">
        <f t="shared" si="43"/>
        <v/>
      </c>
      <c r="DM1263" s="25" t="str">
        <f>BasicInput!$D$13&amp;$DM$2&amp;B1263&amp;"_"&amp;C1263&amp;D1263&amp;"_"&amp;BasicInput!$D$7&amp;BasicInput!$D$8&amp;"_"&amp;DL1263&amp;".xuf"</f>
        <v>C:\PWWORKING\east01\d2591108\Weave\__2019EX_PM_.xuf</v>
      </c>
    </row>
    <row r="1264" spans="115:117" x14ac:dyDescent="0.2">
      <c r="DK1264" s="31" t="str">
        <f t="shared" si="42"/>
        <v xml:space="preserve">  </v>
      </c>
      <c r="DL1264" s="25" t="str">
        <f t="shared" si="43"/>
        <v/>
      </c>
      <c r="DM1264" s="25" t="str">
        <f>BasicInput!$D$13&amp;$DM$2&amp;B1264&amp;"_"&amp;C1264&amp;D1264&amp;"_"&amp;BasicInput!$D$7&amp;BasicInput!$D$8&amp;"_"&amp;DL1264&amp;".xuf"</f>
        <v>C:\PWWORKING\east01\d2591108\Weave\__2019EX_PM_.xuf</v>
      </c>
    </row>
    <row r="1265" spans="115:117" x14ac:dyDescent="0.2">
      <c r="DK1265" s="31" t="str">
        <f t="shared" si="42"/>
        <v xml:space="preserve">  </v>
      </c>
      <c r="DL1265" s="25" t="str">
        <f t="shared" si="43"/>
        <v/>
      </c>
      <c r="DM1265" s="25" t="str">
        <f>BasicInput!$D$13&amp;$DM$2&amp;B1265&amp;"_"&amp;C1265&amp;D1265&amp;"_"&amp;BasicInput!$D$7&amp;BasicInput!$D$8&amp;"_"&amp;DL1265&amp;".xuf"</f>
        <v>C:\PWWORKING\east01\d2591108\Weave\__2019EX_PM_.xuf</v>
      </c>
    </row>
    <row r="1266" spans="115:117" x14ac:dyDescent="0.2">
      <c r="DK1266" s="31" t="str">
        <f t="shared" si="42"/>
        <v xml:space="preserve">  </v>
      </c>
      <c r="DL1266" s="25" t="str">
        <f t="shared" si="43"/>
        <v/>
      </c>
      <c r="DM1266" s="25" t="str">
        <f>BasicInput!$D$13&amp;$DM$2&amp;B1266&amp;"_"&amp;C1266&amp;D1266&amp;"_"&amp;BasicInput!$D$7&amp;BasicInput!$D$8&amp;"_"&amp;DL1266&amp;".xuf"</f>
        <v>C:\PWWORKING\east01\d2591108\Weave\__2019EX_PM_.xuf</v>
      </c>
    </row>
    <row r="1267" spans="115:117" x14ac:dyDescent="0.2">
      <c r="DK1267" s="31" t="str">
        <f t="shared" si="42"/>
        <v xml:space="preserve">  </v>
      </c>
      <c r="DL1267" s="25" t="str">
        <f t="shared" si="43"/>
        <v/>
      </c>
      <c r="DM1267" s="25" t="str">
        <f>BasicInput!$D$13&amp;$DM$2&amp;B1267&amp;"_"&amp;C1267&amp;D1267&amp;"_"&amp;BasicInput!$D$7&amp;BasicInput!$D$8&amp;"_"&amp;DL1267&amp;".xuf"</f>
        <v>C:\PWWORKING\east01\d2591108\Weave\__2019EX_PM_.xuf</v>
      </c>
    </row>
    <row r="1268" spans="115:117" x14ac:dyDescent="0.2">
      <c r="DK1268" s="31" t="str">
        <f t="shared" si="42"/>
        <v xml:space="preserve">  </v>
      </c>
      <c r="DL1268" s="25" t="str">
        <f t="shared" si="43"/>
        <v/>
      </c>
      <c r="DM1268" s="25" t="str">
        <f>BasicInput!$D$13&amp;$DM$2&amp;B1268&amp;"_"&amp;C1268&amp;D1268&amp;"_"&amp;BasicInput!$D$7&amp;BasicInput!$D$8&amp;"_"&amp;DL1268&amp;".xuf"</f>
        <v>C:\PWWORKING\east01\d2591108\Weave\__2019EX_PM_.xuf</v>
      </c>
    </row>
    <row r="1269" spans="115:117" x14ac:dyDescent="0.2">
      <c r="DK1269" s="31" t="str">
        <f t="shared" si="42"/>
        <v xml:space="preserve">  </v>
      </c>
      <c r="DL1269" s="25" t="str">
        <f t="shared" si="43"/>
        <v/>
      </c>
      <c r="DM1269" s="25" t="str">
        <f>BasicInput!$D$13&amp;$DM$2&amp;B1269&amp;"_"&amp;C1269&amp;D1269&amp;"_"&amp;BasicInput!$D$7&amp;BasicInput!$D$8&amp;"_"&amp;DL1269&amp;".xuf"</f>
        <v>C:\PWWORKING\east01\d2591108\Weave\__2019EX_PM_.xuf</v>
      </c>
    </row>
    <row r="1270" spans="115:117" x14ac:dyDescent="0.2">
      <c r="DK1270" s="31" t="str">
        <f t="shared" si="42"/>
        <v xml:space="preserve">  </v>
      </c>
      <c r="DL1270" s="25" t="str">
        <f t="shared" si="43"/>
        <v/>
      </c>
      <c r="DM1270" s="25" t="str">
        <f>BasicInput!$D$13&amp;$DM$2&amp;B1270&amp;"_"&amp;C1270&amp;D1270&amp;"_"&amp;BasicInput!$D$7&amp;BasicInput!$D$8&amp;"_"&amp;DL1270&amp;".xuf"</f>
        <v>C:\PWWORKING\east01\d2591108\Weave\__2019EX_PM_.xuf</v>
      </c>
    </row>
    <row r="1271" spans="115:117" x14ac:dyDescent="0.2">
      <c r="DK1271" s="31" t="str">
        <f t="shared" si="42"/>
        <v xml:space="preserve">  </v>
      </c>
      <c r="DL1271" s="25" t="str">
        <f t="shared" si="43"/>
        <v/>
      </c>
      <c r="DM1271" s="25" t="str">
        <f>BasicInput!$D$13&amp;$DM$2&amp;B1271&amp;"_"&amp;C1271&amp;D1271&amp;"_"&amp;BasicInput!$D$7&amp;BasicInput!$D$8&amp;"_"&amp;DL1271&amp;".xuf"</f>
        <v>C:\PWWORKING\east01\d2591108\Weave\__2019EX_PM_.xuf</v>
      </c>
    </row>
    <row r="1272" spans="115:117" x14ac:dyDescent="0.2">
      <c r="DK1272" s="31" t="str">
        <f t="shared" si="42"/>
        <v xml:space="preserve">  </v>
      </c>
      <c r="DL1272" s="25" t="str">
        <f t="shared" si="43"/>
        <v/>
      </c>
      <c r="DM1272" s="25" t="str">
        <f>BasicInput!$D$13&amp;$DM$2&amp;B1272&amp;"_"&amp;C1272&amp;D1272&amp;"_"&amp;BasicInput!$D$7&amp;BasicInput!$D$8&amp;"_"&amp;DL1272&amp;".xuf"</f>
        <v>C:\PWWORKING\east01\d2591108\Weave\__2019EX_PM_.xuf</v>
      </c>
    </row>
    <row r="1273" spans="115:117" x14ac:dyDescent="0.2">
      <c r="DK1273" s="31" t="str">
        <f t="shared" si="42"/>
        <v xml:space="preserve">  </v>
      </c>
      <c r="DL1273" s="25" t="str">
        <f t="shared" si="43"/>
        <v/>
      </c>
      <c r="DM1273" s="25" t="str">
        <f>BasicInput!$D$13&amp;$DM$2&amp;B1273&amp;"_"&amp;C1273&amp;D1273&amp;"_"&amp;BasicInput!$D$7&amp;BasicInput!$D$8&amp;"_"&amp;DL1273&amp;".xuf"</f>
        <v>C:\PWWORKING\east01\d2591108\Weave\__2019EX_PM_.xuf</v>
      </c>
    </row>
    <row r="1274" spans="115:117" x14ac:dyDescent="0.2">
      <c r="DK1274" s="31" t="str">
        <f t="shared" si="42"/>
        <v xml:space="preserve">  </v>
      </c>
      <c r="DL1274" s="25" t="str">
        <f t="shared" si="43"/>
        <v/>
      </c>
      <c r="DM1274" s="25" t="str">
        <f>BasicInput!$D$13&amp;$DM$2&amp;B1274&amp;"_"&amp;C1274&amp;D1274&amp;"_"&amp;BasicInput!$D$7&amp;BasicInput!$D$8&amp;"_"&amp;DL1274&amp;".xuf"</f>
        <v>C:\PWWORKING\east01\d2591108\Weave\__2019EX_PM_.xuf</v>
      </c>
    </row>
    <row r="1275" spans="115:117" x14ac:dyDescent="0.2">
      <c r="DK1275" s="31" t="str">
        <f t="shared" si="42"/>
        <v xml:space="preserve">  </v>
      </c>
      <c r="DL1275" s="25" t="str">
        <f t="shared" si="43"/>
        <v/>
      </c>
      <c r="DM1275" s="25" t="str">
        <f>BasicInput!$D$13&amp;$DM$2&amp;B1275&amp;"_"&amp;C1275&amp;D1275&amp;"_"&amp;BasicInput!$D$7&amp;BasicInput!$D$8&amp;"_"&amp;DL1275&amp;".xuf"</f>
        <v>C:\PWWORKING\east01\d2591108\Weave\__2019EX_PM_.xuf</v>
      </c>
    </row>
    <row r="1276" spans="115:117" x14ac:dyDescent="0.2">
      <c r="DK1276" s="31" t="str">
        <f t="shared" si="42"/>
        <v xml:space="preserve">  </v>
      </c>
      <c r="DL1276" s="25" t="str">
        <f t="shared" si="43"/>
        <v/>
      </c>
      <c r="DM1276" s="25" t="str">
        <f>BasicInput!$D$13&amp;$DM$2&amp;B1276&amp;"_"&amp;C1276&amp;D1276&amp;"_"&amp;BasicInput!$D$7&amp;BasicInput!$D$8&amp;"_"&amp;DL1276&amp;".xuf"</f>
        <v>C:\PWWORKING\east01\d2591108\Weave\__2019EX_PM_.xuf</v>
      </c>
    </row>
    <row r="1277" spans="115:117" x14ac:dyDescent="0.2">
      <c r="DK1277" s="31" t="str">
        <f t="shared" si="42"/>
        <v xml:space="preserve">  </v>
      </c>
      <c r="DL1277" s="25" t="str">
        <f t="shared" si="43"/>
        <v/>
      </c>
      <c r="DM1277" s="25" t="str">
        <f>BasicInput!$D$13&amp;$DM$2&amp;B1277&amp;"_"&amp;C1277&amp;D1277&amp;"_"&amp;BasicInput!$D$7&amp;BasicInput!$D$8&amp;"_"&amp;DL1277&amp;".xuf"</f>
        <v>C:\PWWORKING\east01\d2591108\Weave\__2019EX_PM_.xuf</v>
      </c>
    </row>
    <row r="1278" spans="115:117" x14ac:dyDescent="0.2">
      <c r="DK1278" s="31" t="str">
        <f t="shared" si="42"/>
        <v xml:space="preserve">  </v>
      </c>
      <c r="DL1278" s="25" t="str">
        <f t="shared" si="43"/>
        <v/>
      </c>
      <c r="DM1278" s="25" t="str">
        <f>BasicInput!$D$13&amp;$DM$2&amp;B1278&amp;"_"&amp;C1278&amp;D1278&amp;"_"&amp;BasicInput!$D$7&amp;BasicInput!$D$8&amp;"_"&amp;DL1278&amp;".xuf"</f>
        <v>C:\PWWORKING\east01\d2591108\Weave\__2019EX_PM_.xuf</v>
      </c>
    </row>
    <row r="1279" spans="115:117" x14ac:dyDescent="0.2">
      <c r="DK1279" s="31" t="str">
        <f t="shared" si="42"/>
        <v xml:space="preserve">  </v>
      </c>
      <c r="DL1279" s="25" t="str">
        <f t="shared" si="43"/>
        <v/>
      </c>
      <c r="DM1279" s="25" t="str">
        <f>BasicInput!$D$13&amp;$DM$2&amp;B1279&amp;"_"&amp;C1279&amp;D1279&amp;"_"&amp;BasicInput!$D$7&amp;BasicInput!$D$8&amp;"_"&amp;DL1279&amp;".xuf"</f>
        <v>C:\PWWORKING\east01\d2591108\Weave\__2019EX_PM_.xuf</v>
      </c>
    </row>
    <row r="1280" spans="115:117" x14ac:dyDescent="0.2">
      <c r="DK1280" s="31" t="str">
        <f t="shared" si="42"/>
        <v xml:space="preserve">  </v>
      </c>
      <c r="DL1280" s="25" t="str">
        <f t="shared" si="43"/>
        <v/>
      </c>
      <c r="DM1280" s="25" t="str">
        <f>BasicInput!$D$13&amp;$DM$2&amp;B1280&amp;"_"&amp;C1280&amp;D1280&amp;"_"&amp;BasicInput!$D$7&amp;BasicInput!$D$8&amp;"_"&amp;DL1280&amp;".xuf"</f>
        <v>C:\PWWORKING\east01\d2591108\Weave\__2019EX_PM_.xuf</v>
      </c>
    </row>
    <row r="1281" spans="115:117" x14ac:dyDescent="0.2">
      <c r="DK1281" s="31" t="str">
        <f t="shared" si="42"/>
        <v xml:space="preserve">  </v>
      </c>
      <c r="DL1281" s="25" t="str">
        <f t="shared" si="43"/>
        <v/>
      </c>
      <c r="DM1281" s="25" t="str">
        <f>BasicInput!$D$13&amp;$DM$2&amp;B1281&amp;"_"&amp;C1281&amp;D1281&amp;"_"&amp;BasicInput!$D$7&amp;BasicInput!$D$8&amp;"_"&amp;DL1281&amp;".xuf"</f>
        <v>C:\PWWORKING\east01\d2591108\Weave\__2019EX_PM_.xuf</v>
      </c>
    </row>
    <row r="1282" spans="115:117" x14ac:dyDescent="0.2">
      <c r="DK1282" s="31" t="str">
        <f t="shared" si="42"/>
        <v xml:space="preserve">  </v>
      </c>
      <c r="DL1282" s="25" t="str">
        <f t="shared" si="43"/>
        <v/>
      </c>
      <c r="DM1282" s="25" t="str">
        <f>BasicInput!$D$13&amp;$DM$2&amp;B1282&amp;"_"&amp;C1282&amp;D1282&amp;"_"&amp;BasicInput!$D$7&amp;BasicInput!$D$8&amp;"_"&amp;DL1282&amp;".xuf"</f>
        <v>C:\PWWORKING\east01\d2591108\Weave\__2019EX_PM_.xuf</v>
      </c>
    </row>
    <row r="1283" spans="115:117" x14ac:dyDescent="0.2">
      <c r="DK1283" s="31" t="str">
        <f t="shared" si="42"/>
        <v xml:space="preserve">  </v>
      </c>
      <c r="DL1283" s="25" t="str">
        <f t="shared" si="43"/>
        <v/>
      </c>
      <c r="DM1283" s="25" t="str">
        <f>BasicInput!$D$13&amp;$DM$2&amp;B1283&amp;"_"&amp;C1283&amp;D1283&amp;"_"&amp;BasicInput!$D$7&amp;BasicInput!$D$8&amp;"_"&amp;DL1283&amp;".xuf"</f>
        <v>C:\PWWORKING\east01\d2591108\Weave\__2019EX_PM_.xuf</v>
      </c>
    </row>
    <row r="1284" spans="115:117" x14ac:dyDescent="0.2">
      <c r="DK1284" s="31" t="str">
        <f t="shared" si="42"/>
        <v xml:space="preserve">  </v>
      </c>
      <c r="DL1284" s="25" t="str">
        <f t="shared" si="43"/>
        <v/>
      </c>
      <c r="DM1284" s="25" t="str">
        <f>BasicInput!$D$13&amp;$DM$2&amp;B1284&amp;"_"&amp;C1284&amp;D1284&amp;"_"&amp;BasicInput!$D$7&amp;BasicInput!$D$8&amp;"_"&amp;DL1284&amp;".xuf"</f>
        <v>C:\PWWORKING\east01\d2591108\Weave\__2019EX_PM_.xuf</v>
      </c>
    </row>
    <row r="1285" spans="115:117" x14ac:dyDescent="0.2">
      <c r="DK1285" s="31" t="str">
        <f t="shared" si="42"/>
        <v xml:space="preserve">  </v>
      </c>
      <c r="DL1285" s="25" t="str">
        <f t="shared" si="43"/>
        <v/>
      </c>
      <c r="DM1285" s="25" t="str">
        <f>BasicInput!$D$13&amp;$DM$2&amp;B1285&amp;"_"&amp;C1285&amp;D1285&amp;"_"&amp;BasicInput!$D$7&amp;BasicInput!$D$8&amp;"_"&amp;DL1285&amp;".xuf"</f>
        <v>C:\PWWORKING\east01\d2591108\Weave\__2019EX_PM_.xuf</v>
      </c>
    </row>
    <row r="1286" spans="115:117" x14ac:dyDescent="0.2">
      <c r="DK1286" s="31" t="str">
        <f t="shared" si="42"/>
        <v xml:space="preserve">  </v>
      </c>
      <c r="DL1286" s="25" t="str">
        <f t="shared" si="43"/>
        <v/>
      </c>
      <c r="DM1286" s="25" t="str">
        <f>BasicInput!$D$13&amp;$DM$2&amp;B1286&amp;"_"&amp;C1286&amp;D1286&amp;"_"&amp;BasicInput!$D$7&amp;BasicInput!$D$8&amp;"_"&amp;DL1286&amp;".xuf"</f>
        <v>C:\PWWORKING\east01\d2591108\Weave\__2019EX_PM_.xuf</v>
      </c>
    </row>
    <row r="1287" spans="115:117" x14ac:dyDescent="0.2">
      <c r="DK1287" s="31" t="str">
        <f t="shared" si="42"/>
        <v xml:space="preserve">  </v>
      </c>
      <c r="DL1287" s="25" t="str">
        <f t="shared" si="43"/>
        <v/>
      </c>
      <c r="DM1287" s="25" t="str">
        <f>BasicInput!$D$13&amp;$DM$2&amp;B1287&amp;"_"&amp;C1287&amp;D1287&amp;"_"&amp;BasicInput!$D$7&amp;BasicInput!$D$8&amp;"_"&amp;DL1287&amp;".xuf"</f>
        <v>C:\PWWORKING\east01\d2591108\Weave\__2019EX_PM_.xuf</v>
      </c>
    </row>
    <row r="1288" spans="115:117" x14ac:dyDescent="0.2">
      <c r="DK1288" s="31" t="str">
        <f t="shared" si="42"/>
        <v xml:space="preserve">  </v>
      </c>
      <c r="DL1288" s="25" t="str">
        <f t="shared" si="43"/>
        <v/>
      </c>
      <c r="DM1288" s="25" t="str">
        <f>BasicInput!$D$13&amp;$DM$2&amp;B1288&amp;"_"&amp;C1288&amp;D1288&amp;"_"&amp;BasicInput!$D$7&amp;BasicInput!$D$8&amp;"_"&amp;DL1288&amp;".xuf"</f>
        <v>C:\PWWORKING\east01\d2591108\Weave\__2019EX_PM_.xuf</v>
      </c>
    </row>
    <row r="1289" spans="115:117" x14ac:dyDescent="0.2">
      <c r="DK1289" s="31" t="str">
        <f t="shared" si="42"/>
        <v xml:space="preserve">  </v>
      </c>
      <c r="DL1289" s="25" t="str">
        <f t="shared" si="43"/>
        <v/>
      </c>
      <c r="DM1289" s="25" t="str">
        <f>BasicInput!$D$13&amp;$DM$2&amp;B1289&amp;"_"&amp;C1289&amp;D1289&amp;"_"&amp;BasicInput!$D$7&amp;BasicInput!$D$8&amp;"_"&amp;DL1289&amp;".xuf"</f>
        <v>C:\PWWORKING\east01\d2591108\Weave\__2019EX_PM_.xuf</v>
      </c>
    </row>
    <row r="1290" spans="115:117" x14ac:dyDescent="0.2">
      <c r="DK1290" s="31" t="str">
        <f t="shared" si="42"/>
        <v xml:space="preserve">  </v>
      </c>
      <c r="DL1290" s="25" t="str">
        <f t="shared" si="43"/>
        <v/>
      </c>
      <c r="DM1290" s="25" t="str">
        <f>BasicInput!$D$13&amp;$DM$2&amp;B1290&amp;"_"&amp;C1290&amp;D1290&amp;"_"&amp;BasicInput!$D$7&amp;BasicInput!$D$8&amp;"_"&amp;DL1290&amp;".xuf"</f>
        <v>C:\PWWORKING\east01\d2591108\Weave\__2019EX_PM_.xuf</v>
      </c>
    </row>
    <row r="1291" spans="115:117" x14ac:dyDescent="0.2">
      <c r="DK1291" s="31" t="str">
        <f t="shared" si="42"/>
        <v xml:space="preserve">  </v>
      </c>
      <c r="DL1291" s="25" t="str">
        <f t="shared" si="43"/>
        <v/>
      </c>
      <c r="DM1291" s="25" t="str">
        <f>BasicInput!$D$13&amp;$DM$2&amp;B1291&amp;"_"&amp;C1291&amp;D1291&amp;"_"&amp;BasicInput!$D$7&amp;BasicInput!$D$8&amp;"_"&amp;DL1291&amp;".xuf"</f>
        <v>C:\PWWORKING\east01\d2591108\Weave\__2019EX_PM_.xuf</v>
      </c>
    </row>
    <row r="1292" spans="115:117" x14ac:dyDescent="0.2">
      <c r="DK1292" s="31" t="str">
        <f t="shared" ref="DK1292:DK1349" si="44">C1292&amp; " "&amp;D1292&amp;" " &amp;E1292</f>
        <v xml:space="preserve">  </v>
      </c>
      <c r="DL1292" s="25" t="str">
        <f t="shared" ref="DL1292:DL1349" si="45">TRIM(LEFT(E1292, 30))</f>
        <v/>
      </c>
      <c r="DM1292" s="25" t="str">
        <f>BasicInput!$D$13&amp;$DM$2&amp;B1292&amp;"_"&amp;C1292&amp;D1292&amp;"_"&amp;BasicInput!$D$7&amp;BasicInput!$D$8&amp;"_"&amp;DL1292&amp;".xuf"</f>
        <v>C:\PWWORKING\east01\d2591108\Weave\__2019EX_PM_.xuf</v>
      </c>
    </row>
    <row r="1293" spans="115:117" x14ac:dyDescent="0.2">
      <c r="DK1293" s="31" t="str">
        <f t="shared" si="44"/>
        <v xml:space="preserve">  </v>
      </c>
      <c r="DL1293" s="25" t="str">
        <f t="shared" si="45"/>
        <v/>
      </c>
      <c r="DM1293" s="25" t="str">
        <f>BasicInput!$D$13&amp;$DM$2&amp;B1293&amp;"_"&amp;C1293&amp;D1293&amp;"_"&amp;BasicInput!$D$7&amp;BasicInput!$D$8&amp;"_"&amp;DL1293&amp;".xuf"</f>
        <v>C:\PWWORKING\east01\d2591108\Weave\__2019EX_PM_.xuf</v>
      </c>
    </row>
    <row r="1294" spans="115:117" x14ac:dyDescent="0.2">
      <c r="DK1294" s="31" t="str">
        <f t="shared" si="44"/>
        <v xml:space="preserve">  </v>
      </c>
      <c r="DL1294" s="25" t="str">
        <f t="shared" si="45"/>
        <v/>
      </c>
      <c r="DM1294" s="25" t="str">
        <f>BasicInput!$D$13&amp;$DM$2&amp;B1294&amp;"_"&amp;C1294&amp;D1294&amp;"_"&amp;BasicInput!$D$7&amp;BasicInput!$D$8&amp;"_"&amp;DL1294&amp;".xuf"</f>
        <v>C:\PWWORKING\east01\d2591108\Weave\__2019EX_PM_.xuf</v>
      </c>
    </row>
    <row r="1295" spans="115:117" x14ac:dyDescent="0.2">
      <c r="DK1295" s="31" t="str">
        <f t="shared" si="44"/>
        <v xml:space="preserve">  </v>
      </c>
      <c r="DL1295" s="25" t="str">
        <f t="shared" si="45"/>
        <v/>
      </c>
      <c r="DM1295" s="25" t="str">
        <f>BasicInput!$D$13&amp;$DM$2&amp;B1295&amp;"_"&amp;C1295&amp;D1295&amp;"_"&amp;BasicInput!$D$7&amp;BasicInput!$D$8&amp;"_"&amp;DL1295&amp;".xuf"</f>
        <v>C:\PWWORKING\east01\d2591108\Weave\__2019EX_PM_.xuf</v>
      </c>
    </row>
    <row r="1296" spans="115:117" x14ac:dyDescent="0.2">
      <c r="DK1296" s="31" t="str">
        <f t="shared" si="44"/>
        <v xml:space="preserve">  </v>
      </c>
      <c r="DL1296" s="25" t="str">
        <f t="shared" si="45"/>
        <v/>
      </c>
      <c r="DM1296" s="25" t="str">
        <f>BasicInput!$D$13&amp;$DM$2&amp;B1296&amp;"_"&amp;C1296&amp;D1296&amp;"_"&amp;BasicInput!$D$7&amp;BasicInput!$D$8&amp;"_"&amp;DL1296&amp;".xuf"</f>
        <v>C:\PWWORKING\east01\d2591108\Weave\__2019EX_PM_.xuf</v>
      </c>
    </row>
    <row r="1297" spans="115:117" x14ac:dyDescent="0.2">
      <c r="DK1297" s="31" t="str">
        <f t="shared" si="44"/>
        <v xml:space="preserve">  </v>
      </c>
      <c r="DL1297" s="25" t="str">
        <f t="shared" si="45"/>
        <v/>
      </c>
      <c r="DM1297" s="25" t="str">
        <f>BasicInput!$D$13&amp;$DM$2&amp;B1297&amp;"_"&amp;C1297&amp;D1297&amp;"_"&amp;BasicInput!$D$7&amp;BasicInput!$D$8&amp;"_"&amp;DL1297&amp;".xuf"</f>
        <v>C:\PWWORKING\east01\d2591108\Weave\__2019EX_PM_.xuf</v>
      </c>
    </row>
    <row r="1298" spans="115:117" x14ac:dyDescent="0.2">
      <c r="DK1298" s="31" t="str">
        <f t="shared" si="44"/>
        <v xml:space="preserve">  </v>
      </c>
      <c r="DL1298" s="25" t="str">
        <f t="shared" si="45"/>
        <v/>
      </c>
      <c r="DM1298" s="25" t="str">
        <f>BasicInput!$D$13&amp;$DM$2&amp;B1298&amp;"_"&amp;C1298&amp;D1298&amp;"_"&amp;BasicInput!$D$7&amp;BasicInput!$D$8&amp;"_"&amp;DL1298&amp;".xuf"</f>
        <v>C:\PWWORKING\east01\d2591108\Weave\__2019EX_PM_.xuf</v>
      </c>
    </row>
    <row r="1299" spans="115:117" x14ac:dyDescent="0.2">
      <c r="DK1299" s="31" t="str">
        <f t="shared" si="44"/>
        <v xml:space="preserve">  </v>
      </c>
      <c r="DL1299" s="25" t="str">
        <f t="shared" si="45"/>
        <v/>
      </c>
      <c r="DM1299" s="25" t="str">
        <f>BasicInput!$D$13&amp;$DM$2&amp;B1299&amp;"_"&amp;C1299&amp;D1299&amp;"_"&amp;BasicInput!$D$7&amp;BasicInput!$D$8&amp;"_"&amp;DL1299&amp;".xuf"</f>
        <v>C:\PWWORKING\east01\d2591108\Weave\__2019EX_PM_.xuf</v>
      </c>
    </row>
    <row r="1300" spans="115:117" x14ac:dyDescent="0.2">
      <c r="DK1300" s="31" t="str">
        <f t="shared" si="44"/>
        <v xml:space="preserve">  </v>
      </c>
      <c r="DL1300" s="25" t="str">
        <f t="shared" si="45"/>
        <v/>
      </c>
      <c r="DM1300" s="25" t="str">
        <f>BasicInput!$D$13&amp;$DM$2&amp;B1300&amp;"_"&amp;C1300&amp;D1300&amp;"_"&amp;BasicInput!$D$7&amp;BasicInput!$D$8&amp;"_"&amp;DL1300&amp;".xuf"</f>
        <v>C:\PWWORKING\east01\d2591108\Weave\__2019EX_PM_.xuf</v>
      </c>
    </row>
    <row r="1301" spans="115:117" x14ac:dyDescent="0.2">
      <c r="DK1301" s="31" t="str">
        <f t="shared" si="44"/>
        <v xml:space="preserve">  </v>
      </c>
      <c r="DL1301" s="25" t="str">
        <f t="shared" si="45"/>
        <v/>
      </c>
      <c r="DM1301" s="25" t="str">
        <f>BasicInput!$D$13&amp;$DM$2&amp;B1301&amp;"_"&amp;C1301&amp;D1301&amp;"_"&amp;BasicInput!$D$7&amp;BasicInput!$D$8&amp;"_"&amp;DL1301&amp;".xuf"</f>
        <v>C:\PWWORKING\east01\d2591108\Weave\__2019EX_PM_.xuf</v>
      </c>
    </row>
    <row r="1302" spans="115:117" x14ac:dyDescent="0.2">
      <c r="DK1302" s="31" t="str">
        <f t="shared" si="44"/>
        <v xml:space="preserve">  </v>
      </c>
      <c r="DL1302" s="25" t="str">
        <f t="shared" si="45"/>
        <v/>
      </c>
      <c r="DM1302" s="25" t="str">
        <f>BasicInput!$D$13&amp;$DM$2&amp;B1302&amp;"_"&amp;C1302&amp;D1302&amp;"_"&amp;BasicInput!$D$7&amp;BasicInput!$D$8&amp;"_"&amp;DL1302&amp;".xuf"</f>
        <v>C:\PWWORKING\east01\d2591108\Weave\__2019EX_PM_.xuf</v>
      </c>
    </row>
    <row r="1303" spans="115:117" x14ac:dyDescent="0.2">
      <c r="DK1303" s="31" t="str">
        <f t="shared" si="44"/>
        <v xml:space="preserve">  </v>
      </c>
      <c r="DL1303" s="25" t="str">
        <f t="shared" si="45"/>
        <v/>
      </c>
      <c r="DM1303" s="25" t="str">
        <f>BasicInput!$D$13&amp;$DM$2&amp;B1303&amp;"_"&amp;C1303&amp;D1303&amp;"_"&amp;BasicInput!$D$7&amp;BasicInput!$D$8&amp;"_"&amp;DL1303&amp;".xuf"</f>
        <v>C:\PWWORKING\east01\d2591108\Weave\__2019EX_PM_.xuf</v>
      </c>
    </row>
    <row r="1304" spans="115:117" x14ac:dyDescent="0.2">
      <c r="DK1304" s="31" t="str">
        <f t="shared" si="44"/>
        <v xml:space="preserve">  </v>
      </c>
      <c r="DL1304" s="25" t="str">
        <f t="shared" si="45"/>
        <v/>
      </c>
      <c r="DM1304" s="25" t="str">
        <f>BasicInput!$D$13&amp;$DM$2&amp;B1304&amp;"_"&amp;C1304&amp;D1304&amp;"_"&amp;BasicInput!$D$7&amp;BasicInput!$D$8&amp;"_"&amp;DL1304&amp;".xuf"</f>
        <v>C:\PWWORKING\east01\d2591108\Weave\__2019EX_PM_.xuf</v>
      </c>
    </row>
    <row r="1305" spans="115:117" x14ac:dyDescent="0.2">
      <c r="DK1305" s="31" t="str">
        <f t="shared" si="44"/>
        <v xml:space="preserve">  </v>
      </c>
      <c r="DL1305" s="25" t="str">
        <f t="shared" si="45"/>
        <v/>
      </c>
      <c r="DM1305" s="25" t="str">
        <f>BasicInput!$D$13&amp;$DM$2&amp;B1305&amp;"_"&amp;C1305&amp;D1305&amp;"_"&amp;BasicInput!$D$7&amp;BasicInput!$D$8&amp;"_"&amp;DL1305&amp;".xuf"</f>
        <v>C:\PWWORKING\east01\d2591108\Weave\__2019EX_PM_.xuf</v>
      </c>
    </row>
    <row r="1306" spans="115:117" x14ac:dyDescent="0.2">
      <c r="DK1306" s="31" t="str">
        <f t="shared" si="44"/>
        <v xml:space="preserve">  </v>
      </c>
      <c r="DL1306" s="25" t="str">
        <f t="shared" si="45"/>
        <v/>
      </c>
      <c r="DM1306" s="25" t="str">
        <f>BasicInput!$D$13&amp;$DM$2&amp;B1306&amp;"_"&amp;C1306&amp;D1306&amp;"_"&amp;BasicInput!$D$7&amp;BasicInput!$D$8&amp;"_"&amp;DL1306&amp;".xuf"</f>
        <v>C:\PWWORKING\east01\d2591108\Weave\__2019EX_PM_.xuf</v>
      </c>
    </row>
    <row r="1307" spans="115:117" x14ac:dyDescent="0.2">
      <c r="DK1307" s="31" t="str">
        <f t="shared" si="44"/>
        <v xml:space="preserve">  </v>
      </c>
      <c r="DL1307" s="25" t="str">
        <f t="shared" si="45"/>
        <v/>
      </c>
      <c r="DM1307" s="25" t="str">
        <f>BasicInput!$D$13&amp;$DM$2&amp;B1307&amp;"_"&amp;C1307&amp;D1307&amp;"_"&amp;BasicInput!$D$7&amp;BasicInput!$D$8&amp;"_"&amp;DL1307&amp;".xuf"</f>
        <v>C:\PWWORKING\east01\d2591108\Weave\__2019EX_PM_.xuf</v>
      </c>
    </row>
    <row r="1308" spans="115:117" x14ac:dyDescent="0.2">
      <c r="DK1308" s="31" t="str">
        <f t="shared" si="44"/>
        <v xml:space="preserve">  </v>
      </c>
      <c r="DL1308" s="25" t="str">
        <f t="shared" si="45"/>
        <v/>
      </c>
      <c r="DM1308" s="25" t="str">
        <f>BasicInput!$D$13&amp;$DM$2&amp;B1308&amp;"_"&amp;C1308&amp;D1308&amp;"_"&amp;BasicInput!$D$7&amp;BasicInput!$D$8&amp;"_"&amp;DL1308&amp;".xuf"</f>
        <v>C:\PWWORKING\east01\d2591108\Weave\__2019EX_PM_.xuf</v>
      </c>
    </row>
    <row r="1309" spans="115:117" x14ac:dyDescent="0.2">
      <c r="DK1309" s="31" t="str">
        <f t="shared" si="44"/>
        <v xml:space="preserve">  </v>
      </c>
      <c r="DL1309" s="25" t="str">
        <f t="shared" si="45"/>
        <v/>
      </c>
      <c r="DM1309" s="25" t="str">
        <f>BasicInput!$D$13&amp;$DM$2&amp;B1309&amp;"_"&amp;C1309&amp;D1309&amp;"_"&amp;BasicInput!$D$7&amp;BasicInput!$D$8&amp;"_"&amp;DL1309&amp;".xuf"</f>
        <v>C:\PWWORKING\east01\d2591108\Weave\__2019EX_PM_.xuf</v>
      </c>
    </row>
    <row r="1310" spans="115:117" x14ac:dyDescent="0.2">
      <c r="DK1310" s="31" t="str">
        <f t="shared" si="44"/>
        <v xml:space="preserve">  </v>
      </c>
      <c r="DL1310" s="25" t="str">
        <f t="shared" si="45"/>
        <v/>
      </c>
      <c r="DM1310" s="25" t="str">
        <f>BasicInput!$D$13&amp;$DM$2&amp;B1310&amp;"_"&amp;C1310&amp;D1310&amp;"_"&amp;BasicInput!$D$7&amp;BasicInput!$D$8&amp;"_"&amp;DL1310&amp;".xuf"</f>
        <v>C:\PWWORKING\east01\d2591108\Weave\__2019EX_PM_.xuf</v>
      </c>
    </row>
    <row r="1311" spans="115:117" x14ac:dyDescent="0.2">
      <c r="DK1311" s="31" t="str">
        <f t="shared" si="44"/>
        <v xml:space="preserve">  </v>
      </c>
      <c r="DL1311" s="25" t="str">
        <f t="shared" si="45"/>
        <v/>
      </c>
      <c r="DM1311" s="25" t="str">
        <f>BasicInput!$D$13&amp;$DM$2&amp;B1311&amp;"_"&amp;C1311&amp;D1311&amp;"_"&amp;BasicInput!$D$7&amp;BasicInput!$D$8&amp;"_"&amp;DL1311&amp;".xuf"</f>
        <v>C:\PWWORKING\east01\d2591108\Weave\__2019EX_PM_.xuf</v>
      </c>
    </row>
    <row r="1312" spans="115:117" x14ac:dyDescent="0.2">
      <c r="DK1312" s="31" t="str">
        <f t="shared" si="44"/>
        <v xml:space="preserve">  </v>
      </c>
      <c r="DL1312" s="25" t="str">
        <f t="shared" si="45"/>
        <v/>
      </c>
      <c r="DM1312" s="25" t="str">
        <f>BasicInput!$D$13&amp;$DM$2&amp;B1312&amp;"_"&amp;C1312&amp;D1312&amp;"_"&amp;BasicInput!$D$7&amp;BasicInput!$D$8&amp;"_"&amp;DL1312&amp;".xuf"</f>
        <v>C:\PWWORKING\east01\d2591108\Weave\__2019EX_PM_.xuf</v>
      </c>
    </row>
    <row r="1313" spans="115:117" x14ac:dyDescent="0.2">
      <c r="DK1313" s="31" t="str">
        <f t="shared" si="44"/>
        <v xml:space="preserve">  </v>
      </c>
      <c r="DL1313" s="25" t="str">
        <f t="shared" si="45"/>
        <v/>
      </c>
      <c r="DM1313" s="25" t="str">
        <f>BasicInput!$D$13&amp;$DM$2&amp;B1313&amp;"_"&amp;C1313&amp;D1313&amp;"_"&amp;BasicInput!$D$7&amp;BasicInput!$D$8&amp;"_"&amp;DL1313&amp;".xuf"</f>
        <v>C:\PWWORKING\east01\d2591108\Weave\__2019EX_PM_.xuf</v>
      </c>
    </row>
    <row r="1314" spans="115:117" x14ac:dyDescent="0.2">
      <c r="DK1314" s="31" t="str">
        <f t="shared" si="44"/>
        <v xml:space="preserve">  </v>
      </c>
      <c r="DL1314" s="25" t="str">
        <f t="shared" si="45"/>
        <v/>
      </c>
      <c r="DM1314" s="25" t="str">
        <f>BasicInput!$D$13&amp;$DM$2&amp;B1314&amp;"_"&amp;C1314&amp;D1314&amp;"_"&amp;BasicInput!$D$7&amp;BasicInput!$D$8&amp;"_"&amp;DL1314&amp;".xuf"</f>
        <v>C:\PWWORKING\east01\d2591108\Weave\__2019EX_PM_.xuf</v>
      </c>
    </row>
    <row r="1315" spans="115:117" x14ac:dyDescent="0.2">
      <c r="DK1315" s="31" t="str">
        <f t="shared" si="44"/>
        <v xml:space="preserve">  </v>
      </c>
      <c r="DL1315" s="25" t="str">
        <f t="shared" si="45"/>
        <v/>
      </c>
      <c r="DM1315" s="25" t="str">
        <f>BasicInput!$D$13&amp;$DM$2&amp;B1315&amp;"_"&amp;C1315&amp;D1315&amp;"_"&amp;BasicInput!$D$7&amp;BasicInput!$D$8&amp;"_"&amp;DL1315&amp;".xuf"</f>
        <v>C:\PWWORKING\east01\d2591108\Weave\__2019EX_PM_.xuf</v>
      </c>
    </row>
    <row r="1316" spans="115:117" x14ac:dyDescent="0.2">
      <c r="DK1316" s="31" t="str">
        <f t="shared" si="44"/>
        <v xml:space="preserve">  </v>
      </c>
      <c r="DL1316" s="25" t="str">
        <f t="shared" si="45"/>
        <v/>
      </c>
      <c r="DM1316" s="25" t="str">
        <f>BasicInput!$D$13&amp;$DM$2&amp;B1316&amp;"_"&amp;C1316&amp;D1316&amp;"_"&amp;BasicInput!$D$7&amp;BasicInput!$D$8&amp;"_"&amp;DL1316&amp;".xuf"</f>
        <v>C:\PWWORKING\east01\d2591108\Weave\__2019EX_PM_.xuf</v>
      </c>
    </row>
    <row r="1317" spans="115:117" x14ac:dyDescent="0.2">
      <c r="DK1317" s="31" t="str">
        <f t="shared" si="44"/>
        <v xml:space="preserve">  </v>
      </c>
      <c r="DL1317" s="25" t="str">
        <f t="shared" si="45"/>
        <v/>
      </c>
      <c r="DM1317" s="25" t="str">
        <f>BasicInput!$D$13&amp;$DM$2&amp;B1317&amp;"_"&amp;C1317&amp;D1317&amp;"_"&amp;BasicInput!$D$7&amp;BasicInput!$D$8&amp;"_"&amp;DL1317&amp;".xuf"</f>
        <v>C:\PWWORKING\east01\d2591108\Weave\__2019EX_PM_.xuf</v>
      </c>
    </row>
    <row r="1318" spans="115:117" x14ac:dyDescent="0.2">
      <c r="DK1318" s="31" t="str">
        <f t="shared" si="44"/>
        <v xml:space="preserve">  </v>
      </c>
      <c r="DL1318" s="25" t="str">
        <f t="shared" si="45"/>
        <v/>
      </c>
      <c r="DM1318" s="25" t="str">
        <f>BasicInput!$D$13&amp;$DM$2&amp;B1318&amp;"_"&amp;C1318&amp;D1318&amp;"_"&amp;BasicInput!$D$7&amp;BasicInput!$D$8&amp;"_"&amp;DL1318&amp;".xuf"</f>
        <v>C:\PWWORKING\east01\d2591108\Weave\__2019EX_PM_.xuf</v>
      </c>
    </row>
    <row r="1319" spans="115:117" x14ac:dyDescent="0.2">
      <c r="DK1319" s="31" t="str">
        <f t="shared" si="44"/>
        <v xml:space="preserve">  </v>
      </c>
      <c r="DL1319" s="25" t="str">
        <f t="shared" si="45"/>
        <v/>
      </c>
      <c r="DM1319" s="25" t="str">
        <f>BasicInput!$D$13&amp;$DM$2&amp;B1319&amp;"_"&amp;C1319&amp;D1319&amp;"_"&amp;BasicInput!$D$7&amp;BasicInput!$D$8&amp;"_"&amp;DL1319&amp;".xuf"</f>
        <v>C:\PWWORKING\east01\d2591108\Weave\__2019EX_PM_.xuf</v>
      </c>
    </row>
    <row r="1320" spans="115:117" x14ac:dyDescent="0.2">
      <c r="DK1320" s="31" t="str">
        <f t="shared" si="44"/>
        <v xml:space="preserve">  </v>
      </c>
      <c r="DL1320" s="25" t="str">
        <f t="shared" si="45"/>
        <v/>
      </c>
      <c r="DM1320" s="25" t="str">
        <f>BasicInput!$D$13&amp;$DM$2&amp;B1320&amp;"_"&amp;C1320&amp;D1320&amp;"_"&amp;BasicInput!$D$7&amp;BasicInput!$D$8&amp;"_"&amp;DL1320&amp;".xuf"</f>
        <v>C:\PWWORKING\east01\d2591108\Weave\__2019EX_PM_.xuf</v>
      </c>
    </row>
    <row r="1321" spans="115:117" x14ac:dyDescent="0.2">
      <c r="DK1321" s="31" t="str">
        <f t="shared" si="44"/>
        <v xml:space="preserve">  </v>
      </c>
      <c r="DL1321" s="25" t="str">
        <f t="shared" si="45"/>
        <v/>
      </c>
      <c r="DM1321" s="25" t="str">
        <f>BasicInput!$D$13&amp;$DM$2&amp;B1321&amp;"_"&amp;C1321&amp;D1321&amp;"_"&amp;BasicInput!$D$7&amp;BasicInput!$D$8&amp;"_"&amp;DL1321&amp;".xuf"</f>
        <v>C:\PWWORKING\east01\d2591108\Weave\__2019EX_PM_.xuf</v>
      </c>
    </row>
    <row r="1322" spans="115:117" x14ac:dyDescent="0.2">
      <c r="DK1322" s="31" t="str">
        <f t="shared" si="44"/>
        <v xml:space="preserve">  </v>
      </c>
      <c r="DL1322" s="25" t="str">
        <f t="shared" si="45"/>
        <v/>
      </c>
      <c r="DM1322" s="25" t="str">
        <f>BasicInput!$D$13&amp;$DM$2&amp;B1322&amp;"_"&amp;C1322&amp;D1322&amp;"_"&amp;BasicInput!$D$7&amp;BasicInput!$D$8&amp;"_"&amp;DL1322&amp;".xuf"</f>
        <v>C:\PWWORKING\east01\d2591108\Weave\__2019EX_PM_.xuf</v>
      </c>
    </row>
    <row r="1323" spans="115:117" x14ac:dyDescent="0.2">
      <c r="DK1323" s="31" t="str">
        <f t="shared" si="44"/>
        <v xml:space="preserve">  </v>
      </c>
      <c r="DL1323" s="25" t="str">
        <f t="shared" si="45"/>
        <v/>
      </c>
      <c r="DM1323" s="25" t="str">
        <f>BasicInput!$D$13&amp;$DM$2&amp;B1323&amp;"_"&amp;C1323&amp;D1323&amp;"_"&amp;BasicInput!$D$7&amp;BasicInput!$D$8&amp;"_"&amp;DL1323&amp;".xuf"</f>
        <v>C:\PWWORKING\east01\d2591108\Weave\__2019EX_PM_.xuf</v>
      </c>
    </row>
    <row r="1324" spans="115:117" x14ac:dyDescent="0.2">
      <c r="DK1324" s="31" t="str">
        <f t="shared" si="44"/>
        <v xml:space="preserve">  </v>
      </c>
      <c r="DL1324" s="25" t="str">
        <f t="shared" si="45"/>
        <v/>
      </c>
      <c r="DM1324" s="25" t="str">
        <f>BasicInput!$D$13&amp;$DM$2&amp;B1324&amp;"_"&amp;C1324&amp;D1324&amp;"_"&amp;BasicInput!$D$7&amp;BasicInput!$D$8&amp;"_"&amp;DL1324&amp;".xuf"</f>
        <v>C:\PWWORKING\east01\d2591108\Weave\__2019EX_PM_.xuf</v>
      </c>
    </row>
    <row r="1325" spans="115:117" x14ac:dyDescent="0.2">
      <c r="DK1325" s="31" t="str">
        <f t="shared" si="44"/>
        <v xml:space="preserve">  </v>
      </c>
      <c r="DL1325" s="25" t="str">
        <f t="shared" si="45"/>
        <v/>
      </c>
      <c r="DM1325" s="25" t="str">
        <f>BasicInput!$D$13&amp;$DM$2&amp;B1325&amp;"_"&amp;C1325&amp;D1325&amp;"_"&amp;BasicInput!$D$7&amp;BasicInput!$D$8&amp;"_"&amp;DL1325&amp;".xuf"</f>
        <v>C:\PWWORKING\east01\d2591108\Weave\__2019EX_PM_.xuf</v>
      </c>
    </row>
    <row r="1326" spans="115:117" x14ac:dyDescent="0.2">
      <c r="DK1326" s="31" t="str">
        <f t="shared" si="44"/>
        <v xml:space="preserve">  </v>
      </c>
      <c r="DL1326" s="25" t="str">
        <f t="shared" si="45"/>
        <v/>
      </c>
      <c r="DM1326" s="25" t="str">
        <f>BasicInput!$D$13&amp;$DM$2&amp;B1326&amp;"_"&amp;C1326&amp;D1326&amp;"_"&amp;BasicInput!$D$7&amp;BasicInput!$D$8&amp;"_"&amp;DL1326&amp;".xuf"</f>
        <v>C:\PWWORKING\east01\d2591108\Weave\__2019EX_PM_.xuf</v>
      </c>
    </row>
    <row r="1327" spans="115:117" x14ac:dyDescent="0.2">
      <c r="DK1327" s="31" t="str">
        <f t="shared" si="44"/>
        <v xml:space="preserve">  </v>
      </c>
      <c r="DL1327" s="25" t="str">
        <f t="shared" si="45"/>
        <v/>
      </c>
      <c r="DM1327" s="25" t="str">
        <f>BasicInput!$D$13&amp;$DM$2&amp;B1327&amp;"_"&amp;C1327&amp;D1327&amp;"_"&amp;BasicInput!$D$7&amp;BasicInput!$D$8&amp;"_"&amp;DL1327&amp;".xuf"</f>
        <v>C:\PWWORKING\east01\d2591108\Weave\__2019EX_PM_.xuf</v>
      </c>
    </row>
    <row r="1328" spans="115:117" x14ac:dyDescent="0.2">
      <c r="DK1328" s="31" t="str">
        <f t="shared" si="44"/>
        <v xml:space="preserve">  </v>
      </c>
      <c r="DL1328" s="25" t="str">
        <f t="shared" si="45"/>
        <v/>
      </c>
      <c r="DM1328" s="25" t="str">
        <f>BasicInput!$D$13&amp;$DM$2&amp;B1328&amp;"_"&amp;C1328&amp;D1328&amp;"_"&amp;BasicInput!$D$7&amp;BasicInput!$D$8&amp;"_"&amp;DL1328&amp;".xuf"</f>
        <v>C:\PWWORKING\east01\d2591108\Weave\__2019EX_PM_.xuf</v>
      </c>
    </row>
    <row r="1329" spans="115:117" x14ac:dyDescent="0.2">
      <c r="DK1329" s="31" t="str">
        <f t="shared" si="44"/>
        <v xml:space="preserve">  </v>
      </c>
      <c r="DL1329" s="25" t="str">
        <f t="shared" si="45"/>
        <v/>
      </c>
      <c r="DM1329" s="25" t="str">
        <f>BasicInput!$D$13&amp;$DM$2&amp;B1329&amp;"_"&amp;C1329&amp;D1329&amp;"_"&amp;BasicInput!$D$7&amp;BasicInput!$D$8&amp;"_"&amp;DL1329&amp;".xuf"</f>
        <v>C:\PWWORKING\east01\d2591108\Weave\__2019EX_PM_.xuf</v>
      </c>
    </row>
    <row r="1330" spans="115:117" x14ac:dyDescent="0.2">
      <c r="DK1330" s="31" t="str">
        <f t="shared" si="44"/>
        <v xml:space="preserve">  </v>
      </c>
      <c r="DL1330" s="25" t="str">
        <f t="shared" si="45"/>
        <v/>
      </c>
      <c r="DM1330" s="25" t="str">
        <f>BasicInput!$D$13&amp;$DM$2&amp;B1330&amp;"_"&amp;C1330&amp;D1330&amp;"_"&amp;BasicInput!$D$7&amp;BasicInput!$D$8&amp;"_"&amp;DL1330&amp;".xuf"</f>
        <v>C:\PWWORKING\east01\d2591108\Weave\__2019EX_PM_.xuf</v>
      </c>
    </row>
    <row r="1331" spans="115:117" x14ac:dyDescent="0.2">
      <c r="DK1331" s="31" t="str">
        <f t="shared" si="44"/>
        <v xml:space="preserve">  </v>
      </c>
      <c r="DL1331" s="25" t="str">
        <f t="shared" si="45"/>
        <v/>
      </c>
      <c r="DM1331" s="25" t="str">
        <f>BasicInput!$D$13&amp;$DM$2&amp;B1331&amp;"_"&amp;C1331&amp;D1331&amp;"_"&amp;BasicInput!$D$7&amp;BasicInput!$D$8&amp;"_"&amp;DL1331&amp;".xuf"</f>
        <v>C:\PWWORKING\east01\d2591108\Weave\__2019EX_PM_.xuf</v>
      </c>
    </row>
    <row r="1332" spans="115:117" x14ac:dyDescent="0.2">
      <c r="DK1332" s="31" t="str">
        <f t="shared" si="44"/>
        <v xml:space="preserve">  </v>
      </c>
      <c r="DL1332" s="25" t="str">
        <f t="shared" si="45"/>
        <v/>
      </c>
      <c r="DM1332" s="25" t="str">
        <f>BasicInput!$D$13&amp;$DM$2&amp;B1332&amp;"_"&amp;C1332&amp;D1332&amp;"_"&amp;BasicInput!$D$7&amp;BasicInput!$D$8&amp;"_"&amp;DL1332&amp;".xuf"</f>
        <v>C:\PWWORKING\east01\d2591108\Weave\__2019EX_PM_.xuf</v>
      </c>
    </row>
    <row r="1333" spans="115:117" x14ac:dyDescent="0.2">
      <c r="DK1333" s="31" t="str">
        <f t="shared" si="44"/>
        <v xml:space="preserve">  </v>
      </c>
      <c r="DL1333" s="25" t="str">
        <f t="shared" si="45"/>
        <v/>
      </c>
      <c r="DM1333" s="25" t="str">
        <f>BasicInput!$D$13&amp;$DM$2&amp;B1333&amp;"_"&amp;C1333&amp;D1333&amp;"_"&amp;BasicInput!$D$7&amp;BasicInput!$D$8&amp;"_"&amp;DL1333&amp;".xuf"</f>
        <v>C:\PWWORKING\east01\d2591108\Weave\__2019EX_PM_.xuf</v>
      </c>
    </row>
    <row r="1334" spans="115:117" x14ac:dyDescent="0.2">
      <c r="DK1334" s="31" t="str">
        <f t="shared" si="44"/>
        <v xml:space="preserve">  </v>
      </c>
      <c r="DL1334" s="25" t="str">
        <f t="shared" si="45"/>
        <v/>
      </c>
      <c r="DM1334" s="25" t="str">
        <f>BasicInput!$D$13&amp;$DM$2&amp;B1334&amp;"_"&amp;C1334&amp;D1334&amp;"_"&amp;BasicInput!$D$7&amp;BasicInput!$D$8&amp;"_"&amp;DL1334&amp;".xuf"</f>
        <v>C:\PWWORKING\east01\d2591108\Weave\__2019EX_PM_.xuf</v>
      </c>
    </row>
    <row r="1335" spans="115:117" x14ac:dyDescent="0.2">
      <c r="DK1335" s="31" t="str">
        <f t="shared" si="44"/>
        <v xml:space="preserve">  </v>
      </c>
      <c r="DL1335" s="25" t="str">
        <f t="shared" si="45"/>
        <v/>
      </c>
      <c r="DM1335" s="25" t="str">
        <f>BasicInput!$D$13&amp;$DM$2&amp;B1335&amp;"_"&amp;C1335&amp;D1335&amp;"_"&amp;BasicInput!$D$7&amp;BasicInput!$D$8&amp;"_"&amp;DL1335&amp;".xuf"</f>
        <v>C:\PWWORKING\east01\d2591108\Weave\__2019EX_PM_.xuf</v>
      </c>
    </row>
    <row r="1336" spans="115:117" x14ac:dyDescent="0.2">
      <c r="DK1336" s="31" t="str">
        <f t="shared" si="44"/>
        <v xml:space="preserve">  </v>
      </c>
      <c r="DL1336" s="25" t="str">
        <f t="shared" si="45"/>
        <v/>
      </c>
      <c r="DM1336" s="25" t="str">
        <f>BasicInput!$D$13&amp;$DM$2&amp;B1336&amp;"_"&amp;C1336&amp;D1336&amp;"_"&amp;BasicInput!$D$7&amp;BasicInput!$D$8&amp;"_"&amp;DL1336&amp;".xuf"</f>
        <v>C:\PWWORKING\east01\d2591108\Weave\__2019EX_PM_.xuf</v>
      </c>
    </row>
    <row r="1337" spans="115:117" x14ac:dyDescent="0.2">
      <c r="DK1337" s="31" t="str">
        <f t="shared" si="44"/>
        <v xml:space="preserve">  </v>
      </c>
      <c r="DL1337" s="25" t="str">
        <f t="shared" si="45"/>
        <v/>
      </c>
      <c r="DM1337" s="25" t="str">
        <f>BasicInput!$D$13&amp;$DM$2&amp;B1337&amp;"_"&amp;C1337&amp;D1337&amp;"_"&amp;BasicInput!$D$7&amp;BasicInput!$D$8&amp;"_"&amp;DL1337&amp;".xuf"</f>
        <v>C:\PWWORKING\east01\d2591108\Weave\__2019EX_PM_.xuf</v>
      </c>
    </row>
    <row r="1338" spans="115:117" x14ac:dyDescent="0.2">
      <c r="DK1338" s="31" t="str">
        <f t="shared" si="44"/>
        <v xml:space="preserve">  </v>
      </c>
      <c r="DL1338" s="25" t="str">
        <f t="shared" si="45"/>
        <v/>
      </c>
      <c r="DM1338" s="25" t="str">
        <f>BasicInput!$D$13&amp;$DM$2&amp;B1338&amp;"_"&amp;C1338&amp;D1338&amp;"_"&amp;BasicInput!$D$7&amp;BasicInput!$D$8&amp;"_"&amp;DL1338&amp;".xuf"</f>
        <v>C:\PWWORKING\east01\d2591108\Weave\__2019EX_PM_.xuf</v>
      </c>
    </row>
    <row r="1339" spans="115:117" x14ac:dyDescent="0.2">
      <c r="DK1339" s="31" t="str">
        <f t="shared" si="44"/>
        <v xml:space="preserve">  </v>
      </c>
      <c r="DL1339" s="25" t="str">
        <f t="shared" si="45"/>
        <v/>
      </c>
      <c r="DM1339" s="25" t="str">
        <f>BasicInput!$D$13&amp;$DM$2&amp;B1339&amp;"_"&amp;C1339&amp;D1339&amp;"_"&amp;BasicInput!$D$7&amp;BasicInput!$D$8&amp;"_"&amp;DL1339&amp;".xuf"</f>
        <v>C:\PWWORKING\east01\d2591108\Weave\__2019EX_PM_.xuf</v>
      </c>
    </row>
    <row r="1340" spans="115:117" x14ac:dyDescent="0.2">
      <c r="DK1340" s="31" t="str">
        <f t="shared" si="44"/>
        <v xml:space="preserve">  </v>
      </c>
      <c r="DL1340" s="25" t="str">
        <f t="shared" si="45"/>
        <v/>
      </c>
      <c r="DM1340" s="25" t="str">
        <f>BasicInput!$D$13&amp;$DM$2&amp;B1340&amp;"_"&amp;C1340&amp;D1340&amp;"_"&amp;BasicInput!$D$7&amp;BasicInput!$D$8&amp;"_"&amp;DL1340&amp;".xuf"</f>
        <v>C:\PWWORKING\east01\d2591108\Weave\__2019EX_PM_.xuf</v>
      </c>
    </row>
    <row r="1341" spans="115:117" x14ac:dyDescent="0.2">
      <c r="DK1341" s="31" t="str">
        <f t="shared" si="44"/>
        <v xml:space="preserve">  </v>
      </c>
      <c r="DL1341" s="25" t="str">
        <f t="shared" si="45"/>
        <v/>
      </c>
      <c r="DM1341" s="25" t="str">
        <f>BasicInput!$D$13&amp;$DM$2&amp;B1341&amp;"_"&amp;C1341&amp;D1341&amp;"_"&amp;BasicInput!$D$7&amp;BasicInput!$D$8&amp;"_"&amp;DL1341&amp;".xuf"</f>
        <v>C:\PWWORKING\east01\d2591108\Weave\__2019EX_PM_.xuf</v>
      </c>
    </row>
    <row r="1342" spans="115:117" x14ac:dyDescent="0.2">
      <c r="DK1342" s="31" t="str">
        <f t="shared" si="44"/>
        <v xml:space="preserve">  </v>
      </c>
      <c r="DL1342" s="25" t="str">
        <f t="shared" si="45"/>
        <v/>
      </c>
      <c r="DM1342" s="25" t="str">
        <f>BasicInput!$D$13&amp;$DM$2&amp;B1342&amp;"_"&amp;C1342&amp;D1342&amp;"_"&amp;BasicInput!$D$7&amp;BasicInput!$D$8&amp;"_"&amp;DL1342&amp;".xuf"</f>
        <v>C:\PWWORKING\east01\d2591108\Weave\__2019EX_PM_.xuf</v>
      </c>
    </row>
    <row r="1343" spans="115:117" x14ac:dyDescent="0.2">
      <c r="DK1343" s="31" t="str">
        <f t="shared" si="44"/>
        <v xml:space="preserve">  </v>
      </c>
      <c r="DL1343" s="25" t="str">
        <f t="shared" si="45"/>
        <v/>
      </c>
      <c r="DM1343" s="25" t="str">
        <f>BasicInput!$D$13&amp;$DM$2&amp;B1343&amp;"_"&amp;C1343&amp;D1343&amp;"_"&amp;BasicInput!$D$7&amp;BasicInput!$D$8&amp;"_"&amp;DL1343&amp;".xuf"</f>
        <v>C:\PWWORKING\east01\d2591108\Weave\__2019EX_PM_.xuf</v>
      </c>
    </row>
    <row r="1344" spans="115:117" x14ac:dyDescent="0.2">
      <c r="DK1344" s="31" t="str">
        <f t="shared" si="44"/>
        <v xml:space="preserve">  </v>
      </c>
      <c r="DL1344" s="25" t="str">
        <f t="shared" si="45"/>
        <v/>
      </c>
      <c r="DM1344" s="25" t="str">
        <f>BasicInput!$D$13&amp;$DM$2&amp;B1344&amp;"_"&amp;C1344&amp;D1344&amp;"_"&amp;BasicInput!$D$7&amp;BasicInput!$D$8&amp;"_"&amp;DL1344&amp;".xuf"</f>
        <v>C:\PWWORKING\east01\d2591108\Weave\__2019EX_PM_.xuf</v>
      </c>
    </row>
    <row r="1345" spans="115:117" x14ac:dyDescent="0.2">
      <c r="DK1345" s="31" t="str">
        <f t="shared" si="44"/>
        <v xml:space="preserve">  </v>
      </c>
      <c r="DL1345" s="25" t="str">
        <f t="shared" si="45"/>
        <v/>
      </c>
      <c r="DM1345" s="25" t="str">
        <f>BasicInput!$D$13&amp;$DM$2&amp;B1345&amp;"_"&amp;C1345&amp;D1345&amp;"_"&amp;BasicInput!$D$7&amp;BasicInput!$D$8&amp;"_"&amp;DL1345&amp;".xuf"</f>
        <v>C:\PWWORKING\east01\d2591108\Weave\__2019EX_PM_.xuf</v>
      </c>
    </row>
    <row r="1346" spans="115:117" x14ac:dyDescent="0.2">
      <c r="DK1346" s="31" t="str">
        <f t="shared" si="44"/>
        <v xml:space="preserve">  </v>
      </c>
      <c r="DL1346" s="25" t="str">
        <f t="shared" si="45"/>
        <v/>
      </c>
      <c r="DM1346" s="25" t="str">
        <f>BasicInput!$D$13&amp;$DM$2&amp;B1346&amp;"_"&amp;C1346&amp;D1346&amp;"_"&amp;BasicInput!$D$7&amp;BasicInput!$D$8&amp;"_"&amp;DL1346&amp;".xuf"</f>
        <v>C:\PWWORKING\east01\d2591108\Weave\__2019EX_PM_.xuf</v>
      </c>
    </row>
    <row r="1347" spans="115:117" x14ac:dyDescent="0.2">
      <c r="DK1347" s="31" t="str">
        <f t="shared" si="44"/>
        <v xml:space="preserve">  </v>
      </c>
      <c r="DL1347" s="25" t="str">
        <f t="shared" si="45"/>
        <v/>
      </c>
      <c r="DM1347" s="25" t="str">
        <f>BasicInput!$D$13&amp;$DM$2&amp;B1347&amp;"_"&amp;C1347&amp;D1347&amp;"_"&amp;BasicInput!$D$7&amp;BasicInput!$D$8&amp;"_"&amp;DL1347&amp;".xuf"</f>
        <v>C:\PWWORKING\east01\d2591108\Weave\__2019EX_PM_.xuf</v>
      </c>
    </row>
    <row r="1348" spans="115:117" x14ac:dyDescent="0.2">
      <c r="DK1348" s="31" t="str">
        <f t="shared" si="44"/>
        <v xml:space="preserve">  </v>
      </c>
      <c r="DL1348" s="25" t="str">
        <f t="shared" si="45"/>
        <v/>
      </c>
      <c r="DM1348" s="25" t="str">
        <f>BasicInput!$D$13&amp;$DM$2&amp;B1348&amp;"_"&amp;C1348&amp;D1348&amp;"_"&amp;BasicInput!$D$7&amp;BasicInput!$D$8&amp;"_"&amp;DL1348&amp;".xuf"</f>
        <v>C:\PWWORKING\east01\d2591108\Weave\__2019EX_PM_.xuf</v>
      </c>
    </row>
    <row r="1349" spans="115:117" x14ac:dyDescent="0.2">
      <c r="DK1349" s="31" t="str">
        <f t="shared" si="44"/>
        <v xml:space="preserve">  </v>
      </c>
      <c r="DL1349" s="25" t="str">
        <f t="shared" si="45"/>
        <v/>
      </c>
      <c r="DM1349" s="25" t="str">
        <f>BasicInput!$D$13&amp;$DM$2&amp;B1349&amp;"_"&amp;C1349&amp;D1349&amp;"_"&amp;BasicInput!$D$7&amp;BasicInput!$D$8&amp;"_"&amp;DL1349&amp;".xuf"</f>
        <v>C:\PWWORKING\east01\d2591108\Weave\__2019EX_PM_.xuf</v>
      </c>
    </row>
  </sheetData>
  <mergeCells count="13">
    <mergeCell ref="CA4:CQ4"/>
    <mergeCell ref="F5:J5"/>
    <mergeCell ref="L5:Z5"/>
    <mergeCell ref="AB5:AF5"/>
    <mergeCell ref="AI5:AM5"/>
    <mergeCell ref="CH5:CL5"/>
    <mergeCell ref="CN5:CQ5"/>
    <mergeCell ref="CA5:CF5"/>
    <mergeCell ref="CU5:DA5"/>
    <mergeCell ref="DC5:DH5"/>
    <mergeCell ref="AO5:BE5"/>
    <mergeCell ref="BG5:BQ5"/>
    <mergeCell ref="BS5:BY5"/>
  </mergeCells>
  <conditionalFormatting sqref="N12:N2986">
    <cfRule type="expression" dxfId="36" priority="32">
      <formula>$M12="No"</formula>
    </cfRule>
  </conditionalFormatting>
  <conditionalFormatting sqref="CA7:CF7 CH7:CL7 CN7:CQ7">
    <cfRule type="expression" dxfId="35" priority="31">
      <formula>$Z7&lt;&gt;"Yes"</formula>
    </cfRule>
  </conditionalFormatting>
  <conditionalFormatting sqref="W7:W11">
    <cfRule type="expression" dxfId="34" priority="25">
      <formula>$N7="One-Sided"</formula>
    </cfRule>
  </conditionalFormatting>
  <conditionalFormatting sqref="BS7:BY7">
    <cfRule type="expression" dxfId="33" priority="24">
      <formula>$Y7="No"</formula>
    </cfRule>
  </conditionalFormatting>
  <conditionalFormatting sqref="BV7">
    <cfRule type="expression" dxfId="32" priority="23">
      <formula>$Y7="No"</formula>
    </cfRule>
  </conditionalFormatting>
  <conditionalFormatting sqref="S7:T11">
    <cfRule type="expression" dxfId="31" priority="14">
      <formula>$R7&lt;&gt;"Grade"</formula>
    </cfRule>
  </conditionalFormatting>
  <conditionalFormatting sqref="AD7:AE11">
    <cfRule type="expression" dxfId="30" priority="13">
      <formula>$R7&lt;&gt;"Grade"</formula>
    </cfRule>
  </conditionalFormatting>
  <conditionalFormatting sqref="AQ7:AR11">
    <cfRule type="expression" dxfId="29" priority="12">
      <formula>$AP7&lt;&gt;"Grade"</formula>
    </cfRule>
  </conditionalFormatting>
  <conditionalFormatting sqref="AV7:AW11">
    <cfRule type="expression" dxfId="28" priority="11">
      <formula>$AP7&lt;&gt;"Grade"</formula>
    </cfRule>
  </conditionalFormatting>
  <conditionalFormatting sqref="BA7:BB11">
    <cfRule type="expression" dxfId="27" priority="10">
      <formula>$AP7&lt;&gt;"Grade"</formula>
    </cfRule>
  </conditionalFormatting>
  <conditionalFormatting sqref="BI7:BJ11">
    <cfRule type="expression" dxfId="26" priority="9">
      <formula>$BH7&lt;&gt;"Grade"</formula>
    </cfRule>
  </conditionalFormatting>
  <conditionalFormatting sqref="BN7:BO11">
    <cfRule type="expression" dxfId="25" priority="8">
      <formula>$BH7&lt;&gt;"Grade"</formula>
    </cfRule>
  </conditionalFormatting>
  <conditionalFormatting sqref="CE7:CF7">
    <cfRule type="expression" dxfId="24" priority="7">
      <formula>$CD7&lt;&gt;"Grade"</formula>
    </cfRule>
  </conditionalFormatting>
  <conditionalFormatting sqref="CJ7:CK7">
    <cfRule type="expression" dxfId="23" priority="6">
      <formula>$CD7&lt;&gt;"Grade"</formula>
    </cfRule>
  </conditionalFormatting>
  <conditionalFormatting sqref="BS8:BY11">
    <cfRule type="expression" dxfId="22" priority="5">
      <formula>$Y8="No"</formula>
    </cfRule>
  </conditionalFormatting>
  <conditionalFormatting sqref="BV8:BV11">
    <cfRule type="expression" dxfId="21" priority="4">
      <formula>$Y8="No"</formula>
    </cfRule>
  </conditionalFormatting>
  <conditionalFormatting sqref="CA8:CF11 CH8:CL11 CN8:CQ11">
    <cfRule type="expression" dxfId="20" priority="3">
      <formula>$Z8&lt;&gt;"Yes"</formula>
    </cfRule>
  </conditionalFormatting>
  <conditionalFormatting sqref="CE8:CF11">
    <cfRule type="expression" dxfId="19" priority="2">
      <formula>$CD8&lt;&gt;"Grade"</formula>
    </cfRule>
  </conditionalFormatting>
  <conditionalFormatting sqref="CJ8:CK11">
    <cfRule type="expression" dxfId="18" priority="1">
      <formula>$CD8&lt;&gt;"Grade"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ileWeave_Click">
                <anchor moveWithCells="1" sizeWithCells="1">
                  <from>
                    <xdr:col>1</xdr:col>
                    <xdr:colOff>409575</xdr:colOff>
                    <xdr:row>0</xdr:row>
                    <xdr:rowOff>133350</xdr:rowOff>
                  </from>
                  <to>
                    <xdr:col>4</xdr:col>
                    <xdr:colOff>76200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300-000000000000}">
          <x14:formula1>
            <xm:f>DropDowns!$B$20:$B$22</xm:f>
          </x14:formula1>
          <xm:sqref>CB7:CB11</xm:sqref>
        </x14:dataValidation>
        <x14:dataValidation type="list" allowBlank="1" showInputMessage="1" showErrorMessage="1" xr:uid="{00000000-0002-0000-0300-000001000000}">
          <x14:formula1>
            <xm:f>DropDowns!$I$7:$I$8</xm:f>
          </x14:formula1>
          <xm:sqref>AK7:AK11</xm:sqref>
        </x14:dataValidation>
        <x14:dataValidation type="list" allowBlank="1" showInputMessage="1" showErrorMessage="1" xr:uid="{00000000-0002-0000-0300-000002000000}">
          <x14:formula1>
            <xm:f>DropDowns!$G$7:$G$17</xm:f>
          </x14:formula1>
          <xm:sqref>AJ7:AJ11</xm:sqref>
        </x14:dataValidation>
        <x14:dataValidation type="list" allowBlank="1" showInputMessage="1" showErrorMessage="1" xr:uid="{00000000-0002-0000-0300-000003000000}">
          <x14:formula1>
            <xm:f>DropDowns!$D$7:$D$11</xm:f>
          </x14:formula1>
          <xm:sqref>CN7:CN11 AI7:AI11</xm:sqref>
        </x14:dataValidation>
        <x14:dataValidation type="list" allowBlank="1" showInputMessage="1" showErrorMessage="1" xr:uid="{00000000-0002-0000-0300-000004000000}">
          <x14:formula1>
            <xm:f>DropDowns!$B$7:$B$9</xm:f>
          </x14:formula1>
          <xm:sqref>BH7:BH11 BV7:BV11 R7:R11 AP7:AP11 CD7:CD11</xm:sqref>
        </x14:dataValidation>
        <x14:dataValidation type="list" allowBlank="1" showInputMessage="1" showErrorMessage="1" xr:uid="{00000000-0002-0000-0300-000005000000}">
          <x14:formula1>
            <xm:f>DropDowns!$B$2:$B$3</xm:f>
          </x14:formula1>
          <xm:sqref>X7:Z11</xm:sqref>
        </x14:dataValidation>
        <x14:dataValidation type="list" allowBlank="1" showInputMessage="1" showErrorMessage="1" xr:uid="{00000000-0002-0000-0300-000006000000}">
          <x14:formula1>
            <xm:f>DropDowns!$D$34:$D$35</xm:f>
          </x14:formula1>
          <xm:sqref>BS7:BS11</xm:sqref>
        </x14:dataValidation>
        <x14:dataValidation type="list" allowBlank="1" showInputMessage="1" showErrorMessage="1" xr:uid="{196DC665-2E0F-4189-B5D4-B9180402C778}">
          <x14:formula1>
            <xm:f>DropDowns!$B$34:$B$35</xm:f>
          </x14:formula1>
          <xm:sqref>N7:N11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I35"/>
  <sheetViews>
    <sheetView workbookViewId="0">
      <selection activeCell="M23" sqref="M23"/>
    </sheetView>
  </sheetViews>
  <sheetFormatPr defaultColWidth="9.140625" defaultRowHeight="12.75" x14ac:dyDescent="0.2"/>
  <cols>
    <col min="1" max="16384" width="9.140625" style="33"/>
  </cols>
  <sheetData>
    <row r="2" spans="2:9" x14ac:dyDescent="0.2">
      <c r="B2" s="33" t="s">
        <v>67</v>
      </c>
      <c r="C2" s="33" t="str">
        <f>LOWER(TRUE)</f>
        <v>true</v>
      </c>
    </row>
    <row r="3" spans="2:9" x14ac:dyDescent="0.2">
      <c r="B3" s="33" t="s">
        <v>68</v>
      </c>
      <c r="C3" s="33" t="str">
        <f>LOWER(FALSE)</f>
        <v>false</v>
      </c>
    </row>
    <row r="6" spans="2:9" x14ac:dyDescent="0.2">
      <c r="B6" s="33" t="s">
        <v>32</v>
      </c>
      <c r="D6" s="33" t="s">
        <v>41</v>
      </c>
      <c r="G6" s="33" t="s">
        <v>42</v>
      </c>
      <c r="I6" s="33" t="s">
        <v>43</v>
      </c>
    </row>
    <row r="7" spans="2:9" x14ac:dyDescent="0.2">
      <c r="B7" s="33" t="s">
        <v>63</v>
      </c>
      <c r="D7" s="33" t="s">
        <v>118</v>
      </c>
      <c r="G7" s="33" t="s">
        <v>105</v>
      </c>
      <c r="I7" s="33" t="s">
        <v>110</v>
      </c>
    </row>
    <row r="8" spans="2:9" x14ac:dyDescent="0.2">
      <c r="B8" s="33" t="s">
        <v>64</v>
      </c>
      <c r="D8" s="33" t="s">
        <v>119</v>
      </c>
      <c r="G8" s="33" t="s">
        <v>106</v>
      </c>
      <c r="I8" s="33" t="s">
        <v>111</v>
      </c>
    </row>
    <row r="9" spans="2:9" x14ac:dyDescent="0.2">
      <c r="B9" s="33" t="s">
        <v>266</v>
      </c>
      <c r="D9" s="33" t="s">
        <v>120</v>
      </c>
      <c r="G9" s="33" t="s">
        <v>107</v>
      </c>
    </row>
    <row r="10" spans="2:9" x14ac:dyDescent="0.2">
      <c r="D10" s="33" t="s">
        <v>121</v>
      </c>
      <c r="G10" s="33" t="s">
        <v>108</v>
      </c>
    </row>
    <row r="11" spans="2:9" x14ac:dyDescent="0.2">
      <c r="D11" s="33" t="s">
        <v>122</v>
      </c>
      <c r="G11" s="33" t="s">
        <v>109</v>
      </c>
    </row>
    <row r="12" spans="2:9" x14ac:dyDescent="0.2">
      <c r="G12" s="33" t="s">
        <v>112</v>
      </c>
    </row>
    <row r="13" spans="2:9" x14ac:dyDescent="0.2">
      <c r="G13" s="33" t="s">
        <v>113</v>
      </c>
    </row>
    <row r="14" spans="2:9" x14ac:dyDescent="0.2">
      <c r="G14" s="33" t="s">
        <v>114</v>
      </c>
    </row>
    <row r="15" spans="2:9" x14ac:dyDescent="0.2">
      <c r="G15" s="33" t="s">
        <v>115</v>
      </c>
    </row>
    <row r="16" spans="2:9" x14ac:dyDescent="0.2">
      <c r="G16" s="33" t="s">
        <v>116</v>
      </c>
    </row>
    <row r="17" spans="2:8" x14ac:dyDescent="0.2">
      <c r="G17" s="33" t="s">
        <v>117</v>
      </c>
    </row>
    <row r="19" spans="2:8" x14ac:dyDescent="0.2">
      <c r="B19" s="33" t="s">
        <v>51</v>
      </c>
    </row>
    <row r="20" spans="2:8" x14ac:dyDescent="0.2">
      <c r="B20" s="33" t="s">
        <v>123</v>
      </c>
    </row>
    <row r="21" spans="2:8" x14ac:dyDescent="0.2">
      <c r="B21" s="33" t="s">
        <v>129</v>
      </c>
    </row>
    <row r="22" spans="2:8" x14ac:dyDescent="0.2">
      <c r="B22" s="33" t="s">
        <v>130</v>
      </c>
    </row>
    <row r="24" spans="2:8" x14ac:dyDescent="0.2">
      <c r="B24" s="33" t="s">
        <v>55</v>
      </c>
      <c r="D24" s="33" t="s">
        <v>56</v>
      </c>
      <c r="F24" s="33" t="s">
        <v>57</v>
      </c>
      <c r="H24" s="33" t="s">
        <v>59</v>
      </c>
    </row>
    <row r="25" spans="2:8" x14ac:dyDescent="0.2">
      <c r="B25" s="33" t="s">
        <v>111</v>
      </c>
      <c r="D25" s="33" t="s">
        <v>124</v>
      </c>
      <c r="F25" s="33" t="s">
        <v>66</v>
      </c>
      <c r="H25" s="33" t="s">
        <v>126</v>
      </c>
    </row>
    <row r="26" spans="2:8" x14ac:dyDescent="0.2">
      <c r="D26" s="33" t="s">
        <v>125</v>
      </c>
      <c r="F26" s="33" t="s">
        <v>65</v>
      </c>
      <c r="H26" s="33" t="s">
        <v>127</v>
      </c>
    </row>
    <row r="28" spans="2:8" x14ac:dyDescent="0.2">
      <c r="B28" s="33" t="s">
        <v>137</v>
      </c>
      <c r="D28" s="33" t="s">
        <v>149</v>
      </c>
      <c r="F28" s="33" t="s">
        <v>160</v>
      </c>
    </row>
    <row r="29" spans="2:8" x14ac:dyDescent="0.2">
      <c r="B29" s="33" t="s">
        <v>147</v>
      </c>
      <c r="D29" s="33" t="s">
        <v>183</v>
      </c>
      <c r="F29" s="33" t="s">
        <v>150</v>
      </c>
    </row>
    <row r="30" spans="2:8" x14ac:dyDescent="0.2">
      <c r="B30" s="33" t="s">
        <v>148</v>
      </c>
      <c r="D30" s="33" t="s">
        <v>186</v>
      </c>
      <c r="F30" s="33" t="s">
        <v>151</v>
      </c>
    </row>
    <row r="31" spans="2:8" x14ac:dyDescent="0.2">
      <c r="D31" s="33" t="s">
        <v>185</v>
      </c>
    </row>
    <row r="33" spans="2:4" x14ac:dyDescent="0.2">
      <c r="B33" s="33" t="s">
        <v>188</v>
      </c>
      <c r="D33" s="33" t="s">
        <v>218</v>
      </c>
    </row>
    <row r="34" spans="2:4" x14ac:dyDescent="0.2">
      <c r="B34" s="33" t="s">
        <v>196</v>
      </c>
      <c r="D34" s="33" t="s">
        <v>260</v>
      </c>
    </row>
    <row r="35" spans="2:4" x14ac:dyDescent="0.2">
      <c r="B35" s="33" t="s">
        <v>197</v>
      </c>
      <c r="D35" s="33" t="s">
        <v>261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B5176-9589-4010-A424-B6DE9B9A7662}">
  <sheetPr codeName="Sheet7"/>
  <dimension ref="A1:BB70"/>
  <sheetViews>
    <sheetView zoomScaleNormal="100" workbookViewId="0">
      <selection activeCell="P40" sqref="P40"/>
    </sheetView>
  </sheetViews>
  <sheetFormatPr defaultColWidth="6.85546875" defaultRowHeight="15" x14ac:dyDescent="0.25"/>
  <cols>
    <col min="1" max="1" width="6.85546875" style="41"/>
    <col min="2" max="2" width="68.7109375" style="41" customWidth="1"/>
    <col min="3" max="3" width="12" style="41" customWidth="1"/>
    <col min="4" max="11" width="6.5703125" style="41" hidden="1" customWidth="1"/>
    <col min="12" max="12" width="6.5703125" style="41" customWidth="1"/>
    <col min="13" max="13" width="6.5703125" style="41" hidden="1" customWidth="1"/>
    <col min="14" max="17" width="6.5703125" style="41" customWidth="1"/>
    <col min="18" max="18" width="6.5703125" style="41" hidden="1" customWidth="1"/>
    <col min="19" max="21" width="6.5703125" style="41" customWidth="1"/>
    <col min="22" max="22" width="6.5703125" style="41" hidden="1" customWidth="1"/>
    <col min="23" max="24" width="6.5703125" style="41" customWidth="1"/>
    <col min="25" max="25" width="8.42578125" style="41" customWidth="1"/>
    <col min="26" max="26" width="6" style="41" customWidth="1"/>
    <col min="27" max="27" width="7.42578125" style="41" customWidth="1"/>
    <col min="28" max="28" width="6.140625" style="41" customWidth="1"/>
    <col min="29" max="30" width="8.42578125" style="41" bestFit="1" customWidth="1"/>
    <col min="31" max="32" width="7.7109375" style="41" customWidth="1"/>
    <col min="33" max="16384" width="6.85546875" style="41"/>
  </cols>
  <sheetData>
    <row r="1" spans="1:54" ht="15.75" x14ac:dyDescent="0.25">
      <c r="B1" s="173" t="s">
        <v>431</v>
      </c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</row>
    <row r="2" spans="1:54" ht="15" customHeight="1" x14ac:dyDescent="0.25">
      <c r="A2" s="167" t="s">
        <v>21</v>
      </c>
      <c r="B2" s="174" t="s">
        <v>262</v>
      </c>
      <c r="C2" s="190" t="s">
        <v>342</v>
      </c>
      <c r="D2" s="177" t="s">
        <v>336</v>
      </c>
      <c r="E2" s="178"/>
      <c r="F2" s="178"/>
      <c r="G2" s="178"/>
      <c r="H2" s="178"/>
      <c r="I2" s="178"/>
      <c r="J2" s="178"/>
      <c r="K2" s="179"/>
      <c r="L2" s="177" t="s">
        <v>337</v>
      </c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9"/>
    </row>
    <row r="3" spans="1:54" x14ac:dyDescent="0.25">
      <c r="A3" s="168"/>
      <c r="B3" s="175"/>
      <c r="C3" s="191"/>
      <c r="D3" s="180"/>
      <c r="E3" s="181"/>
      <c r="F3" s="181"/>
      <c r="G3" s="181"/>
      <c r="H3" s="181"/>
      <c r="I3" s="181"/>
      <c r="J3" s="181"/>
      <c r="K3" s="182"/>
      <c r="L3" s="180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2"/>
    </row>
    <row r="4" spans="1:54" x14ac:dyDescent="0.25">
      <c r="A4" s="168"/>
      <c r="B4" s="175"/>
      <c r="C4" s="191"/>
      <c r="D4" s="180"/>
      <c r="E4" s="183"/>
      <c r="F4" s="183"/>
      <c r="G4" s="183"/>
      <c r="H4" s="183"/>
      <c r="I4" s="183"/>
      <c r="J4" s="183"/>
      <c r="K4" s="182"/>
      <c r="L4" s="180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2"/>
    </row>
    <row r="5" spans="1:54" ht="51" customHeight="1" x14ac:dyDescent="0.25">
      <c r="A5" s="168"/>
      <c r="B5" s="175"/>
      <c r="C5" s="191"/>
      <c r="D5" s="184" t="s">
        <v>338</v>
      </c>
      <c r="E5" s="185"/>
      <c r="F5" s="185"/>
      <c r="G5" s="186" t="s">
        <v>339</v>
      </c>
      <c r="H5" s="187"/>
      <c r="I5" s="187"/>
      <c r="J5" s="187"/>
      <c r="K5" s="188"/>
      <c r="L5" s="184" t="s">
        <v>183</v>
      </c>
      <c r="M5" s="185"/>
      <c r="N5" s="185"/>
      <c r="O5" s="189"/>
      <c r="P5" s="186" t="s">
        <v>340</v>
      </c>
      <c r="Q5" s="187"/>
      <c r="R5" s="187"/>
      <c r="S5" s="187"/>
      <c r="T5" s="188"/>
      <c r="U5" s="187" t="s">
        <v>341</v>
      </c>
      <c r="V5" s="187"/>
      <c r="W5" s="187"/>
      <c r="X5" s="188"/>
      <c r="AS5" s="44"/>
    </row>
    <row r="6" spans="1:54" ht="57.75" customHeight="1" x14ac:dyDescent="0.25">
      <c r="A6" s="169"/>
      <c r="B6" s="176"/>
      <c r="C6" s="192"/>
      <c r="D6" s="121" t="s">
        <v>343</v>
      </c>
      <c r="E6" s="122" t="s">
        <v>344</v>
      </c>
      <c r="F6" s="126" t="s">
        <v>345</v>
      </c>
      <c r="G6" s="128" t="s">
        <v>346</v>
      </c>
      <c r="H6" s="123" t="s">
        <v>347</v>
      </c>
      <c r="I6" s="123" t="s">
        <v>348</v>
      </c>
      <c r="J6" s="123" t="s">
        <v>349</v>
      </c>
      <c r="K6" s="131" t="s">
        <v>350</v>
      </c>
      <c r="L6" s="121" t="s">
        <v>71</v>
      </c>
      <c r="M6" s="122" t="s">
        <v>72</v>
      </c>
      <c r="N6" s="122" t="s">
        <v>73</v>
      </c>
      <c r="O6" s="126" t="s">
        <v>74</v>
      </c>
      <c r="P6" s="128" t="s">
        <v>351</v>
      </c>
      <c r="Q6" s="124" t="s">
        <v>352</v>
      </c>
      <c r="R6" s="125" t="s">
        <v>184</v>
      </c>
      <c r="S6" s="124" t="s">
        <v>156</v>
      </c>
      <c r="T6" s="129" t="s">
        <v>74</v>
      </c>
      <c r="U6" s="130" t="s">
        <v>71</v>
      </c>
      <c r="V6" s="127" t="s">
        <v>72</v>
      </c>
      <c r="W6" s="127" t="s">
        <v>73</v>
      </c>
      <c r="X6" s="126" t="s">
        <v>74</v>
      </c>
      <c r="Y6" s="42"/>
      <c r="Z6" s="42"/>
    </row>
    <row r="7" spans="1:54" hidden="1" x14ac:dyDescent="0.25">
      <c r="A7" s="170" t="s">
        <v>264</v>
      </c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2"/>
    </row>
    <row r="8" spans="1:54" hidden="1" x14ac:dyDescent="0.25">
      <c r="A8" s="148">
        <v>1</v>
      </c>
      <c r="B8" s="149" t="s">
        <v>353</v>
      </c>
      <c r="C8" s="147" t="s">
        <v>183</v>
      </c>
      <c r="D8" s="141">
        <v>1960</v>
      </c>
      <c r="E8" s="82"/>
      <c r="F8" s="83"/>
      <c r="G8" s="142"/>
      <c r="H8" s="142"/>
      <c r="I8" s="142"/>
      <c r="J8" s="142"/>
      <c r="K8" s="143"/>
      <c r="L8" s="144">
        <v>0.36651515151515102</v>
      </c>
      <c r="M8" s="83">
        <v>47.3</v>
      </c>
      <c r="N8" s="83">
        <v>17</v>
      </c>
      <c r="O8" s="84" t="s">
        <v>424</v>
      </c>
      <c r="P8" s="84"/>
      <c r="Q8" s="84"/>
      <c r="R8" s="83"/>
      <c r="S8" s="145"/>
      <c r="T8" s="83"/>
      <c r="U8" s="106"/>
      <c r="V8" s="84"/>
      <c r="W8" s="84"/>
      <c r="X8" s="85"/>
    </row>
    <row r="9" spans="1:54" hidden="1" x14ac:dyDescent="0.25">
      <c r="A9" s="148">
        <v>2</v>
      </c>
      <c r="B9" s="149" t="s">
        <v>354</v>
      </c>
      <c r="C9" s="147" t="s">
        <v>150</v>
      </c>
      <c r="D9" s="66">
        <v>1960</v>
      </c>
      <c r="E9" s="56">
        <v>310</v>
      </c>
      <c r="F9" s="57"/>
      <c r="G9" s="58"/>
      <c r="H9" s="58"/>
      <c r="I9" s="58"/>
      <c r="J9" s="58"/>
      <c r="K9" s="111"/>
      <c r="L9" s="59"/>
      <c r="M9" s="57"/>
      <c r="N9" s="57"/>
      <c r="O9" s="61"/>
      <c r="P9" s="62">
        <v>0.41</v>
      </c>
      <c r="Q9" s="62">
        <v>0.17320758090470201</v>
      </c>
      <c r="R9" s="57">
        <v>51.2</v>
      </c>
      <c r="S9" s="133">
        <v>15</v>
      </c>
      <c r="T9" s="57" t="s">
        <v>424</v>
      </c>
      <c r="U9" s="62"/>
      <c r="V9" s="61"/>
      <c r="W9" s="61"/>
      <c r="X9" s="64"/>
    </row>
    <row r="10" spans="1:54" hidden="1" x14ac:dyDescent="0.25">
      <c r="A10" s="148">
        <v>3</v>
      </c>
      <c r="B10" s="149" t="s">
        <v>355</v>
      </c>
      <c r="C10" s="147" t="s">
        <v>355</v>
      </c>
      <c r="D10" s="66">
        <v>2270</v>
      </c>
      <c r="E10" s="65"/>
      <c r="F10" s="65"/>
      <c r="G10" s="66"/>
      <c r="H10" s="66"/>
      <c r="I10" s="66"/>
      <c r="J10" s="66"/>
      <c r="K10" s="112"/>
      <c r="L10" s="59"/>
      <c r="M10" s="57"/>
      <c r="N10" s="57">
        <f>MAX(S9,W11)</f>
        <v>23.1</v>
      </c>
      <c r="O10" s="61" t="str">
        <f>IF(T9&gt;=X11,T9,X11)</f>
        <v>C</v>
      </c>
      <c r="P10" s="62"/>
      <c r="Q10" s="62"/>
      <c r="R10" s="57"/>
      <c r="S10" s="133"/>
      <c r="T10" s="57"/>
      <c r="U10" s="62"/>
      <c r="V10" s="61"/>
      <c r="W10" s="61"/>
      <c r="X10" s="64"/>
      <c r="AW10" s="162" t="s">
        <v>356</v>
      </c>
      <c r="AX10" s="41" t="s">
        <v>347</v>
      </c>
      <c r="BB10" s="162" t="s">
        <v>357</v>
      </c>
    </row>
    <row r="11" spans="1:54" ht="15.75" hidden="1" thickBot="1" x14ac:dyDescent="0.3">
      <c r="A11" s="148">
        <v>4</v>
      </c>
      <c r="B11" s="149" t="s">
        <v>358</v>
      </c>
      <c r="C11" s="147" t="s">
        <v>341</v>
      </c>
      <c r="D11" s="66">
        <v>2270</v>
      </c>
      <c r="E11" s="65">
        <v>1070</v>
      </c>
      <c r="F11" s="65">
        <v>490</v>
      </c>
      <c r="G11" s="66">
        <v>0</v>
      </c>
      <c r="H11" s="66">
        <f>D11-I11</f>
        <v>1780</v>
      </c>
      <c r="I11" s="66">
        <f>F11-K11</f>
        <v>490</v>
      </c>
      <c r="J11" s="66">
        <f>E11-K11</f>
        <v>1070</v>
      </c>
      <c r="K11" s="112">
        <f>E11*G11</f>
        <v>0</v>
      </c>
      <c r="L11" s="59"/>
      <c r="M11" s="57"/>
      <c r="N11" s="57"/>
      <c r="O11" s="61"/>
      <c r="P11" s="62"/>
      <c r="Q11" s="62"/>
      <c r="R11" s="57"/>
      <c r="S11" s="133"/>
      <c r="T11" s="57"/>
      <c r="U11" s="62">
        <v>0.59512708677996695</v>
      </c>
      <c r="V11" s="61">
        <v>42.8</v>
      </c>
      <c r="W11" s="61">
        <v>23.1</v>
      </c>
      <c r="X11" s="64" t="s">
        <v>423</v>
      </c>
      <c r="AW11" s="162"/>
      <c r="AX11" s="41" t="s">
        <v>348</v>
      </c>
      <c r="BB11" s="162"/>
    </row>
    <row r="12" spans="1:54" hidden="1" x14ac:dyDescent="0.25">
      <c r="A12" s="148">
        <v>5</v>
      </c>
      <c r="B12" s="149" t="s">
        <v>359</v>
      </c>
      <c r="C12" s="147" t="s">
        <v>183</v>
      </c>
      <c r="D12" s="66">
        <v>2850</v>
      </c>
      <c r="E12" s="65"/>
      <c r="F12" s="65"/>
      <c r="G12" s="66"/>
      <c r="H12" s="66"/>
      <c r="I12" s="66"/>
      <c r="J12" s="66"/>
      <c r="K12" s="112"/>
      <c r="L12" s="59">
        <v>0.53287878787878695</v>
      </c>
      <c r="M12" s="57">
        <v>48</v>
      </c>
      <c r="N12" s="57">
        <v>24.4</v>
      </c>
      <c r="O12" s="61" t="s">
        <v>423</v>
      </c>
      <c r="P12" s="62"/>
      <c r="Q12" s="62"/>
      <c r="R12" s="57"/>
      <c r="S12" s="133"/>
      <c r="T12" s="57"/>
      <c r="U12" s="62"/>
      <c r="V12" s="61"/>
      <c r="W12" s="61"/>
      <c r="X12" s="64"/>
      <c r="AX12" s="163"/>
      <c r="AY12" s="67"/>
      <c r="AZ12" s="67"/>
      <c r="BA12" s="165"/>
    </row>
    <row r="13" spans="1:54" hidden="1" x14ac:dyDescent="0.25">
      <c r="A13" s="148">
        <v>6</v>
      </c>
      <c r="B13" s="149" t="s">
        <v>360</v>
      </c>
      <c r="C13" s="147" t="s">
        <v>150</v>
      </c>
      <c r="D13" s="66">
        <v>2850</v>
      </c>
      <c r="E13" s="65">
        <v>890</v>
      </c>
      <c r="F13" s="65"/>
      <c r="G13" s="66"/>
      <c r="H13" s="66"/>
      <c r="I13" s="66"/>
      <c r="J13" s="66"/>
      <c r="K13" s="112"/>
      <c r="L13" s="59"/>
      <c r="M13" s="57"/>
      <c r="N13" s="57"/>
      <c r="O13" s="61"/>
      <c r="P13" s="62">
        <v>0.67</v>
      </c>
      <c r="Q13" s="62">
        <v>0.49727337743608002</v>
      </c>
      <c r="R13" s="57">
        <v>49.8</v>
      </c>
      <c r="S13" s="133">
        <v>28.5</v>
      </c>
      <c r="T13" s="57" t="s">
        <v>422</v>
      </c>
      <c r="U13" s="62"/>
      <c r="V13" s="61"/>
      <c r="W13" s="61"/>
      <c r="X13" s="64"/>
      <c r="AX13" s="164"/>
      <c r="BA13" s="166"/>
    </row>
    <row r="14" spans="1:54" hidden="1" x14ac:dyDescent="0.25">
      <c r="A14" s="148">
        <v>7</v>
      </c>
      <c r="B14" s="149" t="s">
        <v>355</v>
      </c>
      <c r="C14" s="147" t="s">
        <v>355</v>
      </c>
      <c r="D14" s="66">
        <v>3740</v>
      </c>
      <c r="E14" s="65"/>
      <c r="F14" s="65"/>
      <c r="G14" s="66"/>
      <c r="H14" s="66"/>
      <c r="I14" s="66"/>
      <c r="J14" s="66"/>
      <c r="K14" s="112"/>
      <c r="L14" s="59"/>
      <c r="M14" s="57"/>
      <c r="N14" s="57">
        <f>MAX(S13,S15)</f>
        <v>28.9</v>
      </c>
      <c r="O14" s="61" t="str">
        <f>IF(T13&gt;=T15,T13,T15)</f>
        <v>D</v>
      </c>
      <c r="P14" s="62"/>
      <c r="Q14" s="62"/>
      <c r="R14" s="57"/>
      <c r="S14" s="134"/>
      <c r="T14" s="57"/>
      <c r="U14" s="62"/>
      <c r="V14" s="61"/>
      <c r="W14" s="61"/>
      <c r="X14" s="64"/>
      <c r="AW14" s="162" t="s">
        <v>361</v>
      </c>
      <c r="AX14" s="41" t="s">
        <v>349</v>
      </c>
      <c r="BB14" s="162" t="s">
        <v>362</v>
      </c>
    </row>
    <row r="15" spans="1:54" hidden="1" x14ac:dyDescent="0.25">
      <c r="A15" s="148">
        <v>8</v>
      </c>
      <c r="B15" s="149" t="s">
        <v>363</v>
      </c>
      <c r="C15" s="147" t="s">
        <v>151</v>
      </c>
      <c r="D15" s="66">
        <v>3740</v>
      </c>
      <c r="E15" s="65"/>
      <c r="F15" s="65">
        <v>400</v>
      </c>
      <c r="G15" s="66"/>
      <c r="H15" s="66"/>
      <c r="I15" s="66"/>
      <c r="J15" s="66"/>
      <c r="K15" s="112"/>
      <c r="L15" s="59"/>
      <c r="M15" s="57"/>
      <c r="N15" s="57"/>
      <c r="O15" s="61"/>
      <c r="P15" s="62">
        <v>0.68</v>
      </c>
      <c r="Q15" s="62">
        <v>0.22349365278026101</v>
      </c>
      <c r="R15" s="57">
        <v>48.9</v>
      </c>
      <c r="S15" s="133">
        <v>28.9</v>
      </c>
      <c r="T15" s="57" t="s">
        <v>422</v>
      </c>
      <c r="U15" s="62"/>
      <c r="V15" s="61"/>
      <c r="W15" s="61"/>
      <c r="X15" s="64"/>
      <c r="AW15" s="162"/>
      <c r="AX15" s="41" t="s">
        <v>350</v>
      </c>
      <c r="BB15" s="162"/>
    </row>
    <row r="16" spans="1:54" hidden="1" x14ac:dyDescent="0.25">
      <c r="A16" s="148">
        <v>9</v>
      </c>
      <c r="B16" s="149" t="s">
        <v>364</v>
      </c>
      <c r="C16" s="147" t="s">
        <v>183</v>
      </c>
      <c r="D16" s="66">
        <v>3340</v>
      </c>
      <c r="E16" s="65"/>
      <c r="F16" s="65"/>
      <c r="G16" s="66"/>
      <c r="H16" s="66"/>
      <c r="I16" s="66"/>
      <c r="J16" s="66"/>
      <c r="K16" s="112"/>
      <c r="L16" s="59">
        <v>0.62454545454545396</v>
      </c>
      <c r="M16" s="57">
        <v>46.9</v>
      </c>
      <c r="N16" s="57">
        <v>29.3</v>
      </c>
      <c r="O16" s="61" t="s">
        <v>422</v>
      </c>
      <c r="P16" s="62"/>
      <c r="Q16" s="62"/>
      <c r="R16" s="57"/>
      <c r="S16" s="134"/>
      <c r="T16" s="57"/>
      <c r="U16" s="62"/>
      <c r="V16" s="61"/>
      <c r="W16" s="61"/>
      <c r="X16" s="64"/>
    </row>
    <row r="17" spans="1:50" hidden="1" x14ac:dyDescent="0.25">
      <c r="A17" s="148">
        <v>10</v>
      </c>
      <c r="B17" s="149" t="s">
        <v>365</v>
      </c>
      <c r="C17" s="147" t="s">
        <v>150</v>
      </c>
      <c r="D17" s="66">
        <v>3340</v>
      </c>
      <c r="E17" s="65">
        <v>1940</v>
      </c>
      <c r="F17" s="65"/>
      <c r="G17" s="66"/>
      <c r="H17" s="66"/>
      <c r="I17" s="66"/>
      <c r="J17" s="66"/>
      <c r="K17" s="112"/>
      <c r="L17" s="59"/>
      <c r="M17" s="57"/>
      <c r="N17" s="57"/>
      <c r="O17" s="61"/>
      <c r="P17" s="62">
        <v>0.93</v>
      </c>
      <c r="Q17" s="62">
        <v>1.0839442159842601</v>
      </c>
      <c r="R17" s="57">
        <v>46.1</v>
      </c>
      <c r="S17" s="57">
        <v>38.700000000000003</v>
      </c>
      <c r="T17" s="57" t="s">
        <v>432</v>
      </c>
      <c r="U17" s="62"/>
      <c r="V17" s="61"/>
      <c r="W17" s="61"/>
      <c r="X17" s="64"/>
    </row>
    <row r="18" spans="1:50" hidden="1" x14ac:dyDescent="0.25">
      <c r="A18" s="148">
        <v>11</v>
      </c>
      <c r="B18" s="149" t="s">
        <v>366</v>
      </c>
      <c r="C18" s="147" t="s">
        <v>183</v>
      </c>
      <c r="D18" s="66">
        <v>5280</v>
      </c>
      <c r="E18" s="65"/>
      <c r="F18" s="65"/>
      <c r="G18" s="66"/>
      <c r="H18" s="66"/>
      <c r="I18" s="66"/>
      <c r="J18" s="66"/>
      <c r="K18" s="112"/>
      <c r="L18" s="59">
        <v>0.98727272727272697</v>
      </c>
      <c r="M18" s="57">
        <v>48.8888888888888</v>
      </c>
      <c r="N18" s="57">
        <v>45</v>
      </c>
      <c r="O18" s="61" t="s">
        <v>425</v>
      </c>
      <c r="P18" s="62"/>
      <c r="Q18" s="62"/>
      <c r="R18" s="57"/>
      <c r="S18" s="133"/>
      <c r="T18" s="57"/>
      <c r="U18" s="62"/>
      <c r="V18" s="61"/>
      <c r="W18" s="61"/>
      <c r="X18" s="64"/>
      <c r="AX18" s="41" t="s">
        <v>263</v>
      </c>
    </row>
    <row r="19" spans="1:50" hidden="1" x14ac:dyDescent="0.25">
      <c r="A19" s="148">
        <v>12</v>
      </c>
      <c r="B19" s="149" t="s">
        <v>367</v>
      </c>
      <c r="C19" s="147" t="s">
        <v>151</v>
      </c>
      <c r="D19" s="66">
        <v>5280</v>
      </c>
      <c r="E19" s="65"/>
      <c r="F19" s="65">
        <v>410</v>
      </c>
      <c r="G19" s="66"/>
      <c r="H19" s="66"/>
      <c r="I19" s="66"/>
      <c r="J19" s="66"/>
      <c r="K19" s="112"/>
      <c r="L19" s="59"/>
      <c r="M19" s="57"/>
      <c r="N19" s="57"/>
      <c r="O19" s="61"/>
      <c r="P19" s="62">
        <v>0.97</v>
      </c>
      <c r="Q19" s="62">
        <v>0.22908099409976701</v>
      </c>
      <c r="R19" s="57">
        <v>48.9</v>
      </c>
      <c r="S19" s="133">
        <v>33.9</v>
      </c>
      <c r="T19" s="57" t="s">
        <v>422</v>
      </c>
      <c r="U19" s="62"/>
      <c r="V19" s="61"/>
      <c r="W19" s="61"/>
      <c r="X19" s="64"/>
      <c r="AX19" s="41" t="s">
        <v>368</v>
      </c>
    </row>
    <row r="20" spans="1:50" hidden="1" x14ac:dyDescent="0.25">
      <c r="A20" s="148">
        <v>13</v>
      </c>
      <c r="B20" s="149" t="s">
        <v>369</v>
      </c>
      <c r="C20" s="147" t="s">
        <v>183</v>
      </c>
      <c r="D20" s="66">
        <v>4870</v>
      </c>
      <c r="E20" s="65"/>
      <c r="F20" s="65"/>
      <c r="G20" s="66"/>
      <c r="H20" s="66"/>
      <c r="I20" s="66"/>
      <c r="J20" s="66"/>
      <c r="K20" s="112"/>
      <c r="L20" s="59">
        <v>0.97</v>
      </c>
      <c r="M20" s="57">
        <v>46.5</v>
      </c>
      <c r="N20" s="57">
        <v>43.1</v>
      </c>
      <c r="O20" s="61" t="s">
        <v>432</v>
      </c>
      <c r="P20" s="62"/>
      <c r="Q20" s="62"/>
      <c r="R20" s="57"/>
      <c r="S20" s="133"/>
      <c r="T20" s="57"/>
      <c r="U20" s="62"/>
      <c r="V20" s="61"/>
      <c r="W20" s="61"/>
      <c r="X20" s="64"/>
      <c r="AX20" s="41" t="s">
        <v>370</v>
      </c>
    </row>
    <row r="21" spans="1:50" hidden="1" x14ac:dyDescent="0.25">
      <c r="A21" s="148">
        <v>14</v>
      </c>
      <c r="B21" s="149" t="s">
        <v>371</v>
      </c>
      <c r="C21" s="147" t="s">
        <v>151</v>
      </c>
      <c r="D21" s="66">
        <v>4870</v>
      </c>
      <c r="E21" s="65"/>
      <c r="F21" s="65">
        <v>940</v>
      </c>
      <c r="G21" s="66"/>
      <c r="H21" s="66"/>
      <c r="I21" s="66"/>
      <c r="J21" s="66"/>
      <c r="K21" s="112"/>
      <c r="L21" s="59"/>
      <c r="M21" s="57"/>
      <c r="N21" s="57"/>
      <c r="O21" s="61"/>
      <c r="P21" s="62">
        <v>0.89</v>
      </c>
      <c r="Q21" s="62">
        <v>0.52521008403361302</v>
      </c>
      <c r="R21" s="57">
        <v>48.2</v>
      </c>
      <c r="S21" s="133">
        <v>36.299999999999997</v>
      </c>
      <c r="T21" s="69" t="s">
        <v>432</v>
      </c>
      <c r="U21" s="70"/>
      <c r="V21" s="86"/>
      <c r="W21" s="86"/>
      <c r="X21" s="71"/>
      <c r="Y21" s="72"/>
      <c r="AX21" s="41" t="s">
        <v>372</v>
      </c>
    </row>
    <row r="22" spans="1:50" hidden="1" x14ac:dyDescent="0.25">
      <c r="A22" s="148">
        <v>15</v>
      </c>
      <c r="B22" s="149" t="s">
        <v>373</v>
      </c>
      <c r="C22" s="147" t="s">
        <v>183</v>
      </c>
      <c r="D22" s="66">
        <v>3930</v>
      </c>
      <c r="E22" s="65"/>
      <c r="F22" s="65"/>
      <c r="G22" s="66"/>
      <c r="H22" s="66"/>
      <c r="I22" s="66"/>
      <c r="J22" s="66"/>
      <c r="K22" s="112"/>
      <c r="L22" s="59">
        <v>0.73484848484848397</v>
      </c>
      <c r="M22" s="57">
        <v>46.9</v>
      </c>
      <c r="N22" s="57">
        <v>34.5</v>
      </c>
      <c r="O22" s="61" t="s">
        <v>422</v>
      </c>
      <c r="P22" s="62"/>
      <c r="Q22" s="62"/>
      <c r="R22" s="57"/>
      <c r="S22" s="133"/>
      <c r="T22" s="69"/>
      <c r="U22" s="70"/>
      <c r="V22" s="86"/>
      <c r="W22" s="86"/>
      <c r="X22" s="71"/>
      <c r="AX22" s="41" t="s">
        <v>374</v>
      </c>
    </row>
    <row r="23" spans="1:50" hidden="1" x14ac:dyDescent="0.25">
      <c r="A23" s="148">
        <v>16</v>
      </c>
      <c r="B23" s="149" t="s">
        <v>375</v>
      </c>
      <c r="C23" s="147" t="s">
        <v>341</v>
      </c>
      <c r="D23" s="66">
        <v>3930</v>
      </c>
      <c r="E23" s="65">
        <v>1580</v>
      </c>
      <c r="F23" s="65">
        <v>390</v>
      </c>
      <c r="G23" s="66">
        <v>0</v>
      </c>
      <c r="H23" s="66">
        <f>D23-I23</f>
        <v>3540</v>
      </c>
      <c r="I23" s="66">
        <f>F23-K23</f>
        <v>390</v>
      </c>
      <c r="J23" s="66">
        <f>E23-K23</f>
        <v>1580</v>
      </c>
      <c r="K23" s="112">
        <f>E23*G23</f>
        <v>0</v>
      </c>
      <c r="L23" s="59"/>
      <c r="M23" s="57"/>
      <c r="N23" s="57"/>
      <c r="O23" s="61"/>
      <c r="P23" s="62"/>
      <c r="Q23" s="62"/>
      <c r="R23" s="57"/>
      <c r="S23" s="133"/>
      <c r="T23" s="69"/>
      <c r="U23" s="70">
        <v>1.1284686536485</v>
      </c>
      <c r="V23" s="86">
        <v>56.9</v>
      </c>
      <c r="W23" s="86">
        <v>45</v>
      </c>
      <c r="X23" s="71" t="s">
        <v>425</v>
      </c>
      <c r="Y23" s="72"/>
      <c r="AX23" s="41" t="s">
        <v>376</v>
      </c>
    </row>
    <row r="24" spans="1:50" hidden="1" x14ac:dyDescent="0.25">
      <c r="A24" s="148">
        <v>17</v>
      </c>
      <c r="B24" s="149" t="s">
        <v>377</v>
      </c>
      <c r="C24" s="147" t="s">
        <v>183</v>
      </c>
      <c r="D24" s="66">
        <v>5120</v>
      </c>
      <c r="E24" s="65"/>
      <c r="F24" s="65"/>
      <c r="G24" s="66"/>
      <c r="H24" s="66"/>
      <c r="I24" s="66"/>
      <c r="J24" s="66"/>
      <c r="K24" s="112"/>
      <c r="L24" s="59">
        <v>0.95742424242424196</v>
      </c>
      <c r="M24" s="57">
        <v>48</v>
      </c>
      <c r="N24" s="57">
        <v>43.9</v>
      </c>
      <c r="O24" s="61" t="s">
        <v>432</v>
      </c>
      <c r="P24" s="62"/>
      <c r="Q24" s="62"/>
      <c r="R24" s="57"/>
      <c r="S24" s="133"/>
      <c r="T24" s="69"/>
      <c r="U24" s="70"/>
      <c r="V24" s="86"/>
      <c r="W24" s="86"/>
      <c r="X24" s="71"/>
      <c r="AX24" s="41" t="s">
        <v>378</v>
      </c>
    </row>
    <row r="25" spans="1:50" hidden="1" x14ac:dyDescent="0.25">
      <c r="A25" s="148">
        <v>18</v>
      </c>
      <c r="B25" s="149" t="s">
        <v>379</v>
      </c>
      <c r="C25" s="147" t="s">
        <v>341</v>
      </c>
      <c r="D25" s="66">
        <v>5120</v>
      </c>
      <c r="E25" s="65">
        <v>280</v>
      </c>
      <c r="F25" s="65">
        <v>520</v>
      </c>
      <c r="G25" s="66">
        <v>0</v>
      </c>
      <c r="H25" s="66">
        <f>D25-I25</f>
        <v>4600</v>
      </c>
      <c r="I25" s="66">
        <f>F25-K25</f>
        <v>520</v>
      </c>
      <c r="J25" s="66">
        <f>E25-K25</f>
        <v>280</v>
      </c>
      <c r="K25" s="112">
        <f>E25*G25</f>
        <v>0</v>
      </c>
      <c r="L25" s="59"/>
      <c r="M25" s="57"/>
      <c r="N25" s="57"/>
      <c r="O25" s="61"/>
      <c r="P25" s="62"/>
      <c r="Q25" s="62"/>
      <c r="R25" s="57"/>
      <c r="S25" s="133"/>
      <c r="T25" s="57"/>
      <c r="U25" s="62">
        <v>0.81718827620466905</v>
      </c>
      <c r="V25" s="61">
        <v>41.8</v>
      </c>
      <c r="W25" s="61">
        <v>39.4</v>
      </c>
      <c r="X25" s="64" t="s">
        <v>432</v>
      </c>
      <c r="Y25" s="72"/>
      <c r="AX25" s="41" t="s">
        <v>380</v>
      </c>
    </row>
    <row r="26" spans="1:50" hidden="1" x14ac:dyDescent="0.25">
      <c r="A26" s="148">
        <v>19</v>
      </c>
      <c r="B26" s="149" t="s">
        <v>381</v>
      </c>
      <c r="C26" s="147" t="s">
        <v>183</v>
      </c>
      <c r="D26" s="66">
        <v>4880</v>
      </c>
      <c r="E26" s="65"/>
      <c r="F26" s="65"/>
      <c r="G26" s="66"/>
      <c r="H26" s="66"/>
      <c r="I26" s="66"/>
      <c r="J26" s="66"/>
      <c r="K26" s="112"/>
      <c r="L26" s="59">
        <v>0.91257575757575704</v>
      </c>
      <c r="M26" s="57">
        <v>47.7</v>
      </c>
      <c r="N26" s="57">
        <v>42.1</v>
      </c>
      <c r="O26" s="61" t="s">
        <v>432</v>
      </c>
      <c r="P26" s="62"/>
      <c r="Q26" s="62"/>
      <c r="R26" s="57"/>
      <c r="S26" s="133"/>
      <c r="T26" s="69"/>
      <c r="U26" s="70"/>
      <c r="V26" s="86"/>
      <c r="W26" s="86"/>
      <c r="X26" s="71"/>
      <c r="Y26" s="72"/>
      <c r="AX26" s="41" t="s">
        <v>382</v>
      </c>
    </row>
    <row r="27" spans="1:50" hidden="1" x14ac:dyDescent="0.25">
      <c r="A27" s="148">
        <v>20</v>
      </c>
      <c r="B27" s="149" t="s">
        <v>383</v>
      </c>
      <c r="C27" s="147" t="s">
        <v>151</v>
      </c>
      <c r="D27" s="66">
        <v>4880</v>
      </c>
      <c r="E27" s="65"/>
      <c r="F27" s="65">
        <v>1000</v>
      </c>
      <c r="G27" s="66"/>
      <c r="H27" s="66"/>
      <c r="I27" s="66"/>
      <c r="J27" s="66"/>
      <c r="K27" s="112"/>
      <c r="L27" s="59"/>
      <c r="M27" s="57"/>
      <c r="N27" s="57"/>
      <c r="O27" s="61"/>
      <c r="P27" s="62">
        <v>0.89</v>
      </c>
      <c r="Q27" s="62">
        <v>0.55873413195065202</v>
      </c>
      <c r="R27" s="57">
        <v>48.1</v>
      </c>
      <c r="S27" s="133">
        <v>42.2</v>
      </c>
      <c r="T27" s="69" t="s">
        <v>432</v>
      </c>
      <c r="U27" s="70"/>
      <c r="V27" s="86"/>
      <c r="W27" s="86"/>
      <c r="X27" s="71"/>
      <c r="Y27" s="72"/>
      <c r="AX27" s="41" t="s">
        <v>384</v>
      </c>
    </row>
    <row r="28" spans="1:50" hidden="1" x14ac:dyDescent="0.25">
      <c r="A28" s="148">
        <v>21</v>
      </c>
      <c r="B28" s="149" t="s">
        <v>355</v>
      </c>
      <c r="C28" s="147" t="s">
        <v>355</v>
      </c>
      <c r="D28" s="66">
        <v>3880</v>
      </c>
      <c r="E28" s="65"/>
      <c r="F28" s="65"/>
      <c r="G28" s="66"/>
      <c r="H28" s="66"/>
      <c r="I28" s="66"/>
      <c r="J28" s="66"/>
      <c r="K28" s="112"/>
      <c r="L28" s="59"/>
      <c r="M28" s="57"/>
      <c r="N28" s="57">
        <f>MAX(S27,S29)</f>
        <v>42.2</v>
      </c>
      <c r="O28" s="61" t="str">
        <f>IF(T27&gt;=T29,T27,T29)</f>
        <v>F</v>
      </c>
      <c r="P28" s="62"/>
      <c r="Q28" s="62"/>
      <c r="R28" s="57"/>
      <c r="S28" s="133"/>
      <c r="T28" s="69"/>
      <c r="U28" s="70"/>
      <c r="V28" s="86"/>
      <c r="W28" s="86"/>
      <c r="X28" s="71"/>
      <c r="AX28" s="41" t="s">
        <v>385</v>
      </c>
    </row>
    <row r="29" spans="1:50" hidden="1" x14ac:dyDescent="0.25">
      <c r="A29" s="148">
        <v>22</v>
      </c>
      <c r="B29" s="149" t="s">
        <v>386</v>
      </c>
      <c r="C29" s="147" t="s">
        <v>151</v>
      </c>
      <c r="D29" s="66">
        <v>3880</v>
      </c>
      <c r="E29" s="65"/>
      <c r="F29" s="65">
        <v>2100</v>
      </c>
      <c r="G29" s="73"/>
      <c r="H29" s="73"/>
      <c r="I29" s="73"/>
      <c r="J29" s="73"/>
      <c r="K29" s="113"/>
      <c r="L29" s="59"/>
      <c r="M29" s="57"/>
      <c r="N29" s="57"/>
      <c r="O29" s="61"/>
      <c r="P29" s="77">
        <v>1.06</v>
      </c>
      <c r="Q29" s="77">
        <v>0.58667083854818503</v>
      </c>
      <c r="R29" s="57">
        <v>46.7</v>
      </c>
      <c r="S29" s="133">
        <v>31.9</v>
      </c>
      <c r="T29" s="69" t="s">
        <v>425</v>
      </c>
      <c r="U29" s="70"/>
      <c r="V29" s="86"/>
      <c r="W29" s="86"/>
      <c r="X29" s="71"/>
      <c r="Y29" s="72"/>
    </row>
    <row r="30" spans="1:50" hidden="1" x14ac:dyDescent="0.25">
      <c r="A30" s="148">
        <v>23</v>
      </c>
      <c r="B30" s="149" t="s">
        <v>387</v>
      </c>
      <c r="C30" s="147" t="s">
        <v>183</v>
      </c>
      <c r="D30" s="66">
        <v>1780</v>
      </c>
      <c r="E30" s="65"/>
      <c r="F30" s="65"/>
      <c r="G30" s="66"/>
      <c r="H30" s="66"/>
      <c r="I30" s="66"/>
      <c r="J30" s="66"/>
      <c r="K30" s="112"/>
      <c r="L30" s="59">
        <v>0.499318181818181</v>
      </c>
      <c r="M30" s="57">
        <v>48.4</v>
      </c>
      <c r="N30" s="57">
        <v>22.7</v>
      </c>
      <c r="O30" s="61" t="s">
        <v>423</v>
      </c>
      <c r="P30" s="62"/>
      <c r="Q30" s="62"/>
      <c r="R30" s="57"/>
      <c r="S30" s="133"/>
      <c r="T30" s="69"/>
      <c r="U30" s="70"/>
      <c r="V30" s="86"/>
      <c r="W30" s="86"/>
      <c r="X30" s="71"/>
      <c r="Y30" s="72"/>
    </row>
    <row r="31" spans="1:50" hidden="1" x14ac:dyDescent="0.25">
      <c r="A31" s="148">
        <v>24</v>
      </c>
      <c r="B31" s="149" t="s">
        <v>388</v>
      </c>
      <c r="C31" s="147" t="s">
        <v>341</v>
      </c>
      <c r="D31" s="66">
        <v>1780</v>
      </c>
      <c r="E31" s="65">
        <v>1640</v>
      </c>
      <c r="F31" s="65">
        <v>770</v>
      </c>
      <c r="G31" s="66">
        <v>0</v>
      </c>
      <c r="H31" s="66">
        <f>D31-I31</f>
        <v>1010</v>
      </c>
      <c r="I31" s="66">
        <f>F31-K31</f>
        <v>770</v>
      </c>
      <c r="J31" s="66">
        <f>E31-K31</f>
        <v>1640</v>
      </c>
      <c r="K31" s="112">
        <f>E31*G31</f>
        <v>0</v>
      </c>
      <c r="L31" s="59"/>
      <c r="M31" s="57"/>
      <c r="N31" s="57"/>
      <c r="O31" s="61"/>
      <c r="P31" s="77"/>
      <c r="Q31" s="77"/>
      <c r="R31" s="57"/>
      <c r="S31" s="133"/>
      <c r="T31" s="69"/>
      <c r="U31" s="70">
        <v>0.55484852676718699</v>
      </c>
      <c r="V31" s="86">
        <v>49.9</v>
      </c>
      <c r="W31" s="86">
        <v>20.100000000000001</v>
      </c>
      <c r="X31" s="71" t="s">
        <v>423</v>
      </c>
      <c r="Y31" s="72"/>
    </row>
    <row r="32" spans="1:50" hidden="1" x14ac:dyDescent="0.25">
      <c r="A32" s="148">
        <v>25</v>
      </c>
      <c r="B32" s="149" t="s">
        <v>389</v>
      </c>
      <c r="C32" s="147" t="s">
        <v>183</v>
      </c>
      <c r="D32" s="66">
        <v>2650</v>
      </c>
      <c r="E32" s="65"/>
      <c r="F32" s="65"/>
      <c r="G32" s="66"/>
      <c r="H32" s="66"/>
      <c r="I32" s="66"/>
      <c r="J32" s="66"/>
      <c r="K32" s="112"/>
      <c r="L32" s="59">
        <v>0.49545454545454498</v>
      </c>
      <c r="M32" s="57">
        <v>48.8</v>
      </c>
      <c r="N32" s="57">
        <v>22.3</v>
      </c>
      <c r="O32" s="61" t="s">
        <v>423</v>
      </c>
      <c r="P32" s="62"/>
      <c r="Q32" s="62"/>
      <c r="R32" s="57"/>
      <c r="S32" s="133"/>
      <c r="T32" s="69"/>
      <c r="U32" s="70"/>
      <c r="V32" s="86"/>
      <c r="W32" s="86"/>
      <c r="X32" s="71"/>
      <c r="Y32" s="72"/>
    </row>
    <row r="33" spans="1:25" hidden="1" x14ac:dyDescent="0.25">
      <c r="A33" s="148">
        <v>26</v>
      </c>
      <c r="B33" s="149" t="s">
        <v>390</v>
      </c>
      <c r="C33" s="147" t="s">
        <v>150</v>
      </c>
      <c r="D33" s="66">
        <v>2650</v>
      </c>
      <c r="E33" s="65">
        <v>230</v>
      </c>
      <c r="F33" s="65"/>
      <c r="G33" s="73"/>
      <c r="H33" s="73"/>
      <c r="I33" s="73"/>
      <c r="J33" s="73"/>
      <c r="K33" s="113"/>
      <c r="L33" s="59"/>
      <c r="M33" s="57"/>
      <c r="N33" s="57"/>
      <c r="O33" s="61"/>
      <c r="P33" s="77">
        <v>0.52</v>
      </c>
      <c r="Q33" s="77">
        <v>0.12850885034865001</v>
      </c>
      <c r="R33" s="57">
        <v>51.2</v>
      </c>
      <c r="S33" s="133">
        <v>17</v>
      </c>
      <c r="T33" s="69" t="s">
        <v>424</v>
      </c>
      <c r="U33" s="70"/>
      <c r="V33" s="86"/>
      <c r="W33" s="86"/>
      <c r="X33" s="71"/>
      <c r="Y33" s="72"/>
    </row>
    <row r="34" spans="1:25" hidden="1" x14ac:dyDescent="0.25">
      <c r="A34" s="148">
        <v>27</v>
      </c>
      <c r="B34" s="149" t="s">
        <v>391</v>
      </c>
      <c r="C34" s="147" t="s">
        <v>183</v>
      </c>
      <c r="D34" s="66">
        <v>2880</v>
      </c>
      <c r="E34" s="65"/>
      <c r="F34" s="65"/>
      <c r="G34" s="66"/>
      <c r="H34" s="66"/>
      <c r="I34" s="66"/>
      <c r="J34" s="66"/>
      <c r="K34" s="112"/>
      <c r="L34" s="59">
        <v>0.53848484848484801</v>
      </c>
      <c r="M34" s="57">
        <v>49.2</v>
      </c>
      <c r="N34" s="57">
        <v>24.1</v>
      </c>
      <c r="O34" s="61" t="s">
        <v>423</v>
      </c>
      <c r="P34" s="62"/>
      <c r="Q34" s="62"/>
      <c r="R34" s="57"/>
      <c r="S34" s="133"/>
      <c r="T34" s="69"/>
      <c r="U34" s="70"/>
      <c r="V34" s="86"/>
      <c r="W34" s="86"/>
      <c r="X34" s="71"/>
      <c r="Y34" s="72"/>
    </row>
    <row r="35" spans="1:25" hidden="1" x14ac:dyDescent="0.25">
      <c r="A35" s="148">
        <v>28</v>
      </c>
      <c r="B35" s="149" t="s">
        <v>392</v>
      </c>
      <c r="C35" s="147" t="s">
        <v>183</v>
      </c>
      <c r="D35" s="66">
        <v>2880</v>
      </c>
      <c r="E35" s="65"/>
      <c r="F35" s="65"/>
      <c r="G35" s="73"/>
      <c r="H35" s="73"/>
      <c r="I35" s="73"/>
      <c r="J35" s="73"/>
      <c r="K35" s="113"/>
      <c r="L35" s="59">
        <f>L34</f>
        <v>0.53848484848484801</v>
      </c>
      <c r="M35" s="57">
        <f>M34</f>
        <v>49.2</v>
      </c>
      <c r="N35" s="57">
        <f>N34</f>
        <v>24.1</v>
      </c>
      <c r="O35" s="61" t="str">
        <f>O34</f>
        <v>C</v>
      </c>
      <c r="P35" s="77"/>
      <c r="Q35" s="77"/>
      <c r="R35" s="57"/>
      <c r="S35" s="133"/>
      <c r="T35" s="69"/>
      <c r="U35" s="70"/>
      <c r="V35" s="86"/>
      <c r="W35" s="86"/>
      <c r="X35" s="71"/>
      <c r="Y35" s="72"/>
    </row>
    <row r="36" spans="1:25" hidden="1" x14ac:dyDescent="0.25">
      <c r="A36" s="148">
        <v>29</v>
      </c>
      <c r="B36" s="149" t="s">
        <v>393</v>
      </c>
      <c r="C36" s="147" t="s">
        <v>341</v>
      </c>
      <c r="D36" s="66">
        <v>2880</v>
      </c>
      <c r="E36" s="65">
        <v>2450</v>
      </c>
      <c r="F36" s="65">
        <v>220</v>
      </c>
      <c r="G36" s="66">
        <v>0</v>
      </c>
      <c r="H36" s="66">
        <f>D36-I36</f>
        <v>2660</v>
      </c>
      <c r="I36" s="66">
        <f>F36-K36</f>
        <v>220</v>
      </c>
      <c r="J36" s="66">
        <f>E36-K36</f>
        <v>2450</v>
      </c>
      <c r="K36" s="112">
        <f>E36*G36</f>
        <v>0</v>
      </c>
      <c r="L36" s="59"/>
      <c r="M36" s="57"/>
      <c r="N36" s="57"/>
      <c r="O36" s="61"/>
      <c r="P36" s="62"/>
      <c r="Q36" s="62"/>
      <c r="R36" s="57"/>
      <c r="S36" s="133"/>
      <c r="T36" s="69"/>
      <c r="U36" s="70">
        <v>1.1382998006162699</v>
      </c>
      <c r="V36" s="86">
        <v>55.9</v>
      </c>
      <c r="W36" s="86">
        <v>45</v>
      </c>
      <c r="X36" s="71" t="s">
        <v>425</v>
      </c>
      <c r="Y36" s="72"/>
    </row>
    <row r="37" spans="1:25" hidden="1" x14ac:dyDescent="0.25">
      <c r="A37" s="148">
        <v>30</v>
      </c>
      <c r="B37" s="149" t="s">
        <v>394</v>
      </c>
      <c r="C37" s="147" t="s">
        <v>183</v>
      </c>
      <c r="D37" s="66">
        <v>5110</v>
      </c>
      <c r="E37" s="65"/>
      <c r="F37" s="65"/>
      <c r="G37" s="73"/>
      <c r="H37" s="73"/>
      <c r="I37" s="73"/>
      <c r="J37" s="73"/>
      <c r="K37" s="113"/>
      <c r="L37" s="59">
        <v>0.80772727272727196</v>
      </c>
      <c r="M37" s="57">
        <v>49.2</v>
      </c>
      <c r="N37" s="57">
        <v>36.1</v>
      </c>
      <c r="O37" s="61" t="s">
        <v>432</v>
      </c>
      <c r="P37" s="77"/>
      <c r="Q37" s="77"/>
      <c r="R37" s="57"/>
      <c r="S37" s="133"/>
      <c r="T37" s="69"/>
      <c r="U37" s="70"/>
      <c r="V37" s="86"/>
      <c r="W37" s="86"/>
      <c r="X37" s="71"/>
      <c r="Y37" s="72"/>
    </row>
    <row r="38" spans="1:25" hidden="1" x14ac:dyDescent="0.25">
      <c r="A38" s="148">
        <v>31</v>
      </c>
      <c r="B38" s="149" t="s">
        <v>395</v>
      </c>
      <c r="C38" s="147" t="s">
        <v>150</v>
      </c>
      <c r="D38" s="115">
        <v>5110</v>
      </c>
      <c r="E38" s="150">
        <v>110</v>
      </c>
      <c r="F38" s="150"/>
      <c r="G38" s="115"/>
      <c r="H38" s="115"/>
      <c r="I38" s="115"/>
      <c r="J38" s="115"/>
      <c r="K38" s="116"/>
      <c r="L38" s="74"/>
      <c r="M38" s="132"/>
      <c r="N38" s="132"/>
      <c r="O38" s="76"/>
      <c r="P38" s="117">
        <v>0.95</v>
      </c>
      <c r="Q38" s="117">
        <v>6.1460754514571697E-2</v>
      </c>
      <c r="R38" s="132">
        <v>49</v>
      </c>
      <c r="S38" s="151">
        <v>31.1</v>
      </c>
      <c r="T38" s="119" t="s">
        <v>422</v>
      </c>
      <c r="U38" s="152"/>
      <c r="V38" s="153"/>
      <c r="W38" s="153"/>
      <c r="X38" s="154"/>
      <c r="Y38" s="72"/>
    </row>
    <row r="39" spans="1:25" ht="15" customHeight="1" x14ac:dyDescent="0.25">
      <c r="A39" s="170" t="s">
        <v>265</v>
      </c>
      <c r="B39" s="171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2"/>
    </row>
    <row r="40" spans="1:25" x14ac:dyDescent="0.25">
      <c r="A40" s="146">
        <v>32</v>
      </c>
      <c r="B40" s="156" t="s">
        <v>396</v>
      </c>
      <c r="C40" s="147" t="s">
        <v>151</v>
      </c>
      <c r="D40" s="81">
        <v>3050</v>
      </c>
      <c r="E40" s="135"/>
      <c r="F40" s="135">
        <v>90</v>
      </c>
      <c r="G40" s="136"/>
      <c r="H40" s="136"/>
      <c r="I40" s="136"/>
      <c r="J40" s="136"/>
      <c r="K40" s="137"/>
      <c r="L40" s="101"/>
      <c r="M40" s="82"/>
      <c r="N40" s="82"/>
      <c r="O40" s="84"/>
      <c r="P40" s="106">
        <f>Ramps!CK8</f>
        <v>0.42</v>
      </c>
      <c r="Q40" s="106">
        <f>Ramps!CO8</f>
        <v>5.0286071875558697E-2</v>
      </c>
      <c r="R40" s="82">
        <f>Ramps!CQ8</f>
        <v>49.3</v>
      </c>
      <c r="S40" s="105">
        <f>Ramps!CR8</f>
        <v>18</v>
      </c>
      <c r="T40" s="138" t="str">
        <f>Ramps!CS8</f>
        <v>B</v>
      </c>
      <c r="U40" s="139"/>
      <c r="V40" s="139"/>
      <c r="W40" s="139"/>
      <c r="X40" s="140"/>
      <c r="Y40" s="72"/>
    </row>
    <row r="41" spans="1:25" x14ac:dyDescent="0.25">
      <c r="A41" s="146">
        <v>33</v>
      </c>
      <c r="B41" s="156" t="s">
        <v>397</v>
      </c>
      <c r="C41" s="147" t="s">
        <v>183</v>
      </c>
      <c r="D41" s="55">
        <v>2960</v>
      </c>
      <c r="E41" s="65"/>
      <c r="F41" s="65"/>
      <c r="G41" s="80"/>
      <c r="H41" s="80"/>
      <c r="I41" s="80"/>
      <c r="J41" s="80"/>
      <c r="K41" s="112"/>
      <c r="L41" s="100">
        <f>Basic!BO7</f>
        <v>0.41492503407541997</v>
      </c>
      <c r="M41" s="60">
        <f>Basic!BP7</f>
        <v>50.1</v>
      </c>
      <c r="N41" s="60">
        <f>Basic!BQ7</f>
        <v>18.2</v>
      </c>
      <c r="O41" s="61" t="str">
        <f>Basic!BR7</f>
        <v>C</v>
      </c>
      <c r="P41" s="62"/>
      <c r="Q41" s="62"/>
      <c r="R41" s="60"/>
      <c r="S41" s="68"/>
      <c r="T41" s="78"/>
      <c r="U41" s="109"/>
      <c r="V41" s="109"/>
      <c r="W41" s="109"/>
      <c r="X41" s="79"/>
    </row>
    <row r="42" spans="1:25" x14ac:dyDescent="0.25">
      <c r="A42" s="146">
        <v>34</v>
      </c>
      <c r="B42" s="156" t="s">
        <v>398</v>
      </c>
      <c r="C42" s="147" t="s">
        <v>341</v>
      </c>
      <c r="D42" s="55">
        <v>2960</v>
      </c>
      <c r="E42" s="65">
        <v>290</v>
      </c>
      <c r="F42" s="65">
        <v>1430</v>
      </c>
      <c r="G42" s="155">
        <v>0.49199999999999999</v>
      </c>
      <c r="H42" s="66">
        <f>D42-I42</f>
        <v>1672.68</v>
      </c>
      <c r="I42" s="66">
        <f>F42-K42</f>
        <v>1287.32</v>
      </c>
      <c r="J42" s="66">
        <f>E42-K42</f>
        <v>147.32</v>
      </c>
      <c r="K42" s="112">
        <f>E42*G42</f>
        <v>142.68</v>
      </c>
      <c r="L42" s="100"/>
      <c r="M42" s="60"/>
      <c r="N42" s="60"/>
      <c r="O42" s="61"/>
      <c r="P42" s="62"/>
      <c r="Q42" s="62"/>
      <c r="R42" s="60"/>
      <c r="S42" s="63"/>
      <c r="T42" s="57"/>
      <c r="U42" s="62">
        <f>Weave!CU7</f>
        <v>0.45810390232224002</v>
      </c>
      <c r="V42" s="62">
        <f>Weave!CY7</f>
        <v>48.6</v>
      </c>
      <c r="W42" s="62">
        <f>Weave!CZ7</f>
        <v>15.7</v>
      </c>
      <c r="X42" s="64" t="str">
        <f>Weave!DA7</f>
        <v>B</v>
      </c>
      <c r="Y42" s="72"/>
    </row>
    <row r="43" spans="1:25" x14ac:dyDescent="0.25">
      <c r="A43" s="146">
        <v>35</v>
      </c>
      <c r="B43" s="156" t="s">
        <v>399</v>
      </c>
      <c r="C43" s="147" t="s">
        <v>183</v>
      </c>
      <c r="D43" s="55">
        <v>1820</v>
      </c>
      <c r="E43" s="65"/>
      <c r="F43" s="65"/>
      <c r="G43" s="66"/>
      <c r="H43" s="66"/>
      <c r="I43" s="66"/>
      <c r="J43" s="66"/>
      <c r="K43" s="112"/>
      <c r="L43" s="100">
        <f>Basic!BO8</f>
        <v>0.34030303030303</v>
      </c>
      <c r="M43" s="60">
        <f>Basic!BP8</f>
        <v>49.2</v>
      </c>
      <c r="N43" s="60">
        <f>Basic!BQ8</f>
        <v>15.2</v>
      </c>
      <c r="O43" s="61" t="str">
        <f>Basic!BR8</f>
        <v>B</v>
      </c>
      <c r="P43" s="62"/>
      <c r="Q43" s="62"/>
      <c r="R43" s="60"/>
      <c r="S43" s="68"/>
      <c r="T43" s="57"/>
      <c r="U43" s="62"/>
      <c r="V43" s="62"/>
      <c r="W43" s="62"/>
      <c r="X43" s="64"/>
    </row>
    <row r="44" spans="1:25" x14ac:dyDescent="0.25">
      <c r="A44" s="146">
        <v>36</v>
      </c>
      <c r="B44" s="156" t="s">
        <v>400</v>
      </c>
      <c r="C44" s="147" t="s">
        <v>151</v>
      </c>
      <c r="D44" s="55">
        <v>1820</v>
      </c>
      <c r="E44" s="65"/>
      <c r="F44" s="65">
        <v>160</v>
      </c>
      <c r="G44" s="66"/>
      <c r="H44" s="66"/>
      <c r="I44" s="66"/>
      <c r="J44" s="66"/>
      <c r="K44" s="112"/>
      <c r="L44" s="100"/>
      <c r="M44" s="60"/>
      <c r="N44" s="60"/>
      <c r="O44" s="61"/>
      <c r="P44" s="62">
        <f>Ramps!CK9</f>
        <v>0.33</v>
      </c>
      <c r="Q44" s="62">
        <f>Ramps!CO9</f>
        <v>8.9397461112104407E-2</v>
      </c>
      <c r="R44" s="60">
        <f>Ramps!CQ9</f>
        <v>49.2</v>
      </c>
      <c r="S44" s="60">
        <f>Ramps!CR9</f>
        <v>14.8</v>
      </c>
      <c r="T44" s="57" t="str">
        <f>Ramps!CV9</f>
        <v>B</v>
      </c>
      <c r="U44" s="62"/>
      <c r="V44" s="62"/>
      <c r="W44" s="62"/>
      <c r="X44" s="64"/>
      <c r="Y44" s="72"/>
    </row>
    <row r="45" spans="1:25" x14ac:dyDescent="0.25">
      <c r="A45" s="146">
        <v>37</v>
      </c>
      <c r="B45" s="156" t="s">
        <v>401</v>
      </c>
      <c r="C45" s="147" t="s">
        <v>183</v>
      </c>
      <c r="D45" s="55">
        <v>1660</v>
      </c>
      <c r="E45" s="65"/>
      <c r="F45" s="65"/>
      <c r="G45" s="66"/>
      <c r="H45" s="66"/>
      <c r="I45" s="66"/>
      <c r="J45" s="66"/>
      <c r="K45" s="112"/>
      <c r="L45" s="101">
        <f>Basic!BO9</f>
        <v>0.31045454545454498</v>
      </c>
      <c r="M45" s="82">
        <f>Basic!BP9</f>
        <v>49.2</v>
      </c>
      <c r="N45" s="82">
        <f>Basic!BQ9</f>
        <v>13.9</v>
      </c>
      <c r="O45" s="84" t="str">
        <f>Basic!BR9</f>
        <v>B</v>
      </c>
      <c r="P45" s="106"/>
      <c r="Q45" s="106"/>
      <c r="R45" s="82"/>
      <c r="S45" s="107"/>
      <c r="T45" s="83"/>
      <c r="U45" s="106"/>
      <c r="V45" s="106"/>
      <c r="W45" s="106"/>
      <c r="X45" s="85"/>
    </row>
    <row r="46" spans="1:25" x14ac:dyDescent="0.25">
      <c r="A46" s="146">
        <v>38</v>
      </c>
      <c r="B46" s="156" t="s">
        <v>402</v>
      </c>
      <c r="C46" s="147" t="s">
        <v>341</v>
      </c>
      <c r="D46" s="55">
        <v>1660</v>
      </c>
      <c r="E46" s="65">
        <v>430</v>
      </c>
      <c r="F46" s="65">
        <v>860</v>
      </c>
      <c r="G46" s="155">
        <v>0.29399999999999998</v>
      </c>
      <c r="H46" s="66">
        <f>D46-I46</f>
        <v>926.42</v>
      </c>
      <c r="I46" s="66">
        <f>F46-K46</f>
        <v>733.58</v>
      </c>
      <c r="J46" s="66">
        <f>E46-K46</f>
        <v>303.58000000000004</v>
      </c>
      <c r="K46" s="112">
        <f>E46*G46</f>
        <v>126.41999999999999</v>
      </c>
      <c r="L46" s="100"/>
      <c r="M46" s="60"/>
      <c r="N46" s="60"/>
      <c r="O46" s="61"/>
      <c r="P46" s="62"/>
      <c r="Q46" s="62"/>
      <c r="R46" s="60"/>
      <c r="S46" s="68"/>
      <c r="T46" s="57"/>
      <c r="U46" s="62">
        <f>Weave!CU8</f>
        <v>0.48252024491408202</v>
      </c>
      <c r="V46" s="62">
        <f>Weave!CY8</f>
        <v>49.5</v>
      </c>
      <c r="W46" s="62">
        <f>Weave!CZ8</f>
        <v>12.3</v>
      </c>
      <c r="X46" s="64" t="str">
        <f>Weave!DA8</f>
        <v>B</v>
      </c>
    </row>
    <row r="47" spans="1:25" x14ac:dyDescent="0.25">
      <c r="A47" s="146">
        <v>39</v>
      </c>
      <c r="B47" s="156" t="s">
        <v>403</v>
      </c>
      <c r="C47" s="147" t="s">
        <v>183</v>
      </c>
      <c r="D47" s="55">
        <v>1230</v>
      </c>
      <c r="E47" s="65"/>
      <c r="F47" s="65"/>
      <c r="G47" s="66"/>
      <c r="H47" s="66"/>
      <c r="I47" s="66"/>
      <c r="J47" s="66"/>
      <c r="K47" s="112"/>
      <c r="L47" s="100">
        <f>Basic!BO10</f>
        <v>0.23</v>
      </c>
      <c r="M47" s="60">
        <f>Basic!BP10</f>
        <v>48.4</v>
      </c>
      <c r="N47" s="60">
        <f>Basic!BQ10</f>
        <v>10.5</v>
      </c>
      <c r="O47" s="61" t="str">
        <f>Basic!BR10</f>
        <v>A</v>
      </c>
      <c r="P47" s="62"/>
      <c r="Q47" s="62"/>
      <c r="R47" s="60"/>
      <c r="S47" s="68"/>
      <c r="T47" s="57"/>
      <c r="U47" s="62"/>
      <c r="V47" s="62"/>
      <c r="W47" s="62"/>
      <c r="X47" s="64"/>
      <c r="Y47" s="72"/>
    </row>
    <row r="48" spans="1:25" x14ac:dyDescent="0.25">
      <c r="A48" s="146">
        <v>40</v>
      </c>
      <c r="B48" s="156" t="s">
        <v>404</v>
      </c>
      <c r="C48" s="147" t="s">
        <v>183</v>
      </c>
      <c r="D48" s="55">
        <v>1230</v>
      </c>
      <c r="E48" s="65"/>
      <c r="F48" s="65"/>
      <c r="G48" s="66"/>
      <c r="H48" s="66"/>
      <c r="I48" s="66"/>
      <c r="J48" s="66"/>
      <c r="K48" s="112"/>
      <c r="L48" s="100">
        <f>Basic!BO11</f>
        <v>0.34499999999999997</v>
      </c>
      <c r="M48" s="60">
        <f>Basic!BP11</f>
        <v>48.4</v>
      </c>
      <c r="N48" s="60">
        <f>Basic!BQ11</f>
        <v>15.7</v>
      </c>
      <c r="O48" s="61" t="str">
        <f>Basic!BR11</f>
        <v>B</v>
      </c>
      <c r="P48" s="62"/>
      <c r="Q48" s="62"/>
      <c r="R48" s="60"/>
      <c r="S48" s="63"/>
      <c r="T48" s="57"/>
      <c r="U48" s="62"/>
      <c r="V48" s="62"/>
      <c r="W48" s="62"/>
      <c r="X48" s="64"/>
    </row>
    <row r="49" spans="1:24" x14ac:dyDescent="0.25">
      <c r="A49" s="146">
        <v>41</v>
      </c>
      <c r="B49" s="156" t="s">
        <v>405</v>
      </c>
      <c r="C49" s="147" t="s">
        <v>341</v>
      </c>
      <c r="D49" s="55">
        <v>1230</v>
      </c>
      <c r="E49" s="65">
        <v>1170</v>
      </c>
      <c r="F49" s="65">
        <v>450</v>
      </c>
      <c r="G49" s="155">
        <v>3.2000000000000001E-2</v>
      </c>
      <c r="H49" s="66">
        <f>D49-I49</f>
        <v>817.44</v>
      </c>
      <c r="I49" s="66">
        <f>F49-K49</f>
        <v>412.56</v>
      </c>
      <c r="J49" s="66">
        <f>E49-K49</f>
        <v>1132.56</v>
      </c>
      <c r="K49" s="112">
        <f>E49*G49</f>
        <v>37.44</v>
      </c>
      <c r="L49" s="100"/>
      <c r="M49" s="60"/>
      <c r="N49" s="60"/>
      <c r="O49" s="61"/>
      <c r="P49" s="62"/>
      <c r="Q49" s="62"/>
      <c r="R49" s="60"/>
      <c r="S49" s="68"/>
      <c r="T49" s="57"/>
      <c r="U49" s="62">
        <f>Weave!CU9</f>
        <v>0.49369113204193998</v>
      </c>
      <c r="V49" s="62">
        <f>Weave!CY9</f>
        <v>44.2</v>
      </c>
      <c r="W49" s="62">
        <f>Weave!CZ9</f>
        <v>15.7</v>
      </c>
      <c r="X49" s="64" t="str">
        <f>Weave!DA9</f>
        <v>B</v>
      </c>
    </row>
    <row r="50" spans="1:24" x14ac:dyDescent="0.25">
      <c r="A50" s="146">
        <v>42</v>
      </c>
      <c r="B50" s="156" t="s">
        <v>406</v>
      </c>
      <c r="C50" s="147" t="s">
        <v>183</v>
      </c>
      <c r="D50" s="55">
        <v>1950</v>
      </c>
      <c r="E50" s="65"/>
      <c r="F50" s="65"/>
      <c r="G50" s="66"/>
      <c r="H50" s="66"/>
      <c r="I50" s="66"/>
      <c r="J50" s="66"/>
      <c r="K50" s="112"/>
      <c r="L50" s="100">
        <f>Basic!BO12</f>
        <v>0.36469696969696902</v>
      </c>
      <c r="M50" s="60">
        <f>Basic!BP12</f>
        <v>47.7</v>
      </c>
      <c r="N50" s="60">
        <f>Basic!BQ12</f>
        <v>16.8</v>
      </c>
      <c r="O50" s="61" t="str">
        <f>Basic!BR12</f>
        <v>B</v>
      </c>
      <c r="P50" s="62"/>
      <c r="Q50" s="62"/>
      <c r="R50" s="60"/>
      <c r="S50" s="68"/>
      <c r="T50" s="57"/>
      <c r="U50" s="62"/>
      <c r="V50" s="62"/>
      <c r="W50" s="62"/>
      <c r="X50" s="64"/>
    </row>
    <row r="51" spans="1:24" x14ac:dyDescent="0.25">
      <c r="A51" s="146">
        <v>43</v>
      </c>
      <c r="B51" s="156" t="s">
        <v>407</v>
      </c>
      <c r="C51" s="147" t="s">
        <v>150</v>
      </c>
      <c r="D51" s="55">
        <v>1950</v>
      </c>
      <c r="E51" s="65">
        <v>280</v>
      </c>
      <c r="F51" s="65"/>
      <c r="G51" s="66"/>
      <c r="H51" s="66"/>
      <c r="I51" s="66"/>
      <c r="J51" s="66"/>
      <c r="K51" s="112"/>
      <c r="L51" s="100"/>
      <c r="M51" s="60"/>
      <c r="N51" s="60"/>
      <c r="O51" s="61"/>
      <c r="P51" s="62">
        <f>Ramps!CK10</f>
        <v>0.4</v>
      </c>
      <c r="Q51" s="62">
        <f>Ramps!CO10</f>
        <v>0.15644555694618201</v>
      </c>
      <c r="R51" s="60">
        <f>Ramps!CQ10</f>
        <v>50.9</v>
      </c>
      <c r="S51" s="63">
        <f>Ramps!CR10</f>
        <v>16.2</v>
      </c>
      <c r="T51" s="57" t="str">
        <f>Ramps!CS10</f>
        <v>B</v>
      </c>
      <c r="U51" s="62"/>
      <c r="V51" s="62"/>
      <c r="W51" s="62"/>
      <c r="X51" s="64"/>
    </row>
    <row r="52" spans="1:24" x14ac:dyDescent="0.25">
      <c r="A52" s="146">
        <v>44</v>
      </c>
      <c r="B52" s="156" t="s">
        <v>408</v>
      </c>
      <c r="C52" s="147" t="s">
        <v>183</v>
      </c>
      <c r="D52" s="55">
        <v>2230</v>
      </c>
      <c r="E52" s="65"/>
      <c r="F52" s="65"/>
      <c r="G52" s="66"/>
      <c r="H52" s="66"/>
      <c r="I52" s="66"/>
      <c r="J52" s="66"/>
      <c r="K52" s="112"/>
      <c r="L52" s="100">
        <f>Basic!BO13</f>
        <v>0.41696969696969699</v>
      </c>
      <c r="M52" s="60">
        <f>Basic!BP13</f>
        <v>47.7</v>
      </c>
      <c r="N52" s="60">
        <f>Basic!BQ13</f>
        <v>19.2</v>
      </c>
      <c r="O52" s="61" t="str">
        <f>Basic!BR13</f>
        <v>C</v>
      </c>
      <c r="P52" s="62"/>
      <c r="Q52" s="62"/>
      <c r="R52" s="60"/>
      <c r="S52" s="68"/>
      <c r="T52" s="57"/>
      <c r="U52" s="62"/>
      <c r="V52" s="62"/>
      <c r="W52" s="62"/>
      <c r="X52" s="64"/>
    </row>
    <row r="53" spans="1:24" x14ac:dyDescent="0.25">
      <c r="A53" s="146">
        <v>45</v>
      </c>
      <c r="B53" s="156" t="s">
        <v>409</v>
      </c>
      <c r="C53" s="147" t="s">
        <v>341</v>
      </c>
      <c r="D53" s="55">
        <v>2230</v>
      </c>
      <c r="E53" s="65">
        <v>160</v>
      </c>
      <c r="F53" s="65">
        <v>470</v>
      </c>
      <c r="G53" s="155">
        <v>0.128</v>
      </c>
      <c r="H53" s="66">
        <f>D53-I53</f>
        <v>1780.48</v>
      </c>
      <c r="I53" s="66">
        <f>F53-K53</f>
        <v>449.52</v>
      </c>
      <c r="J53" s="66">
        <f>E53-K53</f>
        <v>139.52000000000001</v>
      </c>
      <c r="K53" s="112">
        <f>E53*G53</f>
        <v>20.48</v>
      </c>
      <c r="L53" s="100"/>
      <c r="M53" s="60"/>
      <c r="N53" s="60"/>
      <c r="O53" s="61"/>
      <c r="P53" s="62"/>
      <c r="Q53" s="62"/>
      <c r="R53" s="60"/>
      <c r="S53" s="63"/>
      <c r="T53" s="69"/>
      <c r="U53" s="70">
        <f>Weave!CU10</f>
        <v>0.37650444793301902</v>
      </c>
      <c r="V53" s="70">
        <f>Weave!CY10</f>
        <v>46.1</v>
      </c>
      <c r="W53" s="70">
        <f>Weave!CZ10</f>
        <v>15.6</v>
      </c>
      <c r="X53" s="71" t="str">
        <f>Weave!DA10</f>
        <v>B</v>
      </c>
    </row>
    <row r="54" spans="1:24" x14ac:dyDescent="0.25">
      <c r="A54" s="146">
        <v>46</v>
      </c>
      <c r="B54" s="156" t="s">
        <v>410</v>
      </c>
      <c r="C54" s="147" t="s">
        <v>183</v>
      </c>
      <c r="D54" s="55">
        <v>1920</v>
      </c>
      <c r="E54" s="65"/>
      <c r="F54" s="65"/>
      <c r="G54" s="66"/>
      <c r="H54" s="66"/>
      <c r="I54" s="66"/>
      <c r="J54" s="66"/>
      <c r="K54" s="112"/>
      <c r="L54" s="100">
        <f>Basic!BO14</f>
        <v>0.35909090909090902</v>
      </c>
      <c r="M54" s="60">
        <f>Basic!BP14</f>
        <v>47.7</v>
      </c>
      <c r="N54" s="60">
        <f>Basic!BQ14</f>
        <v>16.600000000000001</v>
      </c>
      <c r="O54" s="61" t="str">
        <f>Basic!BR14</f>
        <v>B</v>
      </c>
      <c r="P54" s="62"/>
      <c r="Q54" s="62"/>
      <c r="R54" s="60"/>
      <c r="S54" s="63"/>
      <c r="T54" s="69"/>
      <c r="U54" s="70"/>
      <c r="V54" s="70"/>
      <c r="W54" s="70"/>
      <c r="X54" s="71"/>
    </row>
    <row r="55" spans="1:24" x14ac:dyDescent="0.25">
      <c r="A55" s="146">
        <v>47</v>
      </c>
      <c r="B55" s="156" t="s">
        <v>411</v>
      </c>
      <c r="C55" s="147" t="s">
        <v>150</v>
      </c>
      <c r="D55" s="55">
        <v>1920</v>
      </c>
      <c r="E55" s="65">
        <v>270</v>
      </c>
      <c r="F55" s="65"/>
      <c r="G55" s="66"/>
      <c r="H55" s="66"/>
      <c r="I55" s="66"/>
      <c r="J55" s="66"/>
      <c r="K55" s="112"/>
      <c r="L55" s="100"/>
      <c r="M55" s="60"/>
      <c r="N55" s="60"/>
      <c r="O55" s="61"/>
      <c r="P55" s="62">
        <f>Ramps!CK11</f>
        <v>0.4</v>
      </c>
      <c r="Q55" s="62">
        <f>Ramps!CO11</f>
        <v>0.15085821562667601</v>
      </c>
      <c r="R55" s="60">
        <f>Ramps!CQ11</f>
        <v>50.7</v>
      </c>
      <c r="S55" s="63">
        <f>Ramps!CR11</f>
        <v>17.399999999999999</v>
      </c>
      <c r="T55" s="78" t="str">
        <f>Ramps!CS11</f>
        <v>B</v>
      </c>
      <c r="U55" s="109"/>
      <c r="V55" s="109"/>
      <c r="W55" s="109"/>
      <c r="X55" s="79"/>
    </row>
    <row r="56" spans="1:24" x14ac:dyDescent="0.25">
      <c r="A56" s="146">
        <v>48</v>
      </c>
      <c r="B56" s="156" t="s">
        <v>412</v>
      </c>
      <c r="C56" s="147" t="s">
        <v>183</v>
      </c>
      <c r="D56" s="55">
        <v>2190</v>
      </c>
      <c r="E56" s="65"/>
      <c r="F56" s="65"/>
      <c r="G56" s="66"/>
      <c r="H56" s="66"/>
      <c r="I56" s="66"/>
      <c r="J56" s="66"/>
      <c r="K56" s="112"/>
      <c r="L56" s="100">
        <f>Basic!BO15</f>
        <v>0.40954545454545399</v>
      </c>
      <c r="M56" s="60">
        <f>Basic!BP15</f>
        <v>47.3</v>
      </c>
      <c r="N56" s="60">
        <f>Basic!BQ15</f>
        <v>19</v>
      </c>
      <c r="O56" s="61" t="str">
        <f>Basic!BR15</f>
        <v>C</v>
      </c>
      <c r="P56" s="62"/>
      <c r="Q56" s="62"/>
      <c r="R56" s="60"/>
      <c r="S56" s="63"/>
      <c r="T56" s="69"/>
      <c r="U56" s="70"/>
      <c r="V56" s="70"/>
      <c r="W56" s="70"/>
      <c r="X56" s="71"/>
    </row>
    <row r="57" spans="1:24" x14ac:dyDescent="0.25">
      <c r="A57" s="146">
        <v>49</v>
      </c>
      <c r="B57" s="156" t="s">
        <v>413</v>
      </c>
      <c r="C57" s="147" t="s">
        <v>150</v>
      </c>
      <c r="D57" s="55">
        <v>2190</v>
      </c>
      <c r="E57" s="65">
        <v>360</v>
      </c>
      <c r="F57" s="65"/>
      <c r="G57" s="66"/>
      <c r="H57" s="66"/>
      <c r="I57" s="66"/>
      <c r="J57" s="66"/>
      <c r="K57" s="112"/>
      <c r="L57" s="102"/>
      <c r="M57" s="87"/>
      <c r="N57" s="87"/>
      <c r="O57" s="88"/>
      <c r="P57" s="77">
        <f>Ramps!CK12</f>
        <v>0.46</v>
      </c>
      <c r="Q57" s="77">
        <f>Ramps!CO12</f>
        <v>0.20114428750223401</v>
      </c>
      <c r="R57" s="87">
        <f>Ramps!CQ12</f>
        <v>50.7</v>
      </c>
      <c r="S57" s="108">
        <f>Ramps!CR12</f>
        <v>19.100000000000001</v>
      </c>
      <c r="T57" s="57" t="str">
        <f>Ramps!CS12</f>
        <v>B</v>
      </c>
      <c r="U57" s="62"/>
      <c r="V57" s="62"/>
      <c r="W57" s="62"/>
      <c r="X57" s="64"/>
    </row>
    <row r="58" spans="1:24" x14ac:dyDescent="0.25">
      <c r="A58" s="146">
        <v>50</v>
      </c>
      <c r="B58" s="156" t="s">
        <v>355</v>
      </c>
      <c r="C58" s="147" t="s">
        <v>355</v>
      </c>
      <c r="D58" s="55">
        <v>2550</v>
      </c>
      <c r="E58" s="65"/>
      <c r="F58" s="65"/>
      <c r="G58" s="66"/>
      <c r="H58" s="66"/>
      <c r="I58" s="66"/>
      <c r="J58" s="66"/>
      <c r="K58" s="112"/>
      <c r="L58" s="100"/>
      <c r="M58" s="60"/>
      <c r="N58" s="57">
        <f>MAX(S57,S59)</f>
        <v>21.2</v>
      </c>
      <c r="O58" s="61" t="str">
        <f>IF(T57&gt;=T59,T57,T59)</f>
        <v>C</v>
      </c>
      <c r="P58" s="62"/>
      <c r="Q58" s="62"/>
      <c r="R58" s="60"/>
      <c r="S58" s="63"/>
      <c r="T58" s="69"/>
      <c r="U58" s="70"/>
      <c r="V58" s="70"/>
      <c r="W58" s="70"/>
      <c r="X58" s="71"/>
    </row>
    <row r="59" spans="1:24" x14ac:dyDescent="0.25">
      <c r="A59" s="146">
        <v>51</v>
      </c>
      <c r="B59" s="156" t="s">
        <v>414</v>
      </c>
      <c r="C59" s="147" t="s">
        <v>150</v>
      </c>
      <c r="D59" s="55">
        <v>2550</v>
      </c>
      <c r="E59" s="65">
        <v>640</v>
      </c>
      <c r="F59" s="65"/>
      <c r="G59" s="66"/>
      <c r="H59" s="66"/>
      <c r="I59" s="66"/>
      <c r="J59" s="66"/>
      <c r="K59" s="112"/>
      <c r="L59" s="100"/>
      <c r="M59" s="60"/>
      <c r="N59" s="60"/>
      <c r="O59" s="61"/>
      <c r="P59" s="62">
        <f>Ramps!CK13</f>
        <v>0.56999999999999995</v>
      </c>
      <c r="Q59" s="62">
        <f>Ramps!CO13</f>
        <v>0.35758984444841702</v>
      </c>
      <c r="R59" s="60">
        <f>Ramps!CQ13</f>
        <v>50.8</v>
      </c>
      <c r="S59" s="63">
        <f>Ramps!CR13</f>
        <v>21.2</v>
      </c>
      <c r="T59" s="69" t="str">
        <f>Ramps!CS13</f>
        <v>C</v>
      </c>
      <c r="U59" s="70"/>
      <c r="V59" s="70"/>
      <c r="W59" s="70"/>
      <c r="X59" s="71"/>
    </row>
    <row r="60" spans="1:24" x14ac:dyDescent="0.25">
      <c r="A60" s="146">
        <v>52</v>
      </c>
      <c r="B60" s="156" t="s">
        <v>415</v>
      </c>
      <c r="C60" s="147" t="s">
        <v>183</v>
      </c>
      <c r="D60" s="55">
        <v>3190</v>
      </c>
      <c r="E60" s="65"/>
      <c r="F60" s="65"/>
      <c r="G60" s="66"/>
      <c r="H60" s="66"/>
      <c r="I60" s="66"/>
      <c r="J60" s="66"/>
      <c r="K60" s="112"/>
      <c r="L60" s="102">
        <f>Basic!BO16</f>
        <v>0.596515151515151</v>
      </c>
      <c r="M60" s="87">
        <f>Basic!BP16</f>
        <v>47.7</v>
      </c>
      <c r="N60" s="87">
        <f>Basic!BQ16</f>
        <v>27.5</v>
      </c>
      <c r="O60" s="88" t="str">
        <f>Basic!BR16</f>
        <v>D</v>
      </c>
      <c r="P60" s="77"/>
      <c r="Q60" s="77"/>
      <c r="R60" s="87"/>
      <c r="S60" s="108"/>
      <c r="T60" s="57"/>
      <c r="U60" s="62"/>
      <c r="V60" s="62"/>
      <c r="W60" s="62"/>
      <c r="X60" s="64"/>
    </row>
    <row r="61" spans="1:24" x14ac:dyDescent="0.25">
      <c r="A61" s="146">
        <v>53</v>
      </c>
      <c r="B61" s="156" t="s">
        <v>416</v>
      </c>
      <c r="C61" s="147" t="s">
        <v>151</v>
      </c>
      <c r="D61" s="55">
        <v>3190</v>
      </c>
      <c r="E61" s="65"/>
      <c r="F61" s="65">
        <v>520</v>
      </c>
      <c r="G61" s="73"/>
      <c r="H61" s="73"/>
      <c r="I61" s="73"/>
      <c r="J61" s="73"/>
      <c r="K61" s="113"/>
      <c r="L61" s="102"/>
      <c r="M61" s="87"/>
      <c r="N61" s="87"/>
      <c r="O61" s="88"/>
      <c r="P61" s="77">
        <f>Ramps!CK14</f>
        <v>0.57999999999999996</v>
      </c>
      <c r="Q61" s="77">
        <f>Ramps!CO14</f>
        <v>0.29054174861433901</v>
      </c>
      <c r="R61" s="87">
        <f>Ramps!CQ14</f>
        <v>48.8</v>
      </c>
      <c r="S61" s="108">
        <f>Ramps!CR14</f>
        <v>26.5</v>
      </c>
      <c r="T61" s="57" t="str">
        <f>Ramps!CS14</f>
        <v>C</v>
      </c>
      <c r="U61" s="62"/>
      <c r="V61" s="62"/>
      <c r="W61" s="62"/>
      <c r="X61" s="64"/>
    </row>
    <row r="62" spans="1:24" x14ac:dyDescent="0.25">
      <c r="A62" s="146">
        <v>54</v>
      </c>
      <c r="B62" s="156" t="s">
        <v>417</v>
      </c>
      <c r="C62" s="147" t="s">
        <v>183</v>
      </c>
      <c r="D62" s="55">
        <v>2670</v>
      </c>
      <c r="E62" s="65"/>
      <c r="F62" s="65"/>
      <c r="G62" s="66"/>
      <c r="H62" s="66"/>
      <c r="I62" s="66"/>
      <c r="J62" s="66"/>
      <c r="K62" s="112"/>
      <c r="L62" s="103">
        <f>Basic!BO17</f>
        <v>0.49924242424242399</v>
      </c>
      <c r="M62" s="89">
        <f>Basic!BP17</f>
        <v>47.3</v>
      </c>
      <c r="N62" s="89">
        <f>Basic!BQ17</f>
        <v>23.2</v>
      </c>
      <c r="O62" s="90" t="str">
        <f>Basic!BR17</f>
        <v>C</v>
      </c>
      <c r="P62" s="77"/>
      <c r="Q62" s="77"/>
      <c r="R62" s="87"/>
      <c r="S62" s="108"/>
      <c r="T62" s="57"/>
      <c r="U62" s="77"/>
      <c r="V62" s="77"/>
      <c r="W62" s="87"/>
      <c r="X62" s="64"/>
    </row>
    <row r="63" spans="1:24" x14ac:dyDescent="0.25">
      <c r="A63" s="146">
        <v>55</v>
      </c>
      <c r="B63" s="156" t="s">
        <v>418</v>
      </c>
      <c r="C63" s="147" t="s">
        <v>150</v>
      </c>
      <c r="D63" s="55">
        <v>2670</v>
      </c>
      <c r="E63" s="65">
        <v>730</v>
      </c>
      <c r="F63" s="65"/>
      <c r="G63" s="66"/>
      <c r="H63" s="66"/>
      <c r="I63" s="66"/>
      <c r="J63" s="66"/>
      <c r="K63" s="112"/>
      <c r="L63" s="100"/>
      <c r="M63" s="60"/>
      <c r="N63" s="60"/>
      <c r="O63" s="61"/>
      <c r="P63" s="62">
        <f>Ramps!CK15</f>
        <v>0.61</v>
      </c>
      <c r="Q63" s="62">
        <f>Ramps!CO15</f>
        <v>0.40787591632397602</v>
      </c>
      <c r="R63" s="60">
        <f>Ramps!CQ15</f>
        <v>50.4</v>
      </c>
      <c r="S63" s="63">
        <f>Ramps!CR15</f>
        <v>24.2</v>
      </c>
      <c r="T63" s="69" t="str">
        <f>Ramps!CS15</f>
        <v>C</v>
      </c>
      <c r="U63" s="62"/>
      <c r="V63" s="62"/>
      <c r="W63" s="60"/>
      <c r="X63" s="64"/>
    </row>
    <row r="64" spans="1:24" x14ac:dyDescent="0.25">
      <c r="A64" s="146">
        <v>56</v>
      </c>
      <c r="B64" s="156" t="s">
        <v>355</v>
      </c>
      <c r="C64" s="147" t="s">
        <v>355</v>
      </c>
      <c r="D64" s="55">
        <v>3400</v>
      </c>
      <c r="E64" s="65"/>
      <c r="F64" s="65"/>
      <c r="G64" s="66"/>
      <c r="H64" s="66"/>
      <c r="I64" s="66"/>
      <c r="J64" s="66"/>
      <c r="K64" s="112"/>
      <c r="L64" s="100"/>
      <c r="M64" s="60"/>
      <c r="N64" s="57">
        <f>MAX(S63,S65)</f>
        <v>27.2</v>
      </c>
      <c r="O64" s="61" t="str">
        <f>IF(T63&gt;=T65,T63,T65)</f>
        <v>C</v>
      </c>
      <c r="P64" s="62"/>
      <c r="Q64" s="62"/>
      <c r="R64" s="60"/>
      <c r="S64" s="63"/>
      <c r="T64" s="69"/>
      <c r="U64" s="62"/>
      <c r="V64" s="62"/>
      <c r="W64" s="60"/>
      <c r="X64" s="64"/>
    </row>
    <row r="65" spans="1:24" x14ac:dyDescent="0.25">
      <c r="A65" s="146">
        <v>57</v>
      </c>
      <c r="B65" s="156" t="s">
        <v>419</v>
      </c>
      <c r="C65" s="147" t="s">
        <v>151</v>
      </c>
      <c r="D65" s="55">
        <v>3400</v>
      </c>
      <c r="E65" s="65"/>
      <c r="F65" s="65">
        <v>270</v>
      </c>
      <c r="G65" s="73"/>
      <c r="H65" s="73"/>
      <c r="I65" s="73"/>
      <c r="J65" s="73"/>
      <c r="K65" s="113"/>
      <c r="L65" s="100"/>
      <c r="M65" s="60"/>
      <c r="N65" s="60"/>
      <c r="O65" s="61"/>
      <c r="P65" s="77">
        <f>Ramps!CK16</f>
        <v>0.62</v>
      </c>
      <c r="Q65" s="77">
        <f>Ramps!CO16</f>
        <v>0.15085821562667601</v>
      </c>
      <c r="R65" s="87">
        <f>Ramps!CQ16</f>
        <v>49.1</v>
      </c>
      <c r="S65" s="108">
        <f>Ramps!CR16</f>
        <v>27.2</v>
      </c>
      <c r="T65" s="57" t="str">
        <f>Ramps!CS16</f>
        <v>C</v>
      </c>
      <c r="U65" s="77"/>
      <c r="V65" s="77"/>
      <c r="W65" s="87"/>
      <c r="X65" s="64"/>
    </row>
    <row r="66" spans="1:24" x14ac:dyDescent="0.25">
      <c r="A66" s="146">
        <v>58</v>
      </c>
      <c r="B66" s="156" t="s">
        <v>355</v>
      </c>
      <c r="C66" s="147" t="s">
        <v>355</v>
      </c>
      <c r="D66" s="55">
        <v>3130</v>
      </c>
      <c r="E66" s="65"/>
      <c r="F66" s="65"/>
      <c r="G66" s="66"/>
      <c r="H66" s="66"/>
      <c r="I66" s="66"/>
      <c r="J66" s="66"/>
      <c r="K66" s="112"/>
      <c r="L66" s="100"/>
      <c r="M66" s="60"/>
      <c r="N66" s="57">
        <f>MAX(S65,W67)</f>
        <v>45</v>
      </c>
      <c r="O66" s="61" t="str">
        <f>IF(T65&gt;=X67,T65,X67)</f>
        <v>F</v>
      </c>
      <c r="P66" s="77"/>
      <c r="Q66" s="77"/>
      <c r="R66" s="87"/>
      <c r="S66" s="108"/>
      <c r="T66" s="57"/>
      <c r="U66" s="77"/>
      <c r="V66" s="77"/>
      <c r="W66" s="87"/>
      <c r="X66" s="64"/>
    </row>
    <row r="67" spans="1:24" x14ac:dyDescent="0.25">
      <c r="A67" s="146">
        <v>59</v>
      </c>
      <c r="B67" s="156" t="s">
        <v>420</v>
      </c>
      <c r="C67" s="147" t="s">
        <v>341</v>
      </c>
      <c r="D67" s="55">
        <v>3130</v>
      </c>
      <c r="E67" s="65">
        <v>890</v>
      </c>
      <c r="F67" s="65">
        <v>1500</v>
      </c>
      <c r="G67" s="155">
        <v>0.104</v>
      </c>
      <c r="H67" s="66">
        <f>D67-I67</f>
        <v>1722.56</v>
      </c>
      <c r="I67" s="66">
        <f>F67-K67</f>
        <v>1407.44</v>
      </c>
      <c r="J67" s="66">
        <f>E67-K67</f>
        <v>797.44</v>
      </c>
      <c r="K67" s="112">
        <f>E67*G67</f>
        <v>92.56</v>
      </c>
      <c r="L67" s="100"/>
      <c r="M67" s="60"/>
      <c r="N67" s="60"/>
      <c r="O67" s="61"/>
      <c r="P67" s="62"/>
      <c r="Q67" s="62"/>
      <c r="R67" s="60"/>
      <c r="S67" s="63"/>
      <c r="T67" s="69"/>
      <c r="U67" s="62">
        <f>Weave!CU11</f>
        <v>1.0264654418197701</v>
      </c>
      <c r="V67" s="62">
        <f>Weave!CY11</f>
        <v>0</v>
      </c>
      <c r="W67" s="60">
        <f>Weave!CZ11</f>
        <v>45</v>
      </c>
      <c r="X67" s="64" t="str">
        <f>Weave!DA11</f>
        <v>F</v>
      </c>
    </row>
    <row r="68" spans="1:24" x14ac:dyDescent="0.25">
      <c r="A68" s="146">
        <v>60</v>
      </c>
      <c r="B68" s="156" t="s">
        <v>421</v>
      </c>
      <c r="C68" s="147" t="s">
        <v>183</v>
      </c>
      <c r="D68" s="114">
        <v>2520</v>
      </c>
      <c r="E68" s="115"/>
      <c r="F68" s="115"/>
      <c r="G68" s="115"/>
      <c r="H68" s="115"/>
      <c r="I68" s="115"/>
      <c r="J68" s="115"/>
      <c r="K68" s="116"/>
      <c r="L68" s="104">
        <f>Basic!BO18</f>
        <v>0.47121212121212103</v>
      </c>
      <c r="M68" s="91">
        <f>Basic!BP18</f>
        <v>46.5</v>
      </c>
      <c r="N68" s="91">
        <f>Basic!BQ18</f>
        <v>22.3</v>
      </c>
      <c r="O68" s="92" t="str">
        <f>Basic!BR18</f>
        <v>C</v>
      </c>
      <c r="P68" s="117"/>
      <c r="Q68" s="117"/>
      <c r="R68" s="75"/>
      <c r="S68" s="118"/>
      <c r="T68" s="119"/>
      <c r="U68" s="117"/>
      <c r="V68" s="117"/>
      <c r="W68" s="75"/>
      <c r="X68" s="120"/>
    </row>
    <row r="69" spans="1:24" x14ac:dyDescent="0.25">
      <c r="B69" s="93" t="s">
        <v>263</v>
      </c>
      <c r="C69" s="93"/>
      <c r="D69" s="95"/>
      <c r="E69" s="96"/>
      <c r="F69" s="96"/>
      <c r="G69" s="94"/>
      <c r="H69" s="94"/>
      <c r="I69" s="94"/>
      <c r="J69" s="94"/>
      <c r="K69" s="94"/>
      <c r="L69" s="95"/>
      <c r="M69" s="96"/>
      <c r="N69" s="96"/>
      <c r="O69" s="96"/>
      <c r="P69" s="96"/>
      <c r="Q69" s="96"/>
      <c r="R69" s="94"/>
      <c r="S69" s="94"/>
      <c r="T69" s="97"/>
      <c r="U69" s="97"/>
      <c r="V69" s="97"/>
      <c r="W69" s="97"/>
      <c r="X69" s="43"/>
    </row>
    <row r="70" spans="1:24" x14ac:dyDescent="0.25">
      <c r="B70" s="98" t="s">
        <v>427</v>
      </c>
      <c r="C70" s="98"/>
      <c r="D70" s="95"/>
      <c r="E70" s="96"/>
      <c r="F70" s="96"/>
      <c r="G70" s="94"/>
      <c r="H70" s="94"/>
      <c r="I70" s="94"/>
      <c r="J70" s="94"/>
      <c r="K70" s="94"/>
      <c r="L70" s="95"/>
      <c r="M70" s="96"/>
      <c r="N70" s="96"/>
      <c r="O70" s="96"/>
      <c r="P70" s="96"/>
      <c r="Q70" s="96"/>
      <c r="R70" s="94"/>
      <c r="S70" s="94"/>
      <c r="T70" s="97"/>
      <c r="U70" s="97"/>
      <c r="V70" s="97"/>
      <c r="W70" s="97"/>
      <c r="X70" s="43"/>
    </row>
  </sheetData>
  <mergeCells count="19">
    <mergeCell ref="A2:A6"/>
    <mergeCell ref="A7:X7"/>
    <mergeCell ref="A39:X39"/>
    <mergeCell ref="B1:X1"/>
    <mergeCell ref="B2:B6"/>
    <mergeCell ref="D2:K4"/>
    <mergeCell ref="L2:X4"/>
    <mergeCell ref="D5:F5"/>
    <mergeCell ref="G5:K5"/>
    <mergeCell ref="L5:O5"/>
    <mergeCell ref="P5:T5"/>
    <mergeCell ref="C2:C6"/>
    <mergeCell ref="U5:X5"/>
    <mergeCell ref="AW10:AW11"/>
    <mergeCell ref="BB10:BB11"/>
    <mergeCell ref="AX12:AX13"/>
    <mergeCell ref="BA12:BA13"/>
    <mergeCell ref="AW14:AW15"/>
    <mergeCell ref="BB14:BB15"/>
  </mergeCells>
  <conditionalFormatting sqref="L40:X57 L59:X63 L58:M58 P58:X58 L65:X65 L64:M64 P64:X64 L67:X68 L66:M66 P66:X66">
    <cfRule type="containsBlanks" dxfId="17" priority="21">
      <formula>LEN(TRIM(L40))=0</formula>
    </cfRule>
    <cfRule type="containsBlanks" dxfId="16" priority="22">
      <formula>LEN(TRIM(L40))=0</formula>
    </cfRule>
  </conditionalFormatting>
  <conditionalFormatting sqref="N58:O58">
    <cfRule type="containsBlanks" dxfId="15" priority="20">
      <formula>LEN(TRIM(N58))=0</formula>
    </cfRule>
  </conditionalFormatting>
  <conditionalFormatting sqref="N64:O64">
    <cfRule type="containsBlanks" dxfId="14" priority="19">
      <formula>LEN(TRIM(N64))=0</formula>
    </cfRule>
  </conditionalFormatting>
  <conditionalFormatting sqref="N66:O66">
    <cfRule type="containsBlanks" dxfId="13" priority="18">
      <formula>LEN(TRIM(N66))=0</formula>
    </cfRule>
  </conditionalFormatting>
  <conditionalFormatting sqref="D8:K38">
    <cfRule type="containsBlanks" dxfId="12" priority="17">
      <formula>LEN(TRIM(D8))=0</formula>
    </cfRule>
  </conditionalFormatting>
  <conditionalFormatting sqref="L8:X38">
    <cfRule type="containsBlanks" dxfId="11" priority="16">
      <formula>LEN(TRIM(L8))=0</formula>
    </cfRule>
  </conditionalFormatting>
  <conditionalFormatting sqref="D40:K41 D43:K45 D42:F42 D47:K48 D46:F46 D50:K52 D49:F49 D54:K66 D53:F53 D67:F67">
    <cfRule type="containsBlanks" dxfId="10" priority="15">
      <formula>LEN(TRIM(D40))=0</formula>
    </cfRule>
  </conditionalFormatting>
  <conditionalFormatting sqref="D68:K68">
    <cfRule type="containsBlanks" dxfId="9" priority="14">
      <formula>LEN(TRIM(D68))=0</formula>
    </cfRule>
  </conditionalFormatting>
  <conditionalFormatting sqref="H53:K53">
    <cfRule type="containsBlanks" dxfId="8" priority="10">
      <formula>LEN(TRIM(H53))=0</formula>
    </cfRule>
  </conditionalFormatting>
  <conditionalFormatting sqref="G42:K42">
    <cfRule type="containsBlanks" dxfId="7" priority="13">
      <formula>LEN(TRIM(G42))=0</formula>
    </cfRule>
  </conditionalFormatting>
  <conditionalFormatting sqref="H46:K46">
    <cfRule type="containsBlanks" dxfId="6" priority="12">
      <formula>LEN(TRIM(H46))=0</formula>
    </cfRule>
  </conditionalFormatting>
  <conditionalFormatting sqref="H49:K49">
    <cfRule type="containsBlanks" dxfId="5" priority="11">
      <formula>LEN(TRIM(H49))=0</formula>
    </cfRule>
  </conditionalFormatting>
  <conditionalFormatting sqref="H67:K67">
    <cfRule type="containsBlanks" dxfId="4" priority="9">
      <formula>LEN(TRIM(H67))=0</formula>
    </cfRule>
  </conditionalFormatting>
  <conditionalFormatting sqref="G46">
    <cfRule type="containsBlanks" dxfId="3" priority="4">
      <formula>LEN(TRIM(G46))=0</formula>
    </cfRule>
  </conditionalFormatting>
  <conditionalFormatting sqref="G49">
    <cfRule type="containsBlanks" dxfId="2" priority="3">
      <formula>LEN(TRIM(G49))=0</formula>
    </cfRule>
  </conditionalFormatting>
  <conditionalFormatting sqref="G53">
    <cfRule type="containsBlanks" dxfId="1" priority="2">
      <formula>LEN(TRIM(G53))=0</formula>
    </cfRule>
  </conditionalFormatting>
  <conditionalFormatting sqref="G67">
    <cfRule type="containsBlanks" dxfId="0" priority="1">
      <formula>LEN(TRIM(G67))=0</formula>
    </cfRule>
  </conditionalFormatting>
  <pageMargins left="2.5" right="0.25" top="1.25" bottom="0.75" header="0.3" footer="0.3"/>
  <pageSetup paperSize="1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BasicInput</vt:lpstr>
      <vt:lpstr>Basic</vt:lpstr>
      <vt:lpstr>Ramps</vt:lpstr>
      <vt:lpstr>Weave</vt:lpstr>
      <vt:lpstr>DropDowns</vt:lpstr>
      <vt:lpstr>Existing PM</vt:lpstr>
      <vt:lpstr>'Existing PM'!Print_Area</vt:lpstr>
    </vt:vector>
  </TitlesOfParts>
  <Company>HDR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Petree, David</dc:creator>
  <cp:lastModifiedBy>Petree, David</cp:lastModifiedBy>
  <cp:lastPrinted>2022-04-01T22:28:43Z</cp:lastPrinted>
  <dcterms:created xsi:type="dcterms:W3CDTF">2017-05-26T21:46:45Z</dcterms:created>
  <dcterms:modified xsi:type="dcterms:W3CDTF">2022-05-20T17:41:24Z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7f12cc2c-e681-4a62-9fc0-287b059e257b</vt:lpwstr>
  </property>
</Properties>
</file>